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Grades-CSL100-Intro_Progr" sheetId="1" r:id="rId4"/>
    <sheet state="visible" name="Sheet3" sheetId="2" r:id="rId5"/>
    <sheet state="visible" name="Copy of LetterGrades-CSL100-Int" sheetId="3" r:id="rId6"/>
    <sheet state="visible" name="Copy of Total-CSL100-Intro_Prog" sheetId="4" r:id="rId7"/>
    <sheet state="visible" name="CSE-Sandeep" sheetId="5" r:id="rId8"/>
    <sheet state="visible" name="DSAI-Vikrant" sheetId="6" r:id="rId9"/>
    <sheet state="visible" name="MSC-Vikrant" sheetId="7" r:id="rId10"/>
    <sheet state="visible" name="ME-Subhashree" sheetId="8" r:id="rId11"/>
    <sheet state="visible" name="EE-Nitin" sheetId="9" r:id="rId12"/>
    <sheet state="visible" name="EC-Nitin" sheetId="10" r:id="rId13"/>
    <sheet state="visible" name="MM-Subhashree" sheetId="11" r:id="rId14"/>
    <sheet state="visible" name="Backlog-Sandeep" sheetId="12" r:id="rId15"/>
    <sheet state="visible" name="MT" sheetId="13" r:id="rId16"/>
    <sheet state="visible" name="Front benchers" sheetId="14" r:id="rId17"/>
    <sheet state="visible" name="Copy of Tuesday" sheetId="15" r:id="rId18"/>
    <sheet state="visible" name="Copy of Wednesday" sheetId="16" r:id="rId19"/>
    <sheet state="visible" name="Copy of Thursday" sheetId="17" r:id="rId20"/>
    <sheet state="visible" name="Copy of 2025-12-08T1838_Grades-" sheetId="18" r:id="rId21"/>
  </sheets>
  <definedNames>
    <definedName hidden="1" localSheetId="0" name="_xlnm._FilterDatabase">'LetterGrades-CSL100-Intro_Progr'!$A$1:$BR$331</definedName>
    <definedName hidden="1" localSheetId="14" name="_xlnm._FilterDatabase">'Copy of Tuesday'!$A$1:$J$110</definedName>
    <definedName hidden="1" localSheetId="15" name="_xlnm._FilterDatabase">'Copy of Wednesday'!$A$1:$I$110</definedName>
    <definedName hidden="1" localSheetId="16" name="_xlnm._FilterDatabase">'Copy of Thursday'!$A$1:$I$1007</definedName>
  </definedNames>
  <calcPr/>
</workbook>
</file>

<file path=xl/sharedStrings.xml><?xml version="1.0" encoding="utf-8"?>
<sst xmlns="http://schemas.openxmlformats.org/spreadsheetml/2006/main" count="8309" uniqueCount="1467">
  <si>
    <t>Vaibhav Khatri</t>
  </si>
  <si>
    <t>B24DS035</t>
  </si>
  <si>
    <t>A-</t>
  </si>
  <si>
    <t>vaibhavkh@iitbhilai.ac.in</t>
  </si>
  <si>
    <t>KILAPARTHI PARVEEN SATYA TEJA</t>
  </si>
  <si>
    <t>B24EC013</t>
  </si>
  <si>
    <t>A</t>
  </si>
  <si>
    <t>kilaparthipst@iitbhilai.ac.in</t>
  </si>
  <si>
    <t>MANEPALLI SRITEJA</t>
  </si>
  <si>
    <t>B24EC016</t>
  </si>
  <si>
    <t>manepallivdst@iitbhilai.ac.in</t>
  </si>
  <si>
    <t>SAINI AMAN</t>
  </si>
  <si>
    <t>B24MT001</t>
  </si>
  <si>
    <t>101624671656031679776</t>
  </si>
  <si>
    <t>Abhinav</t>
  </si>
  <si>
    <t>B25CS002</t>
  </si>
  <si>
    <t>abhinav@iitbhilai.ac.in</t>
  </si>
  <si>
    <t>ADHIA SOHAM</t>
  </si>
  <si>
    <t>B25CS003</t>
  </si>
  <si>
    <t>adhiasoham@iitbhilai.ac.in</t>
  </si>
  <si>
    <t>ADITYA JAISWAL</t>
  </si>
  <si>
    <t>B25CS004</t>
  </si>
  <si>
    <t>adityajaiswal@iitbhilai.ac.in</t>
  </si>
  <si>
    <t>AKSHAT KANSAL</t>
  </si>
  <si>
    <t>B25CS005</t>
  </si>
  <si>
    <t>B</t>
  </si>
  <si>
    <t>akshatkansal@iitbhilai.ac.in</t>
  </si>
  <si>
    <t>ANKIT GYEN</t>
  </si>
  <si>
    <t>B25CS006</t>
  </si>
  <si>
    <t>ankitgyen@iitbhilai.ac.in</t>
  </si>
  <si>
    <t>Anugu Raghupathi</t>
  </si>
  <si>
    <t>B25CS007</t>
  </si>
  <si>
    <t>B-</t>
  </si>
  <si>
    <t>anuguraghu@iitbhilai.ac.in</t>
  </si>
  <si>
    <t>ARYAMAAN SINGH</t>
  </si>
  <si>
    <t>B25CS008</t>
  </si>
  <si>
    <t>aryamaansingh@iitbhilai.ac.in</t>
  </si>
  <si>
    <t>ARYAN DESHMUKH</t>
  </si>
  <si>
    <t>B25CS009</t>
  </si>
  <si>
    <t>aryanmanish@iitbhilai.ac.in</t>
  </si>
  <si>
    <t>ARYAVEER SINGH RAWAT</t>
  </si>
  <si>
    <t>B25CS010</t>
  </si>
  <si>
    <t>A+</t>
  </si>
  <si>
    <t>aryaveersingh@iitbhilai.ac.in</t>
  </si>
  <si>
    <t>BHARGAV SHARMA</t>
  </si>
  <si>
    <t>B25CS011</t>
  </si>
  <si>
    <t>bhargavsharma@iitbhilai.ac.in</t>
  </si>
  <si>
    <t>KHANDELWAL BHAVYA SANTKUMAR</t>
  </si>
  <si>
    <t>B25CS012</t>
  </si>
  <si>
    <t>bhavyasantku@iitbhilai.ac.in</t>
  </si>
  <si>
    <t>NITEESH BODA</t>
  </si>
  <si>
    <t>B25CS013</t>
  </si>
  <si>
    <t>bodaniteesh@iitbhilai.ac.in</t>
  </si>
  <si>
    <t>DIPA SAHA</t>
  </si>
  <si>
    <t>B25CS014</t>
  </si>
  <si>
    <t>C</t>
  </si>
  <si>
    <t>dipasaha@iitbhilai.ac.in</t>
  </si>
  <si>
    <t>DISHANK VERMA</t>
  </si>
  <si>
    <t>B25CS015</t>
  </si>
  <si>
    <t>C-</t>
  </si>
  <si>
    <t>dishankverma@iitbhilai.ac.in</t>
  </si>
  <si>
    <t>DIVYANSH KORI</t>
  </si>
  <si>
    <t>B25CS016</t>
  </si>
  <si>
    <t>divyanshkori@iitbhilai.ac.in</t>
  </si>
  <si>
    <t>HUSEN FARUKH</t>
  </si>
  <si>
    <t>B25CS017</t>
  </si>
  <si>
    <t>farukhhusen@iitbhilai.ac.in</t>
  </si>
  <si>
    <t>GANDI NAVYA</t>
  </si>
  <si>
    <t>B25CS018</t>
  </si>
  <si>
    <t>gandinavya@iitbhilai.ac.in</t>
  </si>
  <si>
    <t>GEGGELAPALLY VAISHNAVI</t>
  </si>
  <si>
    <t>B25CS019</t>
  </si>
  <si>
    <t>geggelapallyv@iitbhilai.ac.in</t>
  </si>
  <si>
    <t>HARSH</t>
  </si>
  <si>
    <t>B25CS020</t>
  </si>
  <si>
    <t>harshr@iitbhilai.ac.in</t>
  </si>
  <si>
    <t>HARSH VERMA</t>
  </si>
  <si>
    <t>B25CS021</t>
  </si>
  <si>
    <t>harshverma@iitbhilai.ac.in</t>
  </si>
  <si>
    <t>HARSH VINCE</t>
  </si>
  <si>
    <t>B25CS022</t>
  </si>
  <si>
    <t>harshvince@iitbhilai.ac.in</t>
  </si>
  <si>
    <t>HARSHIT VERMA</t>
  </si>
  <si>
    <t>B25CS023</t>
  </si>
  <si>
    <t>harshitverma@iitbhilai.ac.in</t>
  </si>
  <si>
    <t>HARSHITA ARIMAKALA</t>
  </si>
  <si>
    <t>B25CS024</t>
  </si>
  <si>
    <t>harshitaarima@iitbhilai.ac.in</t>
  </si>
  <si>
    <t>ISHAN UMESH GHATGE</t>
  </si>
  <si>
    <t>B25CS025</t>
  </si>
  <si>
    <t>ishanumesh@iitbhilai.ac.in</t>
  </si>
  <si>
    <t>JAMBUKIYA PARTH BHARATBHAI</t>
  </si>
  <si>
    <t>B25CS026</t>
  </si>
  <si>
    <t>jambukiyaparth@iitbhilai.ac.in</t>
  </si>
  <si>
    <t>KAKARLA VIJAYA RAMI REDDY</t>
  </si>
  <si>
    <t>B25CS027</t>
  </si>
  <si>
    <t>FS</t>
  </si>
  <si>
    <t>kakarlavijaya@iitbhilai.ac.in</t>
  </si>
  <si>
    <t>krity Loka</t>
  </si>
  <si>
    <t>B25CS028</t>
  </si>
  <si>
    <t>kasukurthiloka@iitbhilai.ac.in</t>
  </si>
  <si>
    <t>KOLLI VENKATA KUTUMBA NIHAR</t>
  </si>
  <si>
    <t>B25CS029</t>
  </si>
  <si>
    <t>kollivenkata@iitbhilai.ac.in</t>
  </si>
  <si>
    <t>BASUMATARY MADHURJYA PRASAD</t>
  </si>
  <si>
    <t>B25CS030</t>
  </si>
  <si>
    <t>madhurjyapr@iitbhilai.ac.in</t>
  </si>
  <si>
    <t>MADUR GANGA MANOJ KUMAR</t>
  </si>
  <si>
    <t>B25CS031</t>
  </si>
  <si>
    <t>madurganga@iitbhilai.ac.in</t>
  </si>
  <si>
    <t>MITTIREDDI PAVAN KUMAR</t>
  </si>
  <si>
    <t>B25CS032</t>
  </si>
  <si>
    <t>mittireddipavan@iitbhilai.ac.in</t>
  </si>
  <si>
    <t>ABHAY NAMAN AYUSH</t>
  </si>
  <si>
    <t>B25CS033</t>
  </si>
  <si>
    <t>namanayush@iitbhilai.ac.in</t>
  </si>
  <si>
    <t>NAMAN GUPTA</t>
  </si>
  <si>
    <t>B25CS034</t>
  </si>
  <si>
    <t>namangupta@iitbhilai.ac.in</t>
  </si>
  <si>
    <t>GHOSH NAVANIL</t>
  </si>
  <si>
    <t>B25CS035</t>
  </si>
  <si>
    <t>navanilghosh@iitbhilai.ac.in</t>
  </si>
  <si>
    <t>NISHCHAL JAIN</t>
  </si>
  <si>
    <t>B25CS036</t>
  </si>
  <si>
    <t>nishchaljain@iitbhilai.ac.in</t>
  </si>
  <si>
    <t>TEJA PALAVALASA PAWAN</t>
  </si>
  <si>
    <t>B25CS037</t>
  </si>
  <si>
    <t>palavalasapaw@iitbhilai.ac.in</t>
  </si>
  <si>
    <t>Paltyavath Saikiran</t>
  </si>
  <si>
    <t>B25CS038</t>
  </si>
  <si>
    <t>paltyavathsai@iitbhilai.ac.in</t>
  </si>
  <si>
    <t>PIYUSH DAS</t>
  </si>
  <si>
    <t>B25CS039</t>
  </si>
  <si>
    <t>piyushdas@iitbhilai.ac.in</t>
  </si>
  <si>
    <t>POLINEDI RESHMITHA</t>
  </si>
  <si>
    <t>B25CS040</t>
  </si>
  <si>
    <t>polinedire@iitbhilai.ac.in</t>
  </si>
  <si>
    <t>PRANAV PRAVIN GORE</t>
  </si>
  <si>
    <t>B25CS041</t>
  </si>
  <si>
    <t>pranavpravin@iitbhilai.ac.in</t>
  </si>
  <si>
    <t>RAPAKA SAKETH</t>
  </si>
  <si>
    <t>B25CS042</t>
  </si>
  <si>
    <t>rapakasaketh@iitbhilai.ac.in</t>
  </si>
  <si>
    <t>LAVANYA RATHOD</t>
  </si>
  <si>
    <t>B25CS043</t>
  </si>
  <si>
    <t>rathodlavanya@iitbhilai.ac.in</t>
  </si>
  <si>
    <t>RATISH ANAND</t>
  </si>
  <si>
    <t>B25CS044</t>
  </si>
  <si>
    <t>ratishanand@iitbhilai.ac.in</t>
  </si>
  <si>
    <t>RIMA PRADHAN</t>
  </si>
  <si>
    <t>B25CS045</t>
  </si>
  <si>
    <t>rimapradhan@iitbhilai.ac.in</t>
  </si>
  <si>
    <t>ROHIT</t>
  </si>
  <si>
    <t>B25CS046</t>
  </si>
  <si>
    <t>rohits@iitbhilai.ac.in</t>
  </si>
  <si>
    <t>SAANVI SANKET KAMBLE</t>
  </si>
  <si>
    <t>B25CS047</t>
  </si>
  <si>
    <t>saanvisanket@iitbhilai.ac.in</t>
  </si>
  <si>
    <t>SANKALP SAGAR WANKHEDE</t>
  </si>
  <si>
    <t>B25CS048</t>
  </si>
  <si>
    <t>sankalpsagar@iitbhilai.ac.in</t>
  </si>
  <si>
    <t>SEERA SHAMITH SATHWIK</t>
  </si>
  <si>
    <t>B25CS049</t>
  </si>
  <si>
    <t>seerashamith@iitbhilai.ac.in</t>
  </si>
  <si>
    <t>SINGH SHREYANSH PRATAP</t>
  </si>
  <si>
    <t>B25CS050</t>
  </si>
  <si>
    <t>shreyanshpra@iitbhilai.ac.in</t>
  </si>
  <si>
    <t>MEGAVATH SIDDHANTH NAIK</t>
  </si>
  <si>
    <t>B25CS051</t>
  </si>
  <si>
    <t>siddhanthnaik@iitbhilai.ac.in</t>
  </si>
  <si>
    <t>SNIGDHA VENNAPUREDDY</t>
  </si>
  <si>
    <t>B25CS052</t>
  </si>
  <si>
    <t>snigdhavenna@iitbhilai.ac.in</t>
  </si>
  <si>
    <t>SONALI SINGH</t>
  </si>
  <si>
    <t>B25CS053</t>
  </si>
  <si>
    <t>sonalisingh@iitbhilai.ac.in</t>
  </si>
  <si>
    <t>SOUMYAJIT DAS</t>
  </si>
  <si>
    <t>B25CS054</t>
  </si>
  <si>
    <t>soumyajitdas@iitbhilai.ac.in</t>
  </si>
  <si>
    <t>SUBHAMKAR SAHU</t>
  </si>
  <si>
    <t>B25CS055</t>
  </si>
  <si>
    <t>subhamkars@iitbhilai.ac.in</t>
  </si>
  <si>
    <t>SUMIRAN VITTHAL AKRE</t>
  </si>
  <si>
    <t>B25CS056</t>
  </si>
  <si>
    <t>sumiranvitthal@iitbhilai.ac.in</t>
  </si>
  <si>
    <t>DUGAR SWARNA KANTI</t>
  </si>
  <si>
    <t>B25CS057</t>
  </si>
  <si>
    <t>F</t>
  </si>
  <si>
    <t>swarnakanti@iitbhilai.ac.in</t>
  </si>
  <si>
    <t>THIAGARAJAN MANICKAM</t>
  </si>
  <si>
    <t>B25CS059</t>
  </si>
  <si>
    <t>thiagarajanma@iitbhilai.ac.in</t>
  </si>
  <si>
    <t>VAISHNAVI ANIL BAGHELE</t>
  </si>
  <si>
    <t>B25CS060</t>
  </si>
  <si>
    <t>vaishnavianil@iitbhilai.ac.in</t>
  </si>
  <si>
    <t>Keyush Sai</t>
  </si>
  <si>
    <t>B25CS061</t>
  </si>
  <si>
    <t>velagapudik@iitbhilai.ac.in</t>
  </si>
  <si>
    <t>Naidu Yedla Sai Manohar</t>
  </si>
  <si>
    <t>B25CS062</t>
  </si>
  <si>
    <t>yedlasaiman@iitbhilai.ac.in</t>
  </si>
  <si>
    <t>SHERWAL ABHISHEK</t>
  </si>
  <si>
    <t>B25DS001</t>
  </si>
  <si>
    <t>abhisheksher@iitbhilai.ac.in</t>
  </si>
  <si>
    <t>ADITYA RAJ</t>
  </si>
  <si>
    <t>B25DS002</t>
  </si>
  <si>
    <t>adityarajds@iitbhilai.ac.in</t>
  </si>
  <si>
    <t>ANIRUDH BANSAL</t>
  </si>
  <si>
    <t>B25DS003</t>
  </si>
  <si>
    <t>anirudhbansal@iitbhilai.ac.in</t>
  </si>
  <si>
    <t>SWARNKAR ARSHITA</t>
  </si>
  <si>
    <t>B25DS004</t>
  </si>
  <si>
    <t>arshitaswarnkar@iitbhilai.ac.in</t>
  </si>
  <si>
    <t>REDDY CHATRALA GOKUL SANJAY</t>
  </si>
  <si>
    <t>B25DS005</t>
  </si>
  <si>
    <t>chatralagokuls@iitbhilai.ac.in</t>
  </si>
  <si>
    <t>DARSH NANDU</t>
  </si>
  <si>
    <t>B25DS006</t>
  </si>
  <si>
    <t>darshnandu@iitbhilai.ac.in</t>
  </si>
  <si>
    <t>DASARI YASHWANTH KUMAR</t>
  </si>
  <si>
    <t>B25DS007</t>
  </si>
  <si>
    <t>dasariyashwan@iitbhilai.ac.in</t>
  </si>
  <si>
    <t>D</t>
  </si>
  <si>
    <t>DEVGANIYA FENIL</t>
  </si>
  <si>
    <t>B25DS008</t>
  </si>
  <si>
    <t>devganiyafenil@iitbhilai.ac.in</t>
  </si>
  <si>
    <t>DHABBARA VIVEK CHOWDARY</t>
  </si>
  <si>
    <t>B25DS009</t>
  </si>
  <si>
    <t>dhabbaravivek@iitbhilai.ac.in</t>
  </si>
  <si>
    <t>CHAUDHARY GAURAV</t>
  </si>
  <si>
    <t>B25DS010</t>
  </si>
  <si>
    <t>100144048226072146150</t>
  </si>
  <si>
    <t>GAUTAM JOGI</t>
  </si>
  <si>
    <t>B25DS011</t>
  </si>
  <si>
    <t>gautamjogi@iitbhilai.ac.in</t>
  </si>
  <si>
    <t>GORLE ASHISH</t>
  </si>
  <si>
    <t>B25DS012</t>
  </si>
  <si>
    <t>gorleashish@iitbhilai.ac.in</t>
  </si>
  <si>
    <t>Shukla Harshita</t>
  </si>
  <si>
    <t>B25DS013</t>
  </si>
  <si>
    <t>harshitashuk@iitbhilai.ac.in</t>
  </si>
  <si>
    <t>JAYDEEP PAUL</t>
  </si>
  <si>
    <t>B25DS014</t>
  </si>
  <si>
    <t>jaydeeppaul@iitbhilai.ac.in</t>
  </si>
  <si>
    <t>KAMIREDDI JASWANTH KUMAR</t>
  </si>
  <si>
    <t>B25DS015</t>
  </si>
  <si>
    <t>kamireddijasw@iitbhilai.ac.in</t>
  </si>
  <si>
    <t>Vojanth Raj</t>
  </si>
  <si>
    <t>B25DS016</t>
  </si>
  <si>
    <t>komalivojanth@iitbhilai.ac.in</t>
  </si>
  <si>
    <t>KORADA BHARATH CHANDRA</t>
  </si>
  <si>
    <t>B25DS017</t>
  </si>
  <si>
    <t>koradabharath@iitbhilai.ac.in</t>
  </si>
  <si>
    <t>Kushal Radia</t>
  </si>
  <si>
    <t>B25DS018</t>
  </si>
  <si>
    <t>110908319107819631743</t>
  </si>
  <si>
    <t>ROHITH LANKIPALLI</t>
  </si>
  <si>
    <t>B25DS019</t>
  </si>
  <si>
    <t>lankipallirohith@iitbhilai.ac.in</t>
  </si>
  <si>
    <t>MALOTHU AKASH</t>
  </si>
  <si>
    <t>B25DS020</t>
  </si>
  <si>
    <t>malothuakash@iitbhilai.ac.in</t>
  </si>
  <si>
    <t>REWAR MANDEEP</t>
  </si>
  <si>
    <t>B25DS021</t>
  </si>
  <si>
    <t>mandeeprewar@iitbhilai.ac.in</t>
  </si>
  <si>
    <t>Mansu Khute</t>
  </si>
  <si>
    <t>B25DS022</t>
  </si>
  <si>
    <t>110717464809716125269</t>
  </si>
  <si>
    <t>MEHUL ARORA</t>
  </si>
  <si>
    <t>B25DS023</t>
  </si>
  <si>
    <t>mehularora@iitbhilai.ac.in</t>
  </si>
  <si>
    <t>REDDY MEKALA REDDY VARDHAN</t>
  </si>
  <si>
    <t>B25DS024</t>
  </si>
  <si>
    <t>mekalavardhan@iitbhilai.ac.in</t>
  </si>
  <si>
    <t>Mohit Kolhe</t>
  </si>
  <si>
    <t>B25DS025</t>
  </si>
  <si>
    <t>mohitjitendra@iitbhilai.ac.in</t>
  </si>
  <si>
    <t>Neelisetty venkata RITHWIK</t>
  </si>
  <si>
    <t>B25DS026</t>
  </si>
  <si>
    <t>neelisettyven@iitbhilai.ac.in</t>
  </si>
  <si>
    <t>NITISHA DESHMUKH</t>
  </si>
  <si>
    <t>B25DS027</t>
  </si>
  <si>
    <t>nitishadesh@iitbhilai.ac.in</t>
  </si>
  <si>
    <t>OM DWIVEDI</t>
  </si>
  <si>
    <t>B25DS028</t>
  </si>
  <si>
    <t>omdwivedi@iitbhilai.ac.in</t>
  </si>
  <si>
    <t>Pandu Harshitha</t>
  </si>
  <si>
    <t>B25DS029</t>
  </si>
  <si>
    <t>panduharshi@iitbhilai.ac.in</t>
  </si>
  <si>
    <t>Praveen</t>
  </si>
  <si>
    <t>B25DS030</t>
  </si>
  <si>
    <t>praveenbeh@iitbhilai.ac.in</t>
  </si>
  <si>
    <t>rajveerdukiya@iitbhilai.ac.in</t>
  </si>
  <si>
    <t>B25DS031</t>
  </si>
  <si>
    <t>RAMAVATH GEETHIKA</t>
  </si>
  <si>
    <t>B25DS032</t>
  </si>
  <si>
    <t>ramavathge@iitbhilai.ac.in</t>
  </si>
  <si>
    <t>VIGNESH S</t>
  </si>
  <si>
    <t>B25DS033</t>
  </si>
  <si>
    <t>svignesh@iitbhilai.ac.in</t>
  </si>
  <si>
    <t>SHARVARI BHUTE</t>
  </si>
  <si>
    <t>B25DS034</t>
  </si>
  <si>
    <t>sharvarib@iitbhilai.ac.in</t>
  </si>
  <si>
    <t>R SHIVANGI</t>
  </si>
  <si>
    <t>B25DS035</t>
  </si>
  <si>
    <t>shivangir@iitbhilai.ac.in</t>
  </si>
  <si>
    <t>SHREY JAIN</t>
  </si>
  <si>
    <t>B25DS036</t>
  </si>
  <si>
    <t>shreyjain@iitbhilai.ac.in</t>
  </si>
  <si>
    <t>SIDDHANT VIJAY PUNEKAR</t>
  </si>
  <si>
    <t>B25DS037</t>
  </si>
  <si>
    <t>siddhantvijay@iitbhilai.ac.in</t>
  </si>
  <si>
    <t>SHARMA TEJASVI</t>
  </si>
  <si>
    <t>B25DS038</t>
  </si>
  <si>
    <t>tejasvisharma@iitbhilai.ac.in</t>
  </si>
  <si>
    <t>VAIBHAV</t>
  </si>
  <si>
    <t>B25DS039</t>
  </si>
  <si>
    <t>vaibhavsh@iitbhilai.ac.in</t>
  </si>
  <si>
    <t>VANGALA ARJUN</t>
  </si>
  <si>
    <t>B25DS040</t>
  </si>
  <si>
    <t>114200755377601808555</t>
  </si>
  <si>
    <t>Velavalapalli Anjana</t>
  </si>
  <si>
    <t>B25DS041</t>
  </si>
  <si>
    <t>velavalapallian@iitbhilai.ac.in</t>
  </si>
  <si>
    <t>VISHESH DAYLA</t>
  </si>
  <si>
    <t>B25DS042</t>
  </si>
  <si>
    <t>visheshdayla@iitbhilai.ac.in</t>
  </si>
  <si>
    <t>Yog Damahe</t>
  </si>
  <si>
    <t>B25DS043</t>
  </si>
  <si>
    <t>yoganild@iitbhilai.ac.in</t>
  </si>
  <si>
    <t>REDDY ABBIREDDY AJAYA RAGHAVENDRA</t>
  </si>
  <si>
    <t>B25EC001</t>
  </si>
  <si>
    <t>aarreddy@iitbhilai.ac.in</t>
  </si>
  <si>
    <t>KARIM ABDUL</t>
  </si>
  <si>
    <t>B25EC002</t>
  </si>
  <si>
    <t>akarim@iitbhilai.ac.in</t>
  </si>
  <si>
    <t>ADEM GANGAIAHGARI NEHA REDDY</t>
  </si>
  <si>
    <t>B25EC003</t>
  </si>
  <si>
    <t>agnreddy@iitbhilai.ac.in</t>
  </si>
  <si>
    <t>PADHY ANJANA</t>
  </si>
  <si>
    <t>B25EC004</t>
  </si>
  <si>
    <t>apadhy@iitbhilai.ac.in</t>
  </si>
  <si>
    <t>REDDY ANKI REDDY PALLI OBULA</t>
  </si>
  <si>
    <t>B25EC005</t>
  </si>
  <si>
    <t>arporeddy@iitbhilai.ac.in</t>
  </si>
  <si>
    <t>MAHARANA ANSHUMAN</t>
  </si>
  <si>
    <t>B25EC006</t>
  </si>
  <si>
    <t>amaharana@iitbhilai.ac.in</t>
  </si>
  <si>
    <t>ARITRA RAJWAR</t>
  </si>
  <si>
    <t>B25EC007</t>
  </si>
  <si>
    <t>arajwar@iitbhilai.ac.in</t>
  </si>
  <si>
    <t>GUPTA ARPITA</t>
  </si>
  <si>
    <t>B25EC008</t>
  </si>
  <si>
    <t>agupta@iitbhilai.ac.in</t>
  </si>
  <si>
    <t>BAVIRISETTI JAYAVARDHAN</t>
  </si>
  <si>
    <t>B25EC009</t>
  </si>
  <si>
    <t>bjayavardh@iitbhilai.ac.in</t>
  </si>
  <si>
    <t>CHANDU BOLLEDDU</t>
  </si>
  <si>
    <t>B25EC010</t>
  </si>
  <si>
    <t>bchandu@iitbhilai.ac.in</t>
  </si>
  <si>
    <t>CHANDRA DHANAVATH SHIVA</t>
  </si>
  <si>
    <t>B25EC011</t>
  </si>
  <si>
    <t>dschandra@iitbhilai.ac.in</t>
  </si>
  <si>
    <t>DILRAJ MEENA</t>
  </si>
  <si>
    <t>B25EC012</t>
  </si>
  <si>
    <t>dmeena@iitbhilai.ac.in</t>
  </si>
  <si>
    <t>DIVYAM RAJ</t>
  </si>
  <si>
    <t>B25EC013</t>
  </si>
  <si>
    <t>draj@iitbhilai.ac.in</t>
  </si>
  <si>
    <t>EVAAN BUX</t>
  </si>
  <si>
    <t>B25EC014</t>
  </si>
  <si>
    <t>ebux@iitbhilai.ac.in</t>
  </si>
  <si>
    <t>NEEHARIKA GADDE</t>
  </si>
  <si>
    <t>B25EC015</t>
  </si>
  <si>
    <t>115556163399080983969</t>
  </si>
  <si>
    <t>KUMAR GUMMALA VENKATA DHANUSH</t>
  </si>
  <si>
    <t>B25EC016</t>
  </si>
  <si>
    <t>gvdkumar@iitbhilai.ac.in</t>
  </si>
  <si>
    <t>AARYA VINOD HALDANKAR</t>
  </si>
  <si>
    <t>B25EC017</t>
  </si>
  <si>
    <t>havinod@iitbhilai.ac.in</t>
  </si>
  <si>
    <t>SINGH HARSHIT</t>
  </si>
  <si>
    <t>B25EC018</t>
  </si>
  <si>
    <t>hsingh@iitbhilai.ac.in</t>
  </si>
  <si>
    <t>ISHAAN SHUKLA</t>
  </si>
  <si>
    <t>B25EC019</t>
  </si>
  <si>
    <t>ishukla@iitbhilai.ac.in</t>
  </si>
  <si>
    <t>KAMMURI LOK PRAKASH CHOWDARY</t>
  </si>
  <si>
    <t>B25EC020</t>
  </si>
  <si>
    <t>klpchowdar@iitbhilai.ac.in</t>
  </si>
  <si>
    <t>KATKURI PRATEEK</t>
  </si>
  <si>
    <t>B25EC021</t>
  </si>
  <si>
    <t>katkurip@iitbhilai.ac.in</t>
  </si>
  <si>
    <t>BABU KOYYA SUMANTH</t>
  </si>
  <si>
    <t>B25EC022</t>
  </si>
  <si>
    <t>101109902469752077891</t>
  </si>
  <si>
    <t>K.Ram Charan Reddy</t>
  </si>
  <si>
    <t>B25EC023</t>
  </si>
  <si>
    <t>krcreddy@iitbhilai.ac.in</t>
  </si>
  <si>
    <t>MANU KUMAR</t>
  </si>
  <si>
    <t>B25EC024</t>
  </si>
  <si>
    <t>manukumar@iitbhilai.ac.in</t>
  </si>
  <si>
    <t>MUDAVATH CHINTU</t>
  </si>
  <si>
    <t>B25EC025</t>
  </si>
  <si>
    <t>mchintu@iitbhilai.ac.in</t>
  </si>
  <si>
    <t>NIKUNJ KUMAR BHOOT</t>
  </si>
  <si>
    <t>B25EC026</t>
  </si>
  <si>
    <t>nkbhoot@iitbhilai.ac.in</t>
  </si>
  <si>
    <t>NISHITA PRADIP KOLHE</t>
  </si>
  <si>
    <t>B25EC027</t>
  </si>
  <si>
    <t>npkolhe@iitbhilai.ac.in</t>
  </si>
  <si>
    <t>PAMPANA ASHI SAI SWI</t>
  </si>
  <si>
    <t>B25EC028</t>
  </si>
  <si>
    <t>passwi@iitbhilai.ac.in</t>
  </si>
  <si>
    <t>Anjali Poli</t>
  </si>
  <si>
    <t>B25EC029</t>
  </si>
  <si>
    <t>panjali@iitbhilai.ac.in</t>
  </si>
  <si>
    <t>RISHABH SAINI</t>
  </si>
  <si>
    <t>B25EC030</t>
  </si>
  <si>
    <t>rsaini@iitbhilai.ac.in</t>
  </si>
  <si>
    <t>RONAK KUMAR BOTHRA</t>
  </si>
  <si>
    <t>B25EC031</t>
  </si>
  <si>
    <t>rkbothra@iitbhilai.ac.in</t>
  </si>
  <si>
    <t>Abhishek ujval</t>
  </si>
  <si>
    <t>B25EC032</t>
  </si>
  <si>
    <t>113028353760283774051</t>
  </si>
  <si>
    <t>DAS SAYANDEEP</t>
  </si>
  <si>
    <t>B25EC033</t>
  </si>
  <si>
    <t>sdas@iitbhilai.ac.in</t>
  </si>
  <si>
    <t>SHALVI KUMAR</t>
  </si>
  <si>
    <t>B25EC034</t>
  </si>
  <si>
    <t>shalvik@iitbhilai.ac.in</t>
  </si>
  <si>
    <t>SHIYANI KRISH GHANSHYAMBHAI</t>
  </si>
  <si>
    <t>B25EC035</t>
  </si>
  <si>
    <t>skghanshya@iitbhilai.ac.in</t>
  </si>
  <si>
    <t>SHRIJIT PANKAJ NAUKARKAR</t>
  </si>
  <si>
    <t>B25EC036</t>
  </si>
  <si>
    <t>spnaukarka@iitbhilai.ac.in</t>
  </si>
  <si>
    <t>SIDDHANT SHUKLA</t>
  </si>
  <si>
    <t>B25EC037</t>
  </si>
  <si>
    <t>sshukla@iitbhilai.ac.in</t>
  </si>
  <si>
    <t>DEEKSHITHA SIRISETTI DURGA SRI VENKATA</t>
  </si>
  <si>
    <t>B25EC038</t>
  </si>
  <si>
    <t>sdsvdeeksh@iitbhilai.ac.in</t>
  </si>
  <si>
    <t>TANUMADDI NIKHIL REDDY</t>
  </si>
  <si>
    <t>B25EC039</t>
  </si>
  <si>
    <t>tnreddy@iitbhilai.ac.in</t>
  </si>
  <si>
    <t>UDAYVEER</t>
  </si>
  <si>
    <t>B25EC040</t>
  </si>
  <si>
    <t>usingh@iitbhilai.ac.in</t>
  </si>
  <si>
    <t>KESARWANI VAIBHAV</t>
  </si>
  <si>
    <t>B25EC041</t>
  </si>
  <si>
    <t>vkesarwani@iitbhilai.ac.in</t>
  </si>
  <si>
    <t>VENNELA SAIGANESH</t>
  </si>
  <si>
    <t>B25EC042</t>
  </si>
  <si>
    <t>vsaiganesh@iitbhilai.ac.in</t>
  </si>
  <si>
    <t>VIDIT NIMESH DEDHIA</t>
  </si>
  <si>
    <t>B25EC043</t>
  </si>
  <si>
    <t>vndedhia@iitbhilai.ac.in</t>
  </si>
  <si>
    <t>PATEL YUG PRAGNESH</t>
  </si>
  <si>
    <t>B25EC044</t>
  </si>
  <si>
    <t>yppatel@iitbhilai.ac.in</t>
  </si>
  <si>
    <t>ADIL ZOHAIB</t>
  </si>
  <si>
    <t>B25EC045</t>
  </si>
  <si>
    <t>zadil@iitbhilai.ac.in</t>
  </si>
  <si>
    <t>ABEER ARORA</t>
  </si>
  <si>
    <t>B25EE001</t>
  </si>
  <si>
    <t>abeerarora@iitbhilai.ac.in</t>
  </si>
  <si>
    <t>KUMAR ABHISHEK</t>
  </si>
  <si>
    <t>B25EE002</t>
  </si>
  <si>
    <t>abhishekkumar@iitbhilai.ac.in</t>
  </si>
  <si>
    <t>ABHISHEK SINGH</t>
  </si>
  <si>
    <t>B25EE003</t>
  </si>
  <si>
    <t>abhisheksingh@iitbhilai.ac.in</t>
  </si>
  <si>
    <t>ABHYUDAY SRIVASTAVA</t>
  </si>
  <si>
    <t>B25EE004</t>
  </si>
  <si>
    <t>abhyudaysrivas@iitbhilai.ac.in</t>
  </si>
  <si>
    <t>B25EE005</t>
  </si>
  <si>
    <t>adityarajee@iitbhilai.ac.in</t>
  </si>
  <si>
    <t>ROYAL ANALA NIKHILA</t>
  </si>
  <si>
    <t>B25EE006</t>
  </si>
  <si>
    <t>analanikhila@iitbhilai.ac.in</t>
  </si>
  <si>
    <t>SINGH_ ANIMESH RAGHAV</t>
  </si>
  <si>
    <t>B25EE007</t>
  </si>
  <si>
    <t>animeshraghav@iitbhilai.ac.in</t>
  </si>
  <si>
    <t>Pal Ankit</t>
  </si>
  <si>
    <t>B25EE008</t>
  </si>
  <si>
    <t>ankitpal@iitbhilai.ac.in</t>
  </si>
  <si>
    <t>RATH ANUSHKA</t>
  </si>
  <si>
    <t>B25EE009</t>
  </si>
  <si>
    <t>anushkarath@iitbhilai.ac.in</t>
  </si>
  <si>
    <t>SINGH ARPIT</t>
  </si>
  <si>
    <t>B25EE011</t>
  </si>
  <si>
    <t>arpitsingh@iitbhilai.ac.in</t>
  </si>
  <si>
    <t>JORWAL ARYAN</t>
  </si>
  <si>
    <t>B25EE012</t>
  </si>
  <si>
    <t>aryanjorwal@iitbhilai.ac.in</t>
  </si>
  <si>
    <t>Hasini B. Lakshmi</t>
  </si>
  <si>
    <t>B25EE013</t>
  </si>
  <si>
    <t>bandarupalli@iitbhilai.ac.in</t>
  </si>
  <si>
    <t>BHUKYA PAVAN</t>
  </si>
  <si>
    <t>B25EE014</t>
  </si>
  <si>
    <t>bhukyapavan@iitbhilai.ac.in</t>
  </si>
  <si>
    <t>BILLA SRIDULA</t>
  </si>
  <si>
    <t>B25EE015</t>
  </si>
  <si>
    <t>billasridula@iitbhilai.ac.in</t>
  </si>
  <si>
    <t>SOURYA CHANDRAGIRI VENKAT</t>
  </si>
  <si>
    <t>B25EE016</t>
  </si>
  <si>
    <t>chandragiriven@iitbhilai.ac.in</t>
  </si>
  <si>
    <t>CHENNUPATI LAKSHMI PRASANNA</t>
  </si>
  <si>
    <t>B25EE017</t>
  </si>
  <si>
    <t>chennupatilaks@iitbhilai.ac.in</t>
  </si>
  <si>
    <t>JASWANTHI DEGALA</t>
  </si>
  <si>
    <t>B25EE018</t>
  </si>
  <si>
    <t>degalaja@iitbhilai.ac.in</t>
  </si>
  <si>
    <t>DYAVA SANJAY</t>
  </si>
  <si>
    <t>B25EE019</t>
  </si>
  <si>
    <t>dyavasanjay@iitbhilai.ac.in</t>
  </si>
  <si>
    <t>HEMAL KETAN DEDHIA</t>
  </si>
  <si>
    <t>B25EE020</t>
  </si>
  <si>
    <t>113790690031822725474</t>
  </si>
  <si>
    <t>ANAND ISHAN SINGH</t>
  </si>
  <si>
    <t>B25EE021</t>
  </si>
  <si>
    <t>ishansingh@iitbhilai.ac.in</t>
  </si>
  <si>
    <t>KAIBADA ROHITH</t>
  </si>
  <si>
    <t>B25EE022</t>
  </si>
  <si>
    <t>kaibadarohith@iitbhilai.ac.in</t>
  </si>
  <si>
    <t>KAIF ALI</t>
  </si>
  <si>
    <t>B25EE023</t>
  </si>
  <si>
    <t>kaifali@iitbhilai.ac.in</t>
  </si>
  <si>
    <t>REDDY KAMIREDDY BHARATH KUMAR</t>
  </si>
  <si>
    <t>B25EE024</t>
  </si>
  <si>
    <t>kamireddybha@iitbhilai.ac.in</t>
  </si>
  <si>
    <t>SRAVANTHI KETHAVATH</t>
  </si>
  <si>
    <t>B25EE025</t>
  </si>
  <si>
    <t>kethavathsra@iitbhilai.ac.in</t>
  </si>
  <si>
    <t>KISHAN JALAN</t>
  </si>
  <si>
    <t>B25EE026</t>
  </si>
  <si>
    <t>112285633737411751718</t>
  </si>
  <si>
    <t>Lakshya soni</t>
  </si>
  <si>
    <t>B25EE027</t>
  </si>
  <si>
    <t>lakshyasoni@iitbhilai.ac.in</t>
  </si>
  <si>
    <t>SATHVIK MANNE</t>
  </si>
  <si>
    <t>B25EE028</t>
  </si>
  <si>
    <t>mannesathvik@iitbhilai.ac.in</t>
  </si>
  <si>
    <t>SHAIKH MOHAMMAD AQUIB HUSAIN</t>
  </si>
  <si>
    <t>B25EE029</t>
  </si>
  <si>
    <t>mohammadaquib@iitbhilai.ac.in</t>
  </si>
  <si>
    <t>AARADHYA NAKKA</t>
  </si>
  <si>
    <t>B25EE030</t>
  </si>
  <si>
    <t>nakkaaaradhya@iitbhilai.ac.in</t>
  </si>
  <si>
    <t>CHANDWANI NAMAN</t>
  </si>
  <si>
    <t>B25EE031</t>
  </si>
  <si>
    <t>namanchand@iitbhilai.ac.in</t>
  </si>
  <si>
    <t>NANCY SAHU</t>
  </si>
  <si>
    <t>B25EE032</t>
  </si>
  <si>
    <t>nancysahu@iitbhilai.ac.in</t>
  </si>
  <si>
    <t>KAMBLE NINAD</t>
  </si>
  <si>
    <t>B25EE033</t>
  </si>
  <si>
    <t>ninadkamble@iitbhilai.ac.in</t>
  </si>
  <si>
    <t>NITIN</t>
  </si>
  <si>
    <t>B25EE034</t>
  </si>
  <si>
    <t>nitinb@iitbhilai.ac.in</t>
  </si>
  <si>
    <t>PADALA LAHARI</t>
  </si>
  <si>
    <t>B25EE035</t>
  </si>
  <si>
    <t>padalalahari@iitbhilai.ac.in</t>
  </si>
  <si>
    <t>PALAK JAIN</t>
  </si>
  <si>
    <t>B25EE036</t>
  </si>
  <si>
    <t>palakjain@iitbhilai.ac.in</t>
  </si>
  <si>
    <t>BHAVNISHKUMAR PATEL DEVANSH</t>
  </si>
  <si>
    <t>B25EE037</t>
  </si>
  <si>
    <t>pateldevanshbh@iitbhilai.ac.in</t>
  </si>
  <si>
    <t>PENUBODI MANOJ SRI VASTAV</t>
  </si>
  <si>
    <t>B25EE038</t>
  </si>
  <si>
    <t>penubodimanoj@iitbhilai.ac.in</t>
  </si>
  <si>
    <t>SINGHAL PIYUSH</t>
  </si>
  <si>
    <t>B25EE039</t>
  </si>
  <si>
    <t>piyushsinghal@iitbhilai.ac.in</t>
  </si>
  <si>
    <t>POTHUMUDI PRADEEP KUMAR</t>
  </si>
  <si>
    <t>B25EE040</t>
  </si>
  <si>
    <t>pothumudipr@iitbhilai.ac.in</t>
  </si>
  <si>
    <t>PRIYANSHU JAISWAL</t>
  </si>
  <si>
    <t>B25EE042</t>
  </si>
  <si>
    <t>priyanshuja@iitbhilai.ac.in</t>
  </si>
  <si>
    <t>PURUSHOTHAM PARTHASARADHI</t>
  </si>
  <si>
    <t>B25EE043</t>
  </si>
  <si>
    <t>purushothamp@iitbhilai.ac.in</t>
  </si>
  <si>
    <t>Rahul patil</t>
  </si>
  <si>
    <t>B25EE044</t>
  </si>
  <si>
    <t>rahulgautam@iitbhilai.ac.in</t>
  </si>
  <si>
    <t>DWIVEDI RAJ</t>
  </si>
  <si>
    <t>B25EE045</t>
  </si>
  <si>
    <t>rajdwivedi@iitbhilai.ac.in</t>
  </si>
  <si>
    <t>KUMAR RANJIT</t>
  </si>
  <si>
    <t>B25EE046</t>
  </si>
  <si>
    <t>ranjitkumar@iitbhilai.ac.in</t>
  </si>
  <si>
    <t>PILLAI ROHIT J</t>
  </si>
  <si>
    <t>B25EE048</t>
  </si>
  <si>
    <t>rohitjpillai@iitbhilai.ac.in</t>
  </si>
  <si>
    <t>SAHA SANIL</t>
  </si>
  <si>
    <t>B25EE049</t>
  </si>
  <si>
    <t>sanilsaha@iitbhilai.ac.in</t>
  </si>
  <si>
    <t>SARVESH S PATIL</t>
  </si>
  <si>
    <t>B25EE050</t>
  </si>
  <si>
    <t>sarveshspatil@iitbhilai.ac.in</t>
  </si>
  <si>
    <t>KUMAR SAUMITRA</t>
  </si>
  <si>
    <t>B25EE051</t>
  </si>
  <si>
    <t>saumitrakumar@iitbhilai.ac.in</t>
  </si>
  <si>
    <t>GUPTA SHIVAM KUMAR</t>
  </si>
  <si>
    <t>B25EE052</t>
  </si>
  <si>
    <t>shivamkumar@iitbhilai.ac.in</t>
  </si>
  <si>
    <t>SHUBHAM ASARE</t>
  </si>
  <si>
    <t>B25EE053</t>
  </si>
  <si>
    <t>shubhamasare@iitbhilai.ac.in</t>
  </si>
  <si>
    <t>SHUBHAM KUMAR</t>
  </si>
  <si>
    <t>B25EE054</t>
  </si>
  <si>
    <t>shubhamku@iitbhilai.ac.in</t>
  </si>
  <si>
    <t>SOUMIL SAHU</t>
  </si>
  <si>
    <t>B25EE055</t>
  </si>
  <si>
    <t>112247789942064116506</t>
  </si>
  <si>
    <t>YAMINI VARADA</t>
  </si>
  <si>
    <t>B25EE056</t>
  </si>
  <si>
    <t>varadayamini@iitbhilai.ac.in</t>
  </si>
  <si>
    <t>Varanasi Tarun Sai</t>
  </si>
  <si>
    <t>B25EE057</t>
  </si>
  <si>
    <t>varanasitarun@iitbhilai.ac.in</t>
  </si>
  <si>
    <t>VEDANT MITHUN SHAH</t>
  </si>
  <si>
    <t>B25EE058</t>
  </si>
  <si>
    <t>vedantshah@iitbhilai.ac.in</t>
  </si>
  <si>
    <t>VIVEK WALIKAR</t>
  </si>
  <si>
    <t>B25EE059</t>
  </si>
  <si>
    <t>vivekwalikar@iitbhilai.ac.in</t>
  </si>
  <si>
    <t>Yash Vardhan Singh</t>
  </si>
  <si>
    <t>B25EE060</t>
  </si>
  <si>
    <t>yvsingh@iitbhilai.ac.in</t>
  </si>
  <si>
    <t>AADARSH YOVRAJ SINGH CHOUHAN</t>
  </si>
  <si>
    <t>B25ME001</t>
  </si>
  <si>
    <t>ayschouhan@iitbhilai.ac.in</t>
  </si>
  <si>
    <t>JAIN AARJAV</t>
  </si>
  <si>
    <t>B25ME002</t>
  </si>
  <si>
    <t>ajain@iitbhilai.ac.in</t>
  </si>
  <si>
    <t>ADARSH DHAKAD</t>
  </si>
  <si>
    <t>B25ME003</t>
  </si>
  <si>
    <t>adhakad@iitbhilai.ac.in</t>
  </si>
  <si>
    <t>ADHI AGRAWAL</t>
  </si>
  <si>
    <t>B25ME004</t>
  </si>
  <si>
    <t>aagrawal@iitbhilai.ac.in</t>
  </si>
  <si>
    <t>ANOOP ADWAITH</t>
  </si>
  <si>
    <t>B25ME005</t>
  </si>
  <si>
    <t>aanoop@iitbhilai.ac.in</t>
  </si>
  <si>
    <t>Ajjarapu Atchutarams</t>
  </si>
  <si>
    <t>B25ME006</t>
  </si>
  <si>
    <t>aarams@iitbhilai.ac.in</t>
  </si>
  <si>
    <t>ALAHARI VENKATA NAGA DINESH ABHIRAM</t>
  </si>
  <si>
    <t>B25ME007</t>
  </si>
  <si>
    <t>113414880016093743077</t>
  </si>
  <si>
    <t>ANISH KUMAR MISHRA</t>
  </si>
  <si>
    <t>B25ME008</t>
  </si>
  <si>
    <t>akmishra@iitbhilai.ac.in</t>
  </si>
  <si>
    <t>ANUBHAV NARVARIYA</t>
  </si>
  <si>
    <t>B25ME009</t>
  </si>
  <si>
    <t>anarvariya@iitbhilai.ac.in</t>
  </si>
  <si>
    <t>KUMAR ANUJ</t>
  </si>
  <si>
    <t>B25ME010</t>
  </si>
  <si>
    <t>anujk@iitbhilai.ac.in</t>
  </si>
  <si>
    <t>PANDEY ARPIT</t>
  </si>
  <si>
    <t>B25ME011</t>
  </si>
  <si>
    <t>apandey@iitbhilai.ac.in</t>
  </si>
  <si>
    <t>ARUSHI RAWAT</t>
  </si>
  <si>
    <t>B25ME012</t>
  </si>
  <si>
    <t>arawat@iitbhilai.ac.in</t>
  </si>
  <si>
    <t>ASHTAPUTRE ANANYA ABHAY</t>
  </si>
  <si>
    <t>B25ME013</t>
  </si>
  <si>
    <t>aaabhay@iitbhilai.ac.in</t>
  </si>
  <si>
    <t>ATHARVA SHILE</t>
  </si>
  <si>
    <t>B25ME014</t>
  </si>
  <si>
    <t>asshile@iitbhilai.ac.in</t>
  </si>
  <si>
    <t>Bablu Bunker</t>
  </si>
  <si>
    <t>B25ME016</t>
  </si>
  <si>
    <t>101063313082382402792</t>
  </si>
  <si>
    <t>BAGADI VIVEKANANDA</t>
  </si>
  <si>
    <t>B25ME017</t>
  </si>
  <si>
    <t>bvivekanan@iitbhilai.ac.in</t>
  </si>
  <si>
    <t>BEDANGA DAS</t>
  </si>
  <si>
    <t>B25ME018</t>
  </si>
  <si>
    <t>bdas@iitbhilai.ac.in</t>
  </si>
  <si>
    <t>BHANAVATHU PANDU</t>
  </si>
  <si>
    <t>B25ME019</t>
  </si>
  <si>
    <t>bpandu@iitbhilai.ac.in</t>
  </si>
  <si>
    <t>ABHILASH BODA</t>
  </si>
  <si>
    <t>B25ME021</t>
  </si>
  <si>
    <t>babhilash@iitbhilai.ac.in</t>
  </si>
  <si>
    <t>REDDY/ CHITTETI SWARUSH</t>
  </si>
  <si>
    <t>B25ME022</t>
  </si>
  <si>
    <t>csreddy@iitbhilai.ac.in</t>
  </si>
  <si>
    <t>ABHINAV SURYA TEJ</t>
  </si>
  <si>
    <t>B25ME023</t>
  </si>
  <si>
    <t>dasuryatej@iitbhilai.ac.in</t>
  </si>
  <si>
    <t>KUMAR DAYA SHANKAR</t>
  </si>
  <si>
    <t>B25ME024</t>
  </si>
  <si>
    <t>dskumar@iitbhilai.ac.in</t>
  </si>
  <si>
    <t>DEVA PRIYAN S</t>
  </si>
  <si>
    <t>B25ME025</t>
  </si>
  <si>
    <t>dpriyans@iitbhilai.ac.in</t>
  </si>
  <si>
    <t>PIYUSH DEVKANT</t>
  </si>
  <si>
    <t>B25ME026</t>
  </si>
  <si>
    <t>dpiyush@iitbhilai.ac.in</t>
  </si>
  <si>
    <t>ESHAAN SIVAKUMAR</t>
  </si>
  <si>
    <t>B25ME027</t>
  </si>
  <si>
    <t>esivakumar@iitbhilai.ac.in</t>
  </si>
  <si>
    <t>Remalya</t>
  </si>
  <si>
    <t>B25ME028</t>
  </si>
  <si>
    <t>gremalya@iitbhilai.ac.in</t>
  </si>
  <si>
    <t>GARVIT SHARMA</t>
  </si>
  <si>
    <t>B25ME029</t>
  </si>
  <si>
    <t>gsharma@iitbhilai.ac.in</t>
  </si>
  <si>
    <t>Gedelathanoojreddy</t>
  </si>
  <si>
    <t>B25ME030</t>
  </si>
  <si>
    <t>111210588778668909863</t>
  </si>
  <si>
    <t>TORPHE HARSH SANJAY</t>
  </si>
  <si>
    <t>B25ME031</t>
  </si>
  <si>
    <t>hstorphe@iitbhilai.ac.in</t>
  </si>
  <si>
    <t>ISHAN CHATTERJEE</t>
  </si>
  <si>
    <t>B25ME032</t>
  </si>
  <si>
    <t>ichatterje@iitbhilai.ac.in</t>
  </si>
  <si>
    <t>JATIN GAUTAM</t>
  </si>
  <si>
    <t>B25ME033</t>
  </si>
  <si>
    <t>jgautam@iitbhilai.ac.in</t>
  </si>
  <si>
    <t>KARTIK</t>
  </si>
  <si>
    <t>B25ME034</t>
  </si>
  <si>
    <t>kartik@iitbhilai.ac.in</t>
  </si>
  <si>
    <t>HARSHITHA KASAGANI LAKSHMI KIRAN</t>
  </si>
  <si>
    <t>B25ME035</t>
  </si>
  <si>
    <t>klkharshit@iitbhilai.ac.in</t>
  </si>
  <si>
    <t>KASHISH KUMARI</t>
  </si>
  <si>
    <t>B25ME036</t>
  </si>
  <si>
    <t>kkumari@iitbhilai.ac.in</t>
  </si>
  <si>
    <t>KORRAPATI KARTHIKEYA</t>
  </si>
  <si>
    <t>B25ME037</t>
  </si>
  <si>
    <t>kkarthikey@iitbhilai.ac.in</t>
  </si>
  <si>
    <t>KOTANNAGARI BHARGAV SHASHANK</t>
  </si>
  <si>
    <t>B25ME038</t>
  </si>
  <si>
    <t>kgbshashan@iitbhilai.ac.in</t>
  </si>
  <si>
    <t>SHEORAN KRISH</t>
  </si>
  <si>
    <t>B25ME039</t>
  </si>
  <si>
    <t>ksheoran@iitbhilai.ac.in</t>
  </si>
  <si>
    <t>MANAN GARG</t>
  </si>
  <si>
    <t>B25ME041</t>
  </si>
  <si>
    <t>mgarg@iitbhilai.ac.in</t>
  </si>
  <si>
    <t>Mangalaram Susheel reddy</t>
  </si>
  <si>
    <t>B25ME042</t>
  </si>
  <si>
    <t>msreddy@iitbhilai.ac.in</t>
  </si>
  <si>
    <t>SUDHA KAVYA</t>
  </si>
  <si>
    <t>B25ME043</t>
  </si>
  <si>
    <t>mksudha@iitbhilai.ac.in</t>
  </si>
  <si>
    <t>NUSI DEVENDAR REDDY</t>
  </si>
  <si>
    <t>B25ME045</t>
  </si>
  <si>
    <t>ndreddy@iitbhilai.ac.in</t>
  </si>
  <si>
    <t>PODILA SYAMBABU</t>
  </si>
  <si>
    <t>B25ME046</t>
  </si>
  <si>
    <t>psyambabu@iitbhilai.ac.in</t>
  </si>
  <si>
    <t>PRATYUSH SRIVASTAVA</t>
  </si>
  <si>
    <t>B25ME047</t>
  </si>
  <si>
    <t>pratyushsv@iitbhilai.ac.in</t>
  </si>
  <si>
    <t>PRIYANKA SAMIR BHANARKAR</t>
  </si>
  <si>
    <t>B25ME048</t>
  </si>
  <si>
    <t>psbhanarka@iitbhilai.ac.in</t>
  </si>
  <si>
    <t>Rajnandinee Jadhav</t>
  </si>
  <si>
    <t>B25ME049</t>
  </si>
  <si>
    <t>rpjadhav@iitbhilai.ac.in</t>
  </si>
  <si>
    <t>RAPARTHI ABHILASH</t>
  </si>
  <si>
    <t>B25ME050</t>
  </si>
  <si>
    <t>rabhilash@iitbhilai.ac.in</t>
  </si>
  <si>
    <t>rjain@iitbhilai.ac.in</t>
  </si>
  <si>
    <t>B25ME051</t>
  </si>
  <si>
    <t>ROHIT SONI</t>
  </si>
  <si>
    <t>B25ME052</t>
  </si>
  <si>
    <t>105727867094098693539</t>
  </si>
  <si>
    <t>SHAONI MISTRY</t>
  </si>
  <si>
    <t>B25ME054</t>
  </si>
  <si>
    <t>smistry@iitbhilai.ac.in</t>
  </si>
  <si>
    <t>SRIVASTAV SHAURYA</t>
  </si>
  <si>
    <t>B25ME055</t>
  </si>
  <si>
    <t>shauryasv@iitbhilai.ac.in</t>
  </si>
  <si>
    <t>SHIVAM SRIVASTAVA</t>
  </si>
  <si>
    <t>B25ME056</t>
  </si>
  <si>
    <t>shivamsv@iitbhilai.ac.in</t>
  </si>
  <si>
    <t>MANDAL SOUVIK</t>
  </si>
  <si>
    <t>B25ME057</t>
  </si>
  <si>
    <t>smandal@iitbhilai.ac.in</t>
  </si>
  <si>
    <t>VANI LAKSHMI K</t>
  </si>
  <si>
    <t>B25ME058</t>
  </si>
  <si>
    <t>vanilakshmi@iitbhilai.ac.in</t>
  </si>
  <si>
    <t>VEDANT VIDYADHAR NICHAL</t>
  </si>
  <si>
    <t>B25ME059</t>
  </si>
  <si>
    <t>vvnichal@iitbhilai.ac.in</t>
  </si>
  <si>
    <t>PRASAD VENNA YASWANTH SATYA SAI DURGA</t>
  </si>
  <si>
    <t>B25ME060</t>
  </si>
  <si>
    <t>vyssdprasa@iitbhilai.ac.in</t>
  </si>
  <si>
    <t>AARUSH AMIT DESHPANDE</t>
  </si>
  <si>
    <t>B25MM001</t>
  </si>
  <si>
    <t>aadeshpand@iitbhilai.ac.in</t>
  </si>
  <si>
    <t>KUMAWAT AJAY</t>
  </si>
  <si>
    <t>B25MM002</t>
  </si>
  <si>
    <t>akumawat@iitbhilai.ac.in</t>
  </si>
  <si>
    <t>PATHAK ANIMESH</t>
  </si>
  <si>
    <t>B25MM004</t>
  </si>
  <si>
    <t>apathak@iitbhilai.ac.in</t>
  </si>
  <si>
    <t>C ASHWIN NAINAAR R</t>
  </si>
  <si>
    <t>B25MM005</t>
  </si>
  <si>
    <t>anainaarrc@iitbhilai.ac.in</t>
  </si>
  <si>
    <t>ATHARVA OM SARWADE</t>
  </si>
  <si>
    <t>B25MM006</t>
  </si>
  <si>
    <t>atharvaos@iitbhilai.ac.in</t>
  </si>
  <si>
    <t>Bokkala Sathwika</t>
  </si>
  <si>
    <t>B25MM007</t>
  </si>
  <si>
    <t>bsathwika@iitbhilai.ac.in</t>
  </si>
  <si>
    <t>DHARAVATH CHANDANA</t>
  </si>
  <si>
    <t>B25MM008</t>
  </si>
  <si>
    <t>dharavathc@iitbhilai.ac.in</t>
  </si>
  <si>
    <t>Ganta Jeswil</t>
  </si>
  <si>
    <t>B25MM009</t>
  </si>
  <si>
    <t>gjeswil@iitbhilai.ac.in</t>
  </si>
  <si>
    <t>JAYANSHI AGARWAL</t>
  </si>
  <si>
    <t>B25MM011</t>
  </si>
  <si>
    <t>jayanshia@iitbhilai.ac.in</t>
  </si>
  <si>
    <t>KARAMTOTHU ABHINAV SAI</t>
  </si>
  <si>
    <t>B25MM012</t>
  </si>
  <si>
    <t>kabhinavs@iitbhilai.ac.in</t>
  </si>
  <si>
    <t>K Lakshmi Mani Deepu</t>
  </si>
  <si>
    <t>B25MM013</t>
  </si>
  <si>
    <t>klmdeepu@iitbhilai.ac.in</t>
  </si>
  <si>
    <t>MENTUMU VIVEK VARDHAN</t>
  </si>
  <si>
    <t>B25MM014</t>
  </si>
  <si>
    <t>mvvardhan@iitbhilai.ac.in</t>
  </si>
  <si>
    <t>NIKHIL GOPLANI</t>
  </si>
  <si>
    <t>B25MM015</t>
  </si>
  <si>
    <t>ngoplani@iitbhilai.ac.in</t>
  </si>
  <si>
    <t>NIMMAKAYALA ESWAR SAI KAMAL</t>
  </si>
  <si>
    <t>B25MM016</t>
  </si>
  <si>
    <t>neskamal@iitbhilai.ac.in</t>
  </si>
  <si>
    <t>NISHANT PRASAD</t>
  </si>
  <si>
    <t>B25MM017</t>
  </si>
  <si>
    <t>nprasad@iitbhilai.ac.in</t>
  </si>
  <si>
    <t>KUMAR NITISH</t>
  </si>
  <si>
    <t>B25MM018</t>
  </si>
  <si>
    <t>nitishkr@iitbhilai.ac.in</t>
  </si>
  <si>
    <t>RATNABH ASATI</t>
  </si>
  <si>
    <t>B25MM020</t>
  </si>
  <si>
    <t>ratnabh@iitbhilai.ac.in</t>
  </si>
  <si>
    <t>RAVISH SINGH</t>
  </si>
  <si>
    <t>B25MM021</t>
  </si>
  <si>
    <t>rsingh@iitbhilai.ac.in</t>
  </si>
  <si>
    <t>SAKSHAM DEBADWAR</t>
  </si>
  <si>
    <t>B25MM023</t>
  </si>
  <si>
    <t>ssdebadwar@iitbhilai.ac.in</t>
  </si>
  <si>
    <t>SHRESTH PASTOR</t>
  </si>
  <si>
    <t>B25MM025</t>
  </si>
  <si>
    <t>spastor@iitbhilai.ac.in</t>
  </si>
  <si>
    <t>SNEHA BAJPAI</t>
  </si>
  <si>
    <t>B25MM026</t>
  </si>
  <si>
    <t>sbajpai@iitbhilai.ac.in</t>
  </si>
  <si>
    <t>RISHINDRA SONTHENA SATYA</t>
  </si>
  <si>
    <t>B25MM027</t>
  </si>
  <si>
    <t>ssrishindr@iitbhilai.ac.in</t>
  </si>
  <si>
    <t>TAHA HUSSAIN</t>
  </si>
  <si>
    <t>B25MM028</t>
  </si>
  <si>
    <t>thussain@iitbhilai.ac.in</t>
  </si>
  <si>
    <t>YAGNAVALKYA VABILISETTI</t>
  </si>
  <si>
    <t>B25MM029</t>
  </si>
  <si>
    <t>vyagnavalk@iitbhilai.ac.in</t>
  </si>
  <si>
    <t>VIVEKA S</t>
  </si>
  <si>
    <t>B25MM030</t>
  </si>
  <si>
    <t>vivekas@iitbhilai.ac.in</t>
  </si>
  <si>
    <t>AKSHAT TIWARI</t>
  </si>
  <si>
    <t>B25MT001</t>
  </si>
  <si>
    <t>atiwari@iitbhilai.ac.in</t>
  </si>
  <si>
    <t>RAYNIL ANGELA MARY</t>
  </si>
  <si>
    <t>B25MT002</t>
  </si>
  <si>
    <t>amraynil@iitbhilai.ac.in</t>
  </si>
  <si>
    <t>ANIRUDH MISHRA</t>
  </si>
  <si>
    <t>B25MT003</t>
  </si>
  <si>
    <t>amishra@iitbhilai.ac.in</t>
  </si>
  <si>
    <t>MURALI DANDI</t>
  </si>
  <si>
    <t>B25MT004</t>
  </si>
  <si>
    <t>dmurali@iitbhilai.ac.in</t>
  </si>
  <si>
    <t>DEVAGUPTAPU CHAHANA</t>
  </si>
  <si>
    <t>B25MT005</t>
  </si>
  <si>
    <t>dchahana@iitbhilai.ac.in</t>
  </si>
  <si>
    <t>ERASALA VISHWAS</t>
  </si>
  <si>
    <t>B25MT006</t>
  </si>
  <si>
    <t>evishwas@iitbhilai.ac.in</t>
  </si>
  <si>
    <t>ABHIRAM HANUMANTHU</t>
  </si>
  <si>
    <t>B25MT007</t>
  </si>
  <si>
    <t>habhiram@iitbhilai.ac.in</t>
  </si>
  <si>
    <t>JALAJ</t>
  </si>
  <si>
    <t>B25MT008</t>
  </si>
  <si>
    <t>jalaj@iitbhilai.ac.in</t>
  </si>
  <si>
    <t>JONATHAN SUMANTH NERELLA</t>
  </si>
  <si>
    <t>B25MT009</t>
  </si>
  <si>
    <t>jsnerella@iitbhilai.ac.in</t>
  </si>
  <si>
    <t>GOUD KAIRA MANIDEEP</t>
  </si>
  <si>
    <t>B25MT010</t>
  </si>
  <si>
    <t>kmgoud@iitbhilai.ac.in</t>
  </si>
  <si>
    <t>KANDAKATLA ASHUTHOSH KRISHNA</t>
  </si>
  <si>
    <t>B25MT011</t>
  </si>
  <si>
    <t>kakrishna@iitbhilai.ac.in</t>
  </si>
  <si>
    <t>KUNDELU PRANAY RAJ</t>
  </si>
  <si>
    <t>B25MT014</t>
  </si>
  <si>
    <t>kpraj@iitbhilai.ac.in</t>
  </si>
  <si>
    <t>GAWAI MALANK</t>
  </si>
  <si>
    <t>B25MT015</t>
  </si>
  <si>
    <t>mgawai@iitbhilai.ac.in</t>
  </si>
  <si>
    <t>MONIKA</t>
  </si>
  <si>
    <t>B25MT016</t>
  </si>
  <si>
    <t>110252703025030994795</t>
  </si>
  <si>
    <t>DHEERAJ NAGULAPALLI</t>
  </si>
  <si>
    <t>B25MT017</t>
  </si>
  <si>
    <t>ndheeraj@iitbhilai.ac.in</t>
  </si>
  <si>
    <t>KUMAR NITIN</t>
  </si>
  <si>
    <t>B25MT018</t>
  </si>
  <si>
    <t>nkumar@iitbhilai.ac.in</t>
  </si>
  <si>
    <t>SRIVASTAVA PRATYUSH</t>
  </si>
  <si>
    <t>B25MT019</t>
  </si>
  <si>
    <t>psrivastav@iitbhilai.ac.in</t>
  </si>
  <si>
    <t>YASWANTH RAMALA</t>
  </si>
  <si>
    <t>B25MT020</t>
  </si>
  <si>
    <t>ryaswanth@iitbhilai.ac.in</t>
  </si>
  <si>
    <t>RAMAVATH SAI CHARAN</t>
  </si>
  <si>
    <t>B25MT021</t>
  </si>
  <si>
    <t>rscharan@iitbhilai.ac.in</t>
  </si>
  <si>
    <t>RISHI BANSODE</t>
  </si>
  <si>
    <t>B25MT022</t>
  </si>
  <si>
    <t>rbansode@iitbhilai.ac.in</t>
  </si>
  <si>
    <t>RITIKA YADAV</t>
  </si>
  <si>
    <t>B25MT023</t>
  </si>
  <si>
    <t>ryadav@iitbhilai.ac.in</t>
  </si>
  <si>
    <t>SAMAYANA MAHESH GODBOLE</t>
  </si>
  <si>
    <t>B25MT024</t>
  </si>
  <si>
    <t>smgodbole@iitbhilai.ac.in</t>
  </si>
  <si>
    <t>SHREYA SINGH</t>
  </si>
  <si>
    <t>B25MT025</t>
  </si>
  <si>
    <t>ssingh@iitbhilai.ac.in</t>
  </si>
  <si>
    <t>SHREYAS SHARMA</t>
  </si>
  <si>
    <t>B25MT026</t>
  </si>
  <si>
    <t>ssharma@iitbhilai.ac.in</t>
  </si>
  <si>
    <t>SUMEDHA VIKAS MUMMIGATTI</t>
  </si>
  <si>
    <t>B25MT027</t>
  </si>
  <si>
    <t>svmummigat@iitbhilai.ac.in</t>
  </si>
  <si>
    <t>VAIBHAV MINA</t>
  </si>
  <si>
    <t>B25MT029</t>
  </si>
  <si>
    <t>vmina@iitbhilai.ac.in</t>
  </si>
  <si>
    <t>BHUSHAN VELAMURI VIJAY</t>
  </si>
  <si>
    <t>B25MT030</t>
  </si>
  <si>
    <t>vvbhushan@iitbhilai.ac.in</t>
  </si>
  <si>
    <t>VISHESH SINGH</t>
  </si>
  <si>
    <t>B25MT031</t>
  </si>
  <si>
    <t>vsingh@iitbhilai.ac.in</t>
  </si>
  <si>
    <t>YERRA SRIKAR</t>
  </si>
  <si>
    <t>B25MT032</t>
  </si>
  <si>
    <t>ysrikar@iitbhilai.ac.in</t>
  </si>
  <si>
    <t>Name</t>
  </si>
  <si>
    <t>ID</t>
  </si>
  <si>
    <t>Grade</t>
  </si>
  <si>
    <t>SIS Login ID</t>
  </si>
  <si>
    <t>End Sem (60552481)</t>
  </si>
  <si>
    <t>Mid Sem (58777481)</t>
  </si>
  <si>
    <t>ExamFinal</t>
  </si>
  <si>
    <t>Offline Quiz 1 (58279106)</t>
  </si>
  <si>
    <t>Offline Quiz 2  (59288522)</t>
  </si>
  <si>
    <t>Offline Quiz 3 (60480072)</t>
  </si>
  <si>
    <t>QuizFinal</t>
  </si>
  <si>
    <t>Asg1</t>
  </si>
  <si>
    <t>Sliding Characters Game Development in Python (57463646)</t>
  </si>
  <si>
    <t>Python Clock Assignment (Optional*) (58717731)</t>
  </si>
  <si>
    <t>Asg 2</t>
  </si>
  <si>
    <t>Analyzing call record/history data (59288548)</t>
  </si>
  <si>
    <t>Asg_Final</t>
  </si>
  <si>
    <t>Practice Quiz (57192616)</t>
  </si>
  <si>
    <t>Practice Quiz - 2 (57710859)</t>
  </si>
  <si>
    <t>Practice Quiz - 3 (57710877)</t>
  </si>
  <si>
    <t>Practice Quiz - 4 (57710885)</t>
  </si>
  <si>
    <t>Practice Sheet 1.1 (57352610)</t>
  </si>
  <si>
    <t>Practice Sheet 1 (soft copy) (57328669)</t>
  </si>
  <si>
    <t>Practice Sheet 1.2 + Chapter 2 of IITD Notes (57466219)</t>
  </si>
  <si>
    <t>Selected Problems from Practice Sheets 2, 3, 4 (57884237)</t>
  </si>
  <si>
    <t>Practice Sheet 5 and 6 questions (58107442)</t>
  </si>
  <si>
    <t>Practice Sheet - Python (59580084)</t>
  </si>
  <si>
    <t>Practice Sheet - Whole Syllabus (60148873)</t>
  </si>
  <si>
    <t>PracticeSheetTotal</t>
  </si>
  <si>
    <t>Course Project Proposal (59288714)</t>
  </si>
  <si>
    <t>Final Project  (60057608)</t>
  </si>
  <si>
    <t>LabAttendance</t>
  </si>
  <si>
    <t>ProjectFinal</t>
  </si>
  <si>
    <t>CourseTotal</t>
  </si>
  <si>
    <t>Aditya Gupta</t>
  </si>
  <si>
    <t xml:space="preserve">S25MA001 </t>
  </si>
  <si>
    <t>ADITYAGUPTA@iitbhilai.ac.in</t>
  </si>
  <si>
    <t>Anand Kumar</t>
  </si>
  <si>
    <t>S25MA002</t>
  </si>
  <si>
    <t>ANANDKUM@iitbhilai.ac.in</t>
  </si>
  <si>
    <t>DISABEN SHAILESHBHAI</t>
  </si>
  <si>
    <t>S25MA004</t>
  </si>
  <si>
    <t>DISABENSP@iitbhilai.ac.in</t>
  </si>
  <si>
    <t xml:space="preserve"> KANJARIYA KEVAL ANILBHAI</t>
  </si>
  <si>
    <t>S25MA008</t>
  </si>
  <si>
    <t>KEVALAK@iitbhilai.ac.in</t>
  </si>
  <si>
    <t>NINGTHOUJAM BIRJIT SINGH</t>
  </si>
  <si>
    <t>S25MA010</t>
  </si>
  <si>
    <t>NINGTHOUJAMBS@iitbhilai.ac.in</t>
  </si>
  <si>
    <t>NITISH KUMAR</t>
  </si>
  <si>
    <t>S25MA011</t>
  </si>
  <si>
    <t>NITISHKUMAR@iitbhilai.ac.in</t>
  </si>
  <si>
    <t>ROMIT PUSHKAR</t>
  </si>
  <si>
    <t>S25MA013</t>
  </si>
  <si>
    <t>ROMITPUSHKAR@iitbhilai.ac.in</t>
  </si>
  <si>
    <t>KumarShubham</t>
  </si>
  <si>
    <t xml:space="preserve">S25MA014 </t>
  </si>
  <si>
    <t>SHUBHAMKUM@iitbhilai.ac.in</t>
  </si>
  <si>
    <t>TEJASWINEE NAIK</t>
  </si>
  <si>
    <t>S25MA015</t>
  </si>
  <si>
    <t>TEJASWINEENAIK@iitbhilai.ac.in</t>
  </si>
  <si>
    <t>VADAM SUPRIYA</t>
  </si>
  <si>
    <t>S25MA016</t>
  </si>
  <si>
    <t>VADAMSUPRIYA@iitbhilai.ac.in</t>
  </si>
  <si>
    <t>WRIJESH LUNA</t>
  </si>
  <si>
    <t>S25MA017</t>
  </si>
  <si>
    <t>WRIJESHLUNA@iitbhilai.ac.in</t>
  </si>
  <si>
    <t>Jain Stuti</t>
  </si>
  <si>
    <t>S25MA018</t>
  </si>
  <si>
    <t>stutijain</t>
  </si>
  <si>
    <t>Course Policy</t>
  </si>
  <si>
    <t>MANEPALLI VENKATA DURGA SAI SRI TEJA</t>
  </si>
  <si>
    <t>NAME</t>
  </si>
  <si>
    <t>Section A</t>
  </si>
  <si>
    <t>Section B</t>
  </si>
  <si>
    <t>Section C</t>
  </si>
  <si>
    <t>Total</t>
  </si>
  <si>
    <t>Section D</t>
  </si>
  <si>
    <t>Feedback</t>
  </si>
  <si>
    <t>Adhia Soham Mehulbahi</t>
  </si>
  <si>
    <t>Aditya jaiswal</t>
  </si>
  <si>
    <t>Akshat Kansal</t>
  </si>
  <si>
    <t>Ankit Gyen</t>
  </si>
  <si>
    <t>A Raghupathi Reddy</t>
  </si>
  <si>
    <t>Aryamaan Singh</t>
  </si>
  <si>
    <t>Aryan Deshmukh</t>
  </si>
  <si>
    <t>Aryaveer Singh Rauat</t>
  </si>
  <si>
    <t>Bhargav Sharma</t>
  </si>
  <si>
    <t>Bhavya Khandelwal</t>
  </si>
  <si>
    <t>Boda Nitesh</t>
  </si>
  <si>
    <t>Dipa Saha</t>
  </si>
  <si>
    <t>Dishank Verma</t>
  </si>
  <si>
    <t>Divyansh Kori</t>
  </si>
  <si>
    <t>FARUKH HUSSAIN</t>
  </si>
  <si>
    <t>Gandi Navya</t>
  </si>
  <si>
    <t>Gaggelapally vaishnavi</t>
  </si>
  <si>
    <t>Harsh</t>
  </si>
  <si>
    <t>harsh Verma</t>
  </si>
  <si>
    <t>harsh vince</t>
  </si>
  <si>
    <t>harshit verma</t>
  </si>
  <si>
    <t>Harshita Arimakala</t>
  </si>
  <si>
    <t>Ishan Ghatge</t>
  </si>
  <si>
    <t>Jambukiya Parth Bharathbhai</t>
  </si>
  <si>
    <t>K Vijaya Rami Reddy</t>
  </si>
  <si>
    <t>Kasukurthi Lokakrity</t>
  </si>
  <si>
    <t>kolli Venkata Nihar</t>
  </si>
  <si>
    <t>Madhurjya Basumatary</t>
  </si>
  <si>
    <t>M Ganga Manoj Kumar</t>
  </si>
  <si>
    <t>Mittireddi Kumar</t>
  </si>
  <si>
    <t>Naman Ayush Abhay</t>
  </si>
  <si>
    <t xml:space="preserve">Naman Gupta </t>
  </si>
  <si>
    <t>Good understanding of the concepts, attending classes would help in application</t>
  </si>
  <si>
    <t>Navanil Ghosh</t>
  </si>
  <si>
    <t>You have potential to do better. Please solve the practice problems set and build a good application</t>
  </si>
  <si>
    <t>Nishchal jain</t>
  </si>
  <si>
    <t xml:space="preserve">Good understanding of the concepts, building a real world project working with end users will help you </t>
  </si>
  <si>
    <t>Palavalasa Pawan Teja</t>
  </si>
  <si>
    <t>Partyavath Sai Kiran</t>
  </si>
  <si>
    <t>Piyush Das</t>
  </si>
  <si>
    <t>Thank you for being such a good student. Lets continue to work together for welfare of society.</t>
  </si>
  <si>
    <t>Polinedi Reshmita</t>
  </si>
  <si>
    <t>You have potential to do better. Please solve the practice problems set again to get confidence</t>
  </si>
  <si>
    <t>Pranav Gore</t>
  </si>
  <si>
    <t xml:space="preserve">B </t>
  </si>
  <si>
    <t>You could have gained more by attending the classes towards the end of the course. Your engagement was down after mid-sem break</t>
  </si>
  <si>
    <t>R Saketh</t>
  </si>
  <si>
    <t>Rathod Lavanya</t>
  </si>
  <si>
    <t>Ratish Anand</t>
  </si>
  <si>
    <t>Rima Pradhan</t>
  </si>
  <si>
    <t>Rohit</t>
  </si>
  <si>
    <t>Sanmi Sanket Kamble</t>
  </si>
  <si>
    <t>Sankalp Wankhede</t>
  </si>
  <si>
    <t>Shamith Sathwik</t>
  </si>
  <si>
    <t>Shneyash Singh</t>
  </si>
  <si>
    <t>Siddhanth Naik megavath</t>
  </si>
  <si>
    <t>Snigha Vennapureddy</t>
  </si>
  <si>
    <t>Sonali Singh</t>
  </si>
  <si>
    <t>Soumyajit Das</t>
  </si>
  <si>
    <t>Sabhamkar Sahu</t>
  </si>
  <si>
    <t>Sumiran Akre</t>
  </si>
  <si>
    <t>SWARNA KANTI DUGAR</t>
  </si>
  <si>
    <t>Tiagarajan manicham</t>
  </si>
  <si>
    <t>Vaishnavi Baghele</t>
  </si>
  <si>
    <t>Keyush Velagapudi</t>
  </si>
  <si>
    <t>Y Sai Manohar Naidu</t>
  </si>
  <si>
    <t>ABHISHEK SHERWAL</t>
  </si>
  <si>
    <t>ARSHITA SWARNKAR</t>
  </si>
  <si>
    <t>CHATRALA GOKUL SANJAY REDDY</t>
  </si>
  <si>
    <t>DEVGANIYA FENIL NILESHBHAI</t>
  </si>
  <si>
    <t>You need more practice. You can do very well.</t>
  </si>
  <si>
    <t>GAURAV CHAUDHARY</t>
  </si>
  <si>
    <t>Making some applications for real-world problems will help you</t>
  </si>
  <si>
    <t xml:space="preserve">More practice may help you improve speed. You have done well. </t>
  </si>
  <si>
    <t>HARSHITA SHUKLA</t>
  </si>
  <si>
    <t>Excellent in studies. Try to help someone with your knowledge.</t>
  </si>
  <si>
    <t>Excellent in studies. Apply your knowledge to help someone.</t>
  </si>
  <si>
    <t>You make a "s" like the number 5. very neat work. Shows your clarity and confidence. Best wishes</t>
  </si>
  <si>
    <t>KOMALI VOJANTH RAJ</t>
  </si>
  <si>
    <t>Need practice with real-world applications</t>
  </si>
  <si>
    <t xml:space="preserve">I am happy with your improvement in the course. You have potential to do better. Please solve the practice problems on your own. </t>
  </si>
  <si>
    <t>KUSHAL RADIA</t>
  </si>
  <si>
    <t>Very well done in the course. Best wishes.</t>
  </si>
  <si>
    <t>LANKIPALLI ROHITH</t>
  </si>
  <si>
    <t xml:space="preserve">You have potential to do better. Please solve the practice problems on your own. </t>
  </si>
  <si>
    <t>We need to know the big picture and the role we can play in it. Try to help someone with your knowledge.</t>
  </si>
  <si>
    <t>MANDEEP REWAR</t>
  </si>
  <si>
    <t>MANSU KHUTE</t>
  </si>
  <si>
    <t>MEKALA REDDY VARDHAN REDDY</t>
  </si>
  <si>
    <t>MOHIT JITENDRA KOLHE</t>
  </si>
  <si>
    <t>NEELISETTY VENKATA RITHWIK</t>
  </si>
  <si>
    <t>PANDU HARSHITHA</t>
  </si>
  <si>
    <t>PRAVEEN BEHARA</t>
  </si>
  <si>
    <t>RAJVEER DUKIYA</t>
  </si>
  <si>
    <t>S VIGNESH</t>
  </si>
  <si>
    <t>SHARVARI</t>
  </si>
  <si>
    <t>SHIVANGI R</t>
  </si>
  <si>
    <t>TEJASVI SHARMA</t>
  </si>
  <si>
    <t>VELAVALAPALLI ANJANA</t>
  </si>
  <si>
    <t>YOG ANIL DAMAHE</t>
  </si>
  <si>
    <t xml:space="preserve">aditya </t>
  </si>
  <si>
    <t>s25ma001</t>
  </si>
  <si>
    <t>aanand</t>
  </si>
  <si>
    <t>s25ma002</t>
  </si>
  <si>
    <t>DISABEN</t>
  </si>
  <si>
    <t>keval</t>
  </si>
  <si>
    <t>s25ma008</t>
  </si>
  <si>
    <t>ningthoujam</t>
  </si>
  <si>
    <t>s25ma010</t>
  </si>
  <si>
    <t>nitish</t>
  </si>
  <si>
    <t>S25ma011</t>
  </si>
  <si>
    <t>Supplementary</t>
  </si>
  <si>
    <t>romit</t>
  </si>
  <si>
    <t>SHUBHAM</t>
  </si>
  <si>
    <t>S25MA014</t>
  </si>
  <si>
    <t>TEJASWINEE</t>
  </si>
  <si>
    <t xml:space="preserve">v supriya </t>
  </si>
  <si>
    <t>Wrijesh</t>
  </si>
  <si>
    <t>Stuti</t>
  </si>
  <si>
    <t>You were very attentive in class and made efforts. Keep it up!</t>
  </si>
  <si>
    <t>AARJAV JAIN</t>
  </si>
  <si>
    <t>ADWAITH ANOOP</t>
  </si>
  <si>
    <t>AJJARAPU ATCHUTA RAMS</t>
  </si>
  <si>
    <t>ANUJ KUMAR</t>
  </si>
  <si>
    <t>ARPIT PANDEY</t>
  </si>
  <si>
    <t>ATHARVA SANJIV SHILE</t>
  </si>
  <si>
    <t>BABLU KUMAR BUNKER</t>
  </si>
  <si>
    <t>BODA ABHILASH</t>
  </si>
  <si>
    <t>CHITTETI SWARUSH REDDY</t>
  </si>
  <si>
    <t>DASARI ABHINAV SURYATEJ</t>
  </si>
  <si>
    <t>DAYA SHANKAR KUMAR</t>
  </si>
  <si>
    <t>DEVKANT PIYUSH</t>
  </si>
  <si>
    <t>GANGIPOGULA REMALYA</t>
  </si>
  <si>
    <t>GEDELA THANOOJ REDDY</t>
  </si>
  <si>
    <t>HARSH SANJAY TORPHE</t>
  </si>
  <si>
    <t>KASAGANI LAKSHMI KIRAN HARSHITHA</t>
  </si>
  <si>
    <t>KOTANNA GARI BHARGAV SHASHANK</t>
  </si>
  <si>
    <t>KRISH SHEORAN</t>
  </si>
  <si>
    <t>MANGALARAM SUSHEEL REDDY</t>
  </si>
  <si>
    <t>MATTA KAVYA SUDHA</t>
  </si>
  <si>
    <t>RAJNANDINEE PRASHANT JADHAV</t>
  </si>
  <si>
    <t>RHIDAM JAIN</t>
  </si>
  <si>
    <t>SHAURYA SRIVASTAV</t>
  </si>
  <si>
    <t>SOUVIK MANDAL</t>
  </si>
  <si>
    <t>VENNA YASWANTH SATYA SAI DURGA PRASAD</t>
  </si>
  <si>
    <t>ABHISHEK KUMAR</t>
  </si>
  <si>
    <t>ANALA NIKHILA ROYAL</t>
  </si>
  <si>
    <t>ANIMESH RAGHAV SINGH</t>
  </si>
  <si>
    <t>ANKIT PAL</t>
  </si>
  <si>
    <t>ANUSHKA RATH</t>
  </si>
  <si>
    <t>ARPIT SINGH</t>
  </si>
  <si>
    <t>ARYAN JORWAL</t>
  </si>
  <si>
    <t>BANDARUPALLI LAKSHMI HASINI</t>
  </si>
  <si>
    <t>CHANDRAGIRI VENKAT SOURYA</t>
  </si>
  <si>
    <t>DEGALA JASWANTHI</t>
  </si>
  <si>
    <t>ISHAN SINGH ANAND</t>
  </si>
  <si>
    <t>KAMIREDDY BHARATH KUMAR REDDY</t>
  </si>
  <si>
    <t>KETHAVATH SRAVANTHI</t>
  </si>
  <si>
    <t>LAKSHYA SONI</t>
  </si>
  <si>
    <t>MANNE SATHVIK</t>
  </si>
  <si>
    <t>MOHAMMAD AQUIB HUSAIN SHAIKH</t>
  </si>
  <si>
    <t>NAKKA AARADHYA</t>
  </si>
  <si>
    <t>NAMAN CHANDWANI</t>
  </si>
  <si>
    <t>NINAD KAMBLE</t>
  </si>
  <si>
    <t>PATEL DEVANSH BHAVNISHKUMAR</t>
  </si>
  <si>
    <t>PIYUSH SINGHAL</t>
  </si>
  <si>
    <t>PURUSHOTHAM PARTHA SARADHI</t>
  </si>
  <si>
    <t>RAHUL GAUTAM PATIL</t>
  </si>
  <si>
    <t>RAJ DWIVEDI</t>
  </si>
  <si>
    <t>RANJIT KUMAR</t>
  </si>
  <si>
    <t>ROHIT J PILLAI</t>
  </si>
  <si>
    <t>SANIL SAHA</t>
  </si>
  <si>
    <t>SAUMITRA KUMAR</t>
  </si>
  <si>
    <t>SHIVAM KUMAR GUPTA</t>
  </si>
  <si>
    <t>VARADA YAMINI</t>
  </si>
  <si>
    <t>VARANASI TARUN SAI</t>
  </si>
  <si>
    <t>VEDANT</t>
  </si>
  <si>
    <t>YASH VARDHAN SINGH</t>
  </si>
  <si>
    <t>ABBIREDDY AJAYA RAGHAVENDRA REDDY</t>
  </si>
  <si>
    <t>Basics are not clear. He needs to improve basics and practice more questions.</t>
  </si>
  <si>
    <t>ABDUL KARIM</t>
  </si>
  <si>
    <t>Needs to practice more. He is confused about the use of global and local variables.</t>
  </si>
  <si>
    <t>He needs to practice more questions.</t>
  </si>
  <si>
    <t>ANJANA PADHY</t>
  </si>
  <si>
    <t>He needs to focus on the basics.</t>
  </si>
  <si>
    <t>ANKI REDDY PALLI OBULA REDDY</t>
  </si>
  <si>
    <t>He needs to work harder</t>
  </si>
  <si>
    <t>ANSHUMAN MAHARANA</t>
  </si>
  <si>
    <t>Good performance. Made some silly mistakes in questions.</t>
  </si>
  <si>
    <t>No clear understanding of the concept of recursion. He needs to focus on improving his logic building skill.</t>
  </si>
  <si>
    <t>ARPITA GUPTA</t>
  </si>
  <si>
    <t>Good performance. Concept is clear. Made some minor mistakes in Section B</t>
  </si>
  <si>
    <t>Thorough understanding of the concept. But needs to practice more.</t>
  </si>
  <si>
    <t>BOLLEDDU CHANDU</t>
  </si>
  <si>
    <t>Very poor understanding of the concept. He needs to pay more attention in class.</t>
  </si>
  <si>
    <t>DHANAVATH SHIVA CHANDRA</t>
  </si>
  <si>
    <t>The basics are not clear. He needs to improve his basics and practice more questions.</t>
  </si>
  <si>
    <t>Overall good performance. However, he should not cram up the code and should be attentive while solving questions.</t>
  </si>
  <si>
    <t>Very good performance, but he needs to pay more attention to questions to avoid making silly mistakes.</t>
  </si>
  <si>
    <t>GADDE NEEHARIKA</t>
  </si>
  <si>
    <t>Good performance in both sections. Made some silly mistakes in section B.</t>
  </si>
  <si>
    <t>GUMMALA VENKATA DHANUSH KUMAR</t>
  </si>
  <si>
    <t>absent</t>
  </si>
  <si>
    <t>HALDANKAR AARYA VINOD</t>
  </si>
  <si>
    <t>Logic needs to be improved. Simply thinking.</t>
  </si>
  <si>
    <t>HARSHIT SINGH</t>
  </si>
  <si>
    <t>Needs to practice more questions.</t>
  </si>
  <si>
    <t>Concepts are clear. Made minor mistakes in section B.</t>
  </si>
  <si>
    <t>Good understanding of concepts.</t>
  </si>
  <si>
    <t>Good understanding of concepts. Made some minor mistakes in section B.</t>
  </si>
  <si>
    <t>KOYYA SUMANTH BABU</t>
  </si>
  <si>
    <t>Very poor performance. He needs to work harder,attend class,help class,labs and ask questions.</t>
  </si>
  <si>
    <t>KRISTIPATI RAM CHARAN REDDY</t>
  </si>
  <si>
    <t>Good performance in section A, but made a lot of mistakes in section B. He needs to practice more questions.</t>
  </si>
  <si>
    <t>He needs to work harder,be attentive in class and ask questions.</t>
  </si>
  <si>
    <t xml:space="preserve">Very good performance. </t>
  </si>
  <si>
    <t>Overall, good performance. However, he needs to practice more questions.</t>
  </si>
  <si>
    <t>He needs to work on logic building.</t>
  </si>
  <si>
    <t>POLI ANJALI</t>
  </si>
  <si>
    <t>He needs to work harder,practice more problems.</t>
  </si>
  <si>
    <t>Good performance. Made some silly mistakes in section B.</t>
  </si>
  <si>
    <t>SATUNURI ABHISHEK UJVAL</t>
  </si>
  <si>
    <t>Good performance. He needs to be attentive while solving questions.</t>
  </si>
  <si>
    <t>SAYANDEEP DAS</t>
  </si>
  <si>
    <t>Good performance. Made some silly mistakes while solving questions.</t>
  </si>
  <si>
    <t>He needs to practice more questions</t>
  </si>
  <si>
    <t xml:space="preserve"> He needs to practice more questions on logic building. Also needs to be attentive while solving questions.</t>
  </si>
  <si>
    <t>Made a lot of mistakes in section B</t>
  </si>
  <si>
    <t>SIRISETTI DURGA SRI VENKATA DEEKSHITHA</t>
  </si>
  <si>
    <t>UDAYVEER SINGH</t>
  </si>
  <si>
    <t>Needs to work on his logic-building skill.</t>
  </si>
  <si>
    <t>VAIBHAV KESARWANI</t>
  </si>
  <si>
    <t>Partial understanding of the concept. Needs to practice solving more problems.</t>
  </si>
  <si>
    <t>Very good performance. Made some small mistakes.</t>
  </si>
  <si>
    <t>YUG PRAGNESH PATEL</t>
  </si>
  <si>
    <t>Amazing performance. Good understanding of the concept.</t>
  </si>
  <si>
    <t>ZOHAIB ADIL</t>
  </si>
  <si>
    <t>Overall, good performance.</t>
  </si>
  <si>
    <t>AJAY KUMAWAT</t>
  </si>
  <si>
    <t>ANIMESH PATHAK</t>
  </si>
  <si>
    <t>ASHWIN NAINAAR R C</t>
  </si>
  <si>
    <t>BOKKALA SATHWIKA</t>
  </si>
  <si>
    <t>GANTA JESWIL</t>
  </si>
  <si>
    <t>KUNCHE LAKSHMI MANI DEEPU</t>
  </si>
  <si>
    <t>SAKSHAM SRINIVAS DEBADWAR</t>
  </si>
  <si>
    <t>SONTHENA SATYA RISHINDRA</t>
  </si>
  <si>
    <t>VABILISETTI YAGNAVALKYA</t>
  </si>
  <si>
    <t>O</t>
  </si>
  <si>
    <t>Vibhav Khatri</t>
  </si>
  <si>
    <t>B24CS035</t>
  </si>
  <si>
    <t xml:space="preserve">Akshat Tiwari </t>
  </si>
  <si>
    <t xml:space="preserve">Angela Mary Raynil </t>
  </si>
  <si>
    <t>Anirudh Mishra</t>
  </si>
  <si>
    <t xml:space="preserve">D Murali </t>
  </si>
  <si>
    <t>Devaguptapu Chahana</t>
  </si>
  <si>
    <t xml:space="preserve">Erasala Vishwas </t>
  </si>
  <si>
    <t>Hamumanthu Abhiram</t>
  </si>
  <si>
    <t xml:space="preserve">Jalai </t>
  </si>
  <si>
    <t xml:space="preserve">Gonathan Nerella </t>
  </si>
  <si>
    <t>Kaira Manideeo goud</t>
  </si>
  <si>
    <t>Ashutosh Krishna</t>
  </si>
  <si>
    <t xml:space="preserve">Kunadlu Pranay Raj </t>
  </si>
  <si>
    <t>Malank gawai</t>
  </si>
  <si>
    <t>Monika</t>
  </si>
  <si>
    <t>Nagulapalli Dheraj</t>
  </si>
  <si>
    <t>Nitin Kumar</t>
  </si>
  <si>
    <t>Pratyush Srivastawa</t>
  </si>
  <si>
    <t>Yaswanth Ramala</t>
  </si>
  <si>
    <t xml:space="preserve">R Sai Charan </t>
  </si>
  <si>
    <t>Rishi Bansode</t>
  </si>
  <si>
    <t>Ritika Yadav</t>
  </si>
  <si>
    <t>Samayana Godbole</t>
  </si>
  <si>
    <t>Shreya Singh</t>
  </si>
  <si>
    <t>Shreyas sharma</t>
  </si>
  <si>
    <t xml:space="preserve">Sumedha mummigatti </t>
  </si>
  <si>
    <t>vaibhav Mina</t>
  </si>
  <si>
    <t>Velamiri Vijay Bhusan</t>
  </si>
  <si>
    <t>Vishesh Singh</t>
  </si>
  <si>
    <t xml:space="preserve">Yerra Sikar </t>
  </si>
  <si>
    <t>Sr No</t>
  </si>
  <si>
    <t>ID Number</t>
  </si>
  <si>
    <t>Seat No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</si>
  <si>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</si>
  <si>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</si>
  <si>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</si>
  <si>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</si>
  <si>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</si>
  <si>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</si>
  <si>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</si>
  <si>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</si>
  <si>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</si>
  <si>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</si>
  <si>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A12</t>
  </si>
  <si>
    <t>C18</t>
  </si>
  <si>
    <t>A14</t>
  </si>
  <si>
    <t>A15</t>
  </si>
  <si>
    <t>Paltyavath Sai Kiran</t>
  </si>
  <si>
    <t>A16</t>
  </si>
  <si>
    <t>A17</t>
  </si>
  <si>
    <t>A18</t>
  </si>
  <si>
    <t>A19</t>
  </si>
  <si>
    <t>A20</t>
  </si>
  <si>
    <t>A21</t>
  </si>
  <si>
    <t>A22</t>
  </si>
  <si>
    <t>B24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</si>
  <si>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</si>
  <si>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</si>
  <si>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</si>
  <si>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</si>
  <si>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</si>
  <si>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</si>
  <si>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</si>
  <si>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</si>
  <si>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</si>
  <si>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</si>
  <si>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</si>
  <si>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</si>
  <si>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</si>
  <si>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</si>
  <si>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</si>
  <si>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</si>
  <si>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</si>
  <si>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</si>
  <si>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</si>
  <si>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</si>
  <si>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</si>
  <si>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Kelamiri Vijay Bhusan</t>
  </si>
  <si>
    <t>B22</t>
  </si>
  <si>
    <t>B23</t>
  </si>
  <si>
    <t>C7</t>
  </si>
  <si>
    <t>C8</t>
  </si>
  <si>
    <t>C9</t>
  </si>
  <si>
    <t>C10</t>
  </si>
  <si>
    <t>Disha Patel</t>
  </si>
  <si>
    <t>C11</t>
  </si>
  <si>
    <t>Shubham Kumar</t>
  </si>
  <si>
    <t>C12</t>
  </si>
  <si>
    <t>Tejaswini Naik</t>
  </si>
  <si>
    <t>C13</t>
  </si>
  <si>
    <t>C14</t>
  </si>
  <si>
    <t>No</t>
  </si>
  <si>
    <t>ID No.</t>
  </si>
  <si>
    <t>VAIBHAV KHATRI</t>
  </si>
  <si>
    <t>K PRAVEEN SATYA TEJA</t>
  </si>
  <si>
    <t>M V D S SRI TEJA</t>
  </si>
  <si>
    <t>VELAGAPUDI KEYUSH SAI</t>
  </si>
  <si>
    <t>YEDLA SAI MANOHAR NAIDU</t>
  </si>
  <si>
    <t>SHIVANGIR</t>
  </si>
  <si>
    <t>KARTIK JOSHI</t>
  </si>
  <si>
    <t>K HARSHITHA</t>
  </si>
  <si>
    <t>K KARTHIKEYA</t>
  </si>
  <si>
    <t>K BHARGAV SHASHANK</t>
  </si>
  <si>
    <t>M SUSHEEL REDDY</t>
  </si>
  <si>
    <t>KAVYA SUDHA</t>
  </si>
  <si>
    <t>N DEVENDAR REDDY</t>
  </si>
  <si>
    <t>P SYAMBABU</t>
  </si>
  <si>
    <t>PRATYUSH SRIVASTHAVA</t>
  </si>
  <si>
    <t>RAJNANDINI JADHAV</t>
  </si>
  <si>
    <t>R ABHILASH</t>
  </si>
  <si>
    <t>VEDANT NICHAL</t>
  </si>
  <si>
    <t>VENNA YASWANTH SATA SAI DURGA PRASAD</t>
  </si>
  <si>
    <t>NO</t>
  </si>
  <si>
    <t>Institute Email ID</t>
  </si>
  <si>
    <t>Batch</t>
  </si>
  <si>
    <t>15/08/2025</t>
  </si>
  <si>
    <t>22/08/2025</t>
  </si>
  <si>
    <t>29/08/2025</t>
  </si>
  <si>
    <t>15/10/25</t>
  </si>
  <si>
    <t>22/10/25</t>
  </si>
  <si>
    <t>29/10/25</t>
  </si>
  <si>
    <t>Batch 5</t>
  </si>
  <si>
    <t>p</t>
  </si>
  <si>
    <t>P</t>
  </si>
  <si>
    <t>gneeharika@iitbhilai.ac.in</t>
  </si>
  <si>
    <t>a</t>
  </si>
  <si>
    <t>ksbabu@iitbhilai.ac.in</t>
  </si>
  <si>
    <t>saujval@iitbhilai.ac.in</t>
  </si>
  <si>
    <t>Batch 3</t>
  </si>
  <si>
    <t>ASHWIN NAINAAR RC</t>
  </si>
  <si>
    <t>mwardhan@iitbhilai.ac.in</t>
  </si>
  <si>
    <t>ANGELA MARY RAYNIL</t>
  </si>
  <si>
    <t>DANDI MURALI</t>
  </si>
  <si>
    <t>HANUMANTHU ABHIRAM</t>
  </si>
  <si>
    <t>KAIRA MANIDEEP GOUD</t>
  </si>
  <si>
    <t>MALANK GAWAI</t>
  </si>
  <si>
    <t>monika@iitbhilai.ac.in</t>
  </si>
  <si>
    <t>NAGULAPALLI DHEERAJ</t>
  </si>
  <si>
    <t>NITIN KUMAR</t>
  </si>
  <si>
    <t>RAMALA YASWANTH</t>
  </si>
  <si>
    <t>batch 3</t>
  </si>
  <si>
    <t xml:space="preserve"> YERRA SRIKAR</t>
  </si>
  <si>
    <t>BATCH 3</t>
  </si>
  <si>
    <t>VELAMURI VIJAY BHUSHAN</t>
  </si>
  <si>
    <t>ABHINAV</t>
  </si>
  <si>
    <t>ADHIA SOHAM MEHULBHAI</t>
  </si>
  <si>
    <t>ANUGU RAGHUPATHI</t>
  </si>
  <si>
    <t>ARYAN MANISH DESHMUKH</t>
  </si>
  <si>
    <t>BHAVYA SANTKUMAR KHANDELWAL</t>
  </si>
  <si>
    <t>BODA NITEESH</t>
  </si>
  <si>
    <t>FARUKH HUSEN</t>
  </si>
  <si>
    <t>KASUKURTHI LOKA KRITY</t>
  </si>
  <si>
    <t>MADHURJYA PRASAD BASUMATARY</t>
  </si>
  <si>
    <t>NAMAN AYUSH ABHAY</t>
  </si>
  <si>
    <t>NAVANIL GHOSH</t>
  </si>
  <si>
    <t>PALAVALASA PAWAN TEJA</t>
  </si>
  <si>
    <t>PALTYAVATH SAIKIRAN</t>
  </si>
  <si>
    <t>RATHOD LAVANYA</t>
  </si>
  <si>
    <t>SHREYANSH PRATAP SINGH</t>
  </si>
  <si>
    <t>SIDDHANTH NAIK MEGAVATH</t>
  </si>
  <si>
    <t>hemalketan@iitbhilai.ac.in</t>
  </si>
  <si>
    <t>kishanjalan@iitbhilai.ac.in</t>
  </si>
  <si>
    <t>S25MA001</t>
  </si>
  <si>
    <t>Disa Shuileshbhui Patel</t>
  </si>
  <si>
    <t>Kanjariya Keval Anilbhai</t>
  </si>
  <si>
    <t>Ningthoujam Birjit Singh</t>
  </si>
  <si>
    <t>Ronit Pushkar</t>
  </si>
  <si>
    <t>Tejaswinee Naik</t>
  </si>
  <si>
    <t>Vadan Supriya</t>
  </si>
  <si>
    <t>Stuti Jain</t>
  </si>
  <si>
    <t>Kilaparthi Parveen Satya Teja</t>
  </si>
  <si>
    <t>M.V.D.S.Sri Teja.</t>
  </si>
  <si>
    <t>B25MMO14</t>
  </si>
  <si>
    <t>amarjeetk@iitbhilai.ac.in</t>
  </si>
  <si>
    <t>B25EEO44</t>
  </si>
  <si>
    <t>S25MA001 Aditya Gupta</t>
  </si>
  <si>
    <t>S25MA008 KANJARIYA KEVAL ANILBHAI</t>
  </si>
  <si>
    <t>Verma Susheel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</si>
</sst>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"/>
  </numFmts>
  <fonts count="1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/>
    <font>
      <b/>
      <sz val="11.0"/>
      <color rgb="FF1B1C1D"/>
      <name val="Google Sans Text"/>
    </font>
    <font>
      <sz val="11.0"/>
      <color rgb="FF1B1C1D"/>
      <name val="Google Sans Text"/>
    </font>
    <font>
      <color rgb="FF000000"/>
      <name val="Arial"/>
      <scheme val="minor"/>
    </font>
    <font>
      <b/>
      <sz val="11.0"/>
      <color theme="1"/>
      <name val="Google Sans Text"/>
    </font>
    <font>
      <sz val="11.0"/>
      <color theme="1"/>
      <name val="Google Sans Text"/>
    </font>
    <font>
      <sz val="11.0"/>
      <color rgb="FF000000"/>
      <name val="Google Sans Text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" xfId="0" applyFont="1" applyNumberFormat="1"/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" xfId="0" applyFont="1" applyNumberFormat="1"/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 vertical="bottom"/>
    </xf>
    <xf borderId="0" fillId="3" fontId="1" numFmtId="0" xfId="0" applyAlignment="1" applyFont="1">
      <alignment readingOrder="0" vertical="bottom"/>
    </xf>
    <xf borderId="0" fillId="5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4" fontId="2" numFmtId="1" xfId="0" applyFont="1" applyNumberFormat="1"/>
    <xf borderId="1" fillId="0" fontId="4" numFmtId="0" xfId="0" applyAlignment="1" applyBorder="1" applyFont="1">
      <alignment readingOrder="0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right" vertical="bottom"/>
    </xf>
    <xf borderId="1" fillId="0" fontId="2" numFmtId="0" xfId="0" applyBorder="1" applyFont="1"/>
    <xf borderId="1" fillId="3" fontId="1" numFmtId="0" xfId="0" applyAlignment="1" applyBorder="1" applyFont="1">
      <alignment horizontal="right" readingOrder="0" vertical="bottom"/>
    </xf>
    <xf borderId="1" fillId="3" fontId="1" numFmtId="0" xfId="0" applyAlignment="1" applyBorder="1" applyFont="1">
      <alignment readingOrder="0" vertical="bottom"/>
    </xf>
    <xf borderId="0" fillId="0" fontId="4" numFmtId="0" xfId="0" applyFont="1"/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1" fillId="4" fontId="2" numFmtId="0" xfId="0" applyBorder="1" applyFont="1"/>
    <xf borderId="1" fillId="6" fontId="4" numFmtId="0" xfId="0" applyAlignment="1" applyBorder="1" applyFill="1" applyFont="1">
      <alignment readingOrder="0"/>
    </xf>
    <xf borderId="1" fillId="6" fontId="5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2" numFmtId="0" xfId="0" applyAlignment="1" applyBorder="1" applyFont="1">
      <alignment readingOrder="0"/>
    </xf>
    <xf borderId="1" fillId="6" fontId="2" numFmtId="0" xfId="0" applyBorder="1" applyFont="1"/>
    <xf borderId="1" fillId="4" fontId="2" numFmtId="0" xfId="0" applyAlignment="1" applyBorder="1" applyFont="1">
      <alignment readingOrder="0"/>
    </xf>
    <xf borderId="1" fillId="0" fontId="1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3" fillId="0" fontId="7" numFmtId="0" xfId="0" applyBorder="1" applyFont="1"/>
    <xf borderId="1" fillId="0" fontId="3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6" fontId="8" numFmtId="0" xfId="0" applyAlignment="1" applyFont="1">
      <alignment readingOrder="0" vertical="bottom"/>
    </xf>
    <xf borderId="1" fillId="6" fontId="8" numFmtId="0" xfId="0" applyAlignment="1" applyBorder="1" applyFont="1">
      <alignment vertical="bottom"/>
    </xf>
    <xf borderId="4" fillId="6" fontId="8" numFmtId="0" xfId="0" applyAlignment="1" applyBorder="1" applyFont="1">
      <alignment vertical="bottom"/>
    </xf>
    <xf borderId="0" fillId="6" fontId="8" numFmtId="0" xfId="0" applyAlignment="1" applyFont="1">
      <alignment vertical="bottom"/>
    </xf>
    <xf borderId="0" fillId="6" fontId="4" numFmtId="164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6" fontId="2" numFmtId="0" xfId="0" applyFont="1"/>
    <xf borderId="0" fillId="6" fontId="4" numFmtId="0" xfId="0" applyFont="1"/>
    <xf borderId="1" fillId="6" fontId="9" numFmtId="0" xfId="0" applyAlignment="1" applyBorder="1" applyFont="1">
      <alignment readingOrder="0" vertical="bottom"/>
    </xf>
    <xf borderId="4" fillId="6" fontId="2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1" fillId="6" fontId="9" numFmtId="0" xfId="0" applyAlignment="1" applyBorder="1" applyFont="1">
      <alignment vertical="bottom"/>
    </xf>
    <xf borderId="4" fillId="6" fontId="9" numFmtId="0" xfId="0" applyAlignment="1" applyBorder="1" applyFont="1">
      <alignment vertical="bottom"/>
    </xf>
    <xf borderId="0" fillId="6" fontId="9" numFmtId="0" xfId="0" applyAlignment="1" applyFont="1">
      <alignment vertical="bottom"/>
    </xf>
    <xf borderId="0" fillId="6" fontId="10" numFmtId="0" xfId="0" applyAlignment="1" applyFont="1">
      <alignment readingOrder="0"/>
    </xf>
    <xf borderId="1" fillId="6" fontId="9" numFmtId="0" xfId="0" applyAlignment="1" applyBorder="1" applyFont="1">
      <alignment horizontal="right" readingOrder="0" vertical="bottom"/>
    </xf>
    <xf borderId="4" fillId="6" fontId="2" numFmtId="0" xfId="0" applyBorder="1" applyFont="1"/>
    <xf borderId="0" fillId="0" fontId="8" numFmtId="0" xfId="0" applyAlignment="1" applyFont="1">
      <alignment readingOrder="0" vertical="bottom"/>
    </xf>
    <xf borderId="1" fillId="0" fontId="8" numFmtId="0" xfId="0" applyAlignment="1" applyBorder="1" applyFont="1">
      <alignment vertical="bottom"/>
    </xf>
    <xf borderId="1" fillId="0" fontId="4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1" fillId="0" fontId="4" numFmtId="165" xfId="0" applyAlignment="1" applyBorder="1" applyFont="1" applyNumberFormat="1">
      <alignment readingOrder="0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4" fillId="4" fontId="2" numFmtId="0" xfId="0" applyAlignment="1" applyBorder="1" applyFont="1">
      <alignment readingOrder="0"/>
    </xf>
    <xf borderId="4" fillId="0" fontId="2" numFmtId="0" xfId="0" applyBorder="1" applyFont="1"/>
    <xf borderId="1" fillId="0" fontId="8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0" fillId="0" fontId="11" numFmtId="164" xfId="0" applyAlignment="1" applyFont="1" applyNumberFormat="1">
      <alignment readingOrder="0"/>
    </xf>
    <xf borderId="0" fillId="0" fontId="11" numFmtId="0" xfId="0" applyFont="1"/>
    <xf borderId="1" fillId="0" fontId="12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1" fillId="0" fontId="9" numFmtId="0" xfId="0" applyAlignment="1" applyBorder="1" applyFont="1">
      <alignment horizontal="right" readingOrder="0" vertical="bottom"/>
    </xf>
    <xf borderId="1" fillId="0" fontId="12" numFmtId="0" xfId="0" applyBorder="1" applyFont="1"/>
    <xf borderId="1" fillId="0" fontId="12" numFmtId="0" xfId="0" applyBorder="1" applyFont="1"/>
    <xf borderId="1" fillId="0" fontId="13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2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9.88"/>
    <col customWidth="1" min="3" max="3" width="16.88"/>
    <col customWidth="1" min="4" max="4" width="23.88"/>
    <col customWidth="1" min="5" max="5" width="16.38"/>
    <col customWidth="1" hidden="1" min="6" max="6" width="16.38"/>
    <col customWidth="1" hidden="1" min="7" max="7" width="11.25"/>
    <col customWidth="1" hidden="1" min="8" max="8" width="21.25"/>
    <col customWidth="1" hidden="1" min="9" max="9" width="20.13"/>
    <col customWidth="1" hidden="1" min="10" max="10" width="20.38"/>
    <col hidden="1" min="11" max="11" width="12.63"/>
    <col customWidth="1" hidden="1" min="12" max="12" width="4.75"/>
    <col hidden="1" min="13" max="13" width="12.63"/>
    <col customWidth="1" hidden="1" min="14" max="14" width="17.63"/>
    <col customWidth="1" hidden="1" min="15" max="15" width="10.75"/>
    <col hidden="1" min="16" max="16" width="12.63"/>
    <col customWidth="1" hidden="1" min="17" max="17" width="10.25"/>
    <col hidden="1" min="18" max="28" width="12.63"/>
    <col customWidth="1" hidden="1" min="29" max="29" width="14.88"/>
    <col customWidth="1" hidden="1" min="30" max="30" width="21.63"/>
    <col hidden="1" min="31" max="31" width="12.63"/>
    <col customWidth="1" hidden="1" min="32" max="33" width="13.0"/>
    <col customWidth="1" hidden="1" min="34" max="34" width="17.25"/>
    <col customWidth="1" min="35" max="35" width="10.63"/>
    <col customWidth="1" min="36" max="36" width="24.5"/>
    <col customWidth="1" min="37" max="37" width="15.0"/>
    <col customWidth="1" min="38" max="38" width="22.63"/>
    <col customWidth="1" min="39" max="39" width="21.63"/>
    <col customWidth="1" min="40" max="40" width="19.75"/>
    <col customWidth="1" min="41" max="41" width="21.38"/>
    <col customWidth="1" min="42" max="42" width="29.0"/>
    <col customWidth="1" min="43" max="43" width="19.38"/>
    <col customWidth="1" min="44" max="44" width="27.0"/>
    <col customWidth="1" min="45" max="45" width="15.5"/>
    <col customWidth="1" min="46" max="46" width="13.63"/>
    <col customWidth="1" min="47" max="47" width="15.25"/>
    <col customWidth="1" min="48" max="48" width="22.88"/>
    <col customWidth="1" min="49" max="49" width="13.38"/>
    <col customWidth="1" min="50" max="50" width="20.88"/>
    <col customWidth="1" min="51" max="51" width="23.75"/>
    <col customWidth="1" min="52" max="52" width="21.88"/>
    <col customWidth="1" min="53" max="53" width="23.5"/>
    <col customWidth="1" min="54" max="54" width="31.13"/>
    <col customWidth="1" min="55" max="55" width="21.5"/>
    <col customWidth="1" min="56" max="56" width="29.13"/>
    <col customWidth="1" min="57" max="57" width="23.13"/>
    <col customWidth="1" min="58" max="58" width="21.25"/>
    <col customWidth="1" min="59" max="59" width="22.88"/>
    <col customWidth="1" min="60" max="60" width="30.5"/>
    <col customWidth="1" min="61" max="61" width="20.88"/>
    <col customWidth="1" min="62" max="62" width="28.5"/>
    <col customWidth="1" min="63" max="63" width="11.63"/>
    <col customWidth="1" min="64" max="64" width="9.75"/>
    <col customWidth="1" min="65" max="65" width="11.38"/>
    <col customWidth="1" min="66" max="66" width="19.0"/>
    <col customWidth="1" min="67" max="67" width="9.38"/>
    <col customWidth="1" min="68" max="68" width="17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>
        <v>36.5</v>
      </c>
      <c r="F1" s="2">
        <v>29.0</v>
      </c>
      <c r="G1" s="2">
        <f t="shared" ref="G1:G318" si="1">0.5*(E1+F1)</f>
        <v>32.75</v>
      </c>
      <c r="H1" s="2">
        <v>15.0</v>
      </c>
      <c r="I1" s="2">
        <v>18.0</v>
      </c>
      <c r="J1" s="2">
        <v>18.0</v>
      </c>
      <c r="K1" s="3">
        <f t="shared" ref="K1:K318" si="2">H1/4+I1/4+J1/9</f>
        <v>10.25</v>
      </c>
      <c r="L1" s="2">
        <v>80.0</v>
      </c>
      <c r="M1" s="2">
        <v>198.0</v>
      </c>
      <c r="N1" s="2">
        <v>190.0</v>
      </c>
      <c r="O1" s="3">
        <f t="shared" ref="O1:O318" si="3">max(M1:N1)</f>
        <v>198</v>
      </c>
      <c r="P1" s="2">
        <v>95.0</v>
      </c>
      <c r="Q1" s="2">
        <f t="shared" ref="Q1:Q318" si="4">L1/20+O1/40+P1/20</f>
        <v>13.7</v>
      </c>
      <c r="R1" s="2">
        <v>7.0</v>
      </c>
      <c r="S1" s="2">
        <v>9.0</v>
      </c>
      <c r="T1" s="2">
        <v>7.0</v>
      </c>
      <c r="U1" s="2">
        <v>12.0</v>
      </c>
      <c r="V1" s="2">
        <v>15.0</v>
      </c>
      <c r="W1" s="2">
        <v>14.0</v>
      </c>
      <c r="X1" s="2">
        <v>20.0</v>
      </c>
      <c r="Y1" s="2">
        <v>29.0</v>
      </c>
      <c r="Z1" s="2">
        <v>29.0</v>
      </c>
      <c r="AA1" s="2">
        <v>30.0</v>
      </c>
      <c r="AB1" s="2">
        <v>30.0</v>
      </c>
      <c r="AC1" s="2">
        <f t="shared" ref="AC1:AC318" si="5">SUM(R1:AB1)/20</f>
        <v>10.1</v>
      </c>
      <c r="AD1" s="2">
        <v>50.0</v>
      </c>
      <c r="AE1" s="2">
        <v>330.0</v>
      </c>
      <c r="AF1" s="2">
        <v>1.0</v>
      </c>
      <c r="AG1" s="3">
        <f t="shared" ref="AG1:AG318" si="6">(AC1*AF1)</f>
        <v>10.1</v>
      </c>
      <c r="AH1" s="3">
        <f t="shared" ref="AH1:AH318" si="7">(AD1+AE1)/40</f>
        <v>9.5</v>
      </c>
      <c r="AI1" s="4">
        <f t="shared" ref="AI1:AI318" si="8">G1+K1+Q1+AG1+AH1</f>
        <v>76.3</v>
      </c>
    </row>
    <row r="2" hidden="1">
      <c r="A2" s="1" t="s">
        <v>4</v>
      </c>
      <c r="B2" s="1" t="s">
        <v>5</v>
      </c>
      <c r="C2" s="2" t="s">
        <v>6</v>
      </c>
      <c r="D2" s="2" t="s">
        <v>7</v>
      </c>
      <c r="E2" s="2">
        <v>44.0</v>
      </c>
      <c r="F2" s="2">
        <v>30.0</v>
      </c>
      <c r="G2" s="2">
        <f t="shared" si="1"/>
        <v>37</v>
      </c>
      <c r="H2" s="2">
        <v>15.0</v>
      </c>
      <c r="I2" s="2">
        <v>17.0</v>
      </c>
      <c r="J2" s="2">
        <v>24.0</v>
      </c>
      <c r="K2" s="3">
        <f t="shared" si="2"/>
        <v>10.66666667</v>
      </c>
      <c r="L2" s="2">
        <v>90.0</v>
      </c>
      <c r="M2" s="2">
        <v>190.0</v>
      </c>
      <c r="N2" s="2">
        <v>200.0</v>
      </c>
      <c r="O2" s="3">
        <f t="shared" si="3"/>
        <v>200</v>
      </c>
      <c r="P2" s="2">
        <v>95.0</v>
      </c>
      <c r="Q2" s="2">
        <f t="shared" si="4"/>
        <v>14.25</v>
      </c>
      <c r="R2" s="2">
        <v>7.0</v>
      </c>
      <c r="S2" s="2">
        <v>6.0</v>
      </c>
      <c r="T2" s="2">
        <v>8.0</v>
      </c>
      <c r="U2" s="2">
        <v>12.0</v>
      </c>
      <c r="V2" s="2">
        <v>15.0</v>
      </c>
      <c r="W2" s="2">
        <v>15.0</v>
      </c>
      <c r="X2" s="2">
        <v>20.0</v>
      </c>
      <c r="Y2" s="2">
        <v>30.0</v>
      </c>
      <c r="Z2" s="2">
        <v>30.0</v>
      </c>
      <c r="AA2" s="2">
        <v>30.0</v>
      </c>
      <c r="AB2" s="2">
        <v>30.0</v>
      </c>
      <c r="AC2" s="2">
        <f t="shared" si="5"/>
        <v>10.15</v>
      </c>
      <c r="AD2" s="2">
        <v>50.0</v>
      </c>
      <c r="AE2" s="2">
        <v>330.0</v>
      </c>
      <c r="AF2" s="2">
        <v>1.0</v>
      </c>
      <c r="AG2" s="3">
        <f t="shared" si="6"/>
        <v>10.15</v>
      </c>
      <c r="AH2" s="3">
        <f t="shared" si="7"/>
        <v>9.5</v>
      </c>
      <c r="AI2" s="4">
        <f t="shared" si="8"/>
        <v>81.56666667</v>
      </c>
    </row>
    <row r="3" hidden="1">
      <c r="A3" s="1" t="s">
        <v>8</v>
      </c>
      <c r="B3" s="1" t="s">
        <v>9</v>
      </c>
      <c r="C3" s="2" t="s">
        <v>6</v>
      </c>
      <c r="D3" s="2" t="s">
        <v>10</v>
      </c>
      <c r="E3" s="2">
        <v>47.0</v>
      </c>
      <c r="F3" s="2">
        <v>34.0</v>
      </c>
      <c r="G3" s="2">
        <f t="shared" si="1"/>
        <v>40.5</v>
      </c>
      <c r="H3" s="2">
        <v>15.0</v>
      </c>
      <c r="I3" s="2">
        <v>19.0</v>
      </c>
      <c r="J3" s="2">
        <v>26.0</v>
      </c>
      <c r="K3" s="3">
        <f t="shared" si="2"/>
        <v>11.38888889</v>
      </c>
      <c r="L3" s="2">
        <v>95.0</v>
      </c>
      <c r="M3" s="2">
        <v>190.0</v>
      </c>
      <c r="N3" s="2">
        <v>200.0</v>
      </c>
      <c r="O3" s="3">
        <f t="shared" si="3"/>
        <v>200</v>
      </c>
      <c r="P3" s="2">
        <v>95.0</v>
      </c>
      <c r="Q3" s="2">
        <f t="shared" si="4"/>
        <v>14.5</v>
      </c>
      <c r="R3" s="2">
        <v>7.0</v>
      </c>
      <c r="S3" s="2">
        <v>7.0</v>
      </c>
      <c r="T3" s="2">
        <v>9.0</v>
      </c>
      <c r="U3" s="2">
        <v>13.0</v>
      </c>
      <c r="V3" s="2">
        <v>15.0</v>
      </c>
      <c r="W3" s="2">
        <v>15.0</v>
      </c>
      <c r="X3" s="2">
        <v>20.0</v>
      </c>
      <c r="Y3" s="2">
        <v>25.0</v>
      </c>
      <c r="Z3" s="2">
        <v>28.0</v>
      </c>
      <c r="AA3" s="2">
        <v>30.0</v>
      </c>
      <c r="AB3" s="2">
        <v>28.0</v>
      </c>
      <c r="AC3" s="2">
        <f t="shared" si="5"/>
        <v>9.85</v>
      </c>
      <c r="AD3" s="2">
        <v>50.0</v>
      </c>
      <c r="AE3" s="2">
        <v>330.0</v>
      </c>
      <c r="AF3" s="2">
        <v>0.5</v>
      </c>
      <c r="AG3" s="3">
        <f t="shared" si="6"/>
        <v>4.925</v>
      </c>
      <c r="AH3" s="3">
        <f t="shared" si="7"/>
        <v>9.5</v>
      </c>
      <c r="AI3" s="4">
        <f t="shared" si="8"/>
        <v>80.81388889</v>
      </c>
    </row>
    <row r="4" hidden="1">
      <c r="A4" s="1" t="s">
        <v>11</v>
      </c>
      <c r="B4" s="1" t="s">
        <v>12</v>
      </c>
      <c r="C4" s="2" t="s">
        <v>2</v>
      </c>
      <c r="D4" s="2" t="s">
        <v>13</v>
      </c>
      <c r="E4" s="2">
        <v>45.0</v>
      </c>
      <c r="F4" s="2">
        <v>25.0</v>
      </c>
      <c r="G4" s="2">
        <f t="shared" si="1"/>
        <v>35</v>
      </c>
      <c r="H4" s="2">
        <v>8.0</v>
      </c>
      <c r="I4" s="2">
        <v>18.0</v>
      </c>
      <c r="J4" s="2">
        <v>26.0</v>
      </c>
      <c r="K4" s="3">
        <f t="shared" si="2"/>
        <v>9.388888889</v>
      </c>
      <c r="L4" s="2">
        <v>95.0</v>
      </c>
      <c r="M4" s="2">
        <v>190.0</v>
      </c>
      <c r="N4" s="2">
        <v>190.0</v>
      </c>
      <c r="O4" s="3">
        <f t="shared" si="3"/>
        <v>190</v>
      </c>
      <c r="P4" s="2">
        <v>95.0</v>
      </c>
      <c r="Q4" s="2">
        <f t="shared" si="4"/>
        <v>14.25</v>
      </c>
      <c r="R4" s="2">
        <v>6.0</v>
      </c>
      <c r="U4" s="2">
        <v>12.0</v>
      </c>
      <c r="V4" s="2">
        <v>15.0</v>
      </c>
      <c r="W4" s="2">
        <v>15.0</v>
      </c>
      <c r="X4" s="2">
        <v>20.0</v>
      </c>
      <c r="Y4" s="2">
        <v>25.0</v>
      </c>
      <c r="Z4" s="2">
        <v>30.0</v>
      </c>
      <c r="AA4" s="2">
        <v>30.0</v>
      </c>
      <c r="AC4" s="2">
        <f t="shared" si="5"/>
        <v>7.65</v>
      </c>
      <c r="AD4" s="2">
        <v>50.0</v>
      </c>
      <c r="AE4" s="2">
        <v>330.0</v>
      </c>
      <c r="AF4" s="2">
        <v>1.0</v>
      </c>
      <c r="AG4" s="3">
        <f t="shared" si="6"/>
        <v>7.65</v>
      </c>
      <c r="AH4" s="3">
        <f t="shared" si="7"/>
        <v>9.5</v>
      </c>
      <c r="AI4" s="4">
        <f t="shared" si="8"/>
        <v>75.78888889</v>
      </c>
    </row>
    <row r="5" hidden="1">
      <c r="A5" s="1" t="s">
        <v>14</v>
      </c>
      <c r="B5" s="1" t="s">
        <v>15</v>
      </c>
      <c r="C5" s="2" t="s">
        <v>6</v>
      </c>
      <c r="D5" s="2" t="s">
        <v>16</v>
      </c>
      <c r="E5" s="2">
        <f>VLOOKUP(B5, 'CSE-Sandeep'!$B$2:$G$61,5)</f>
        <v>45</v>
      </c>
      <c r="F5" s="2">
        <v>32.0</v>
      </c>
      <c r="G5" s="2">
        <f t="shared" si="1"/>
        <v>38.5</v>
      </c>
      <c r="H5" s="2">
        <v>13.0</v>
      </c>
      <c r="I5" s="2">
        <v>13.0</v>
      </c>
      <c r="J5" s="2">
        <v>43.0</v>
      </c>
      <c r="K5" s="3">
        <f t="shared" si="2"/>
        <v>11.27777778</v>
      </c>
      <c r="L5" s="2">
        <v>100.0</v>
      </c>
      <c r="M5" s="2">
        <v>200.0</v>
      </c>
      <c r="O5" s="3">
        <f t="shared" si="3"/>
        <v>200</v>
      </c>
      <c r="P5" s="2">
        <v>98.0</v>
      </c>
      <c r="Q5" s="2">
        <f t="shared" si="4"/>
        <v>14.9</v>
      </c>
      <c r="R5" s="2">
        <v>7.0</v>
      </c>
      <c r="S5" s="2">
        <v>8.0</v>
      </c>
      <c r="T5" s="2">
        <v>15.0</v>
      </c>
      <c r="U5" s="2">
        <v>15.0</v>
      </c>
      <c r="V5" s="2">
        <v>14.0</v>
      </c>
      <c r="W5" s="2">
        <v>15.0</v>
      </c>
      <c r="X5" s="2">
        <v>20.0</v>
      </c>
      <c r="Y5" s="2">
        <v>30.0</v>
      </c>
      <c r="Z5" s="2">
        <v>30.0</v>
      </c>
      <c r="AA5" s="2">
        <v>3.0</v>
      </c>
      <c r="AC5" s="2">
        <f t="shared" si="5"/>
        <v>7.85</v>
      </c>
      <c r="AD5" s="2">
        <v>40.0</v>
      </c>
      <c r="AE5" s="2">
        <v>335.0</v>
      </c>
      <c r="AF5" s="2">
        <v>1.0</v>
      </c>
      <c r="AG5" s="3">
        <f t="shared" si="6"/>
        <v>7.85</v>
      </c>
      <c r="AH5" s="3">
        <f t="shared" si="7"/>
        <v>9.375</v>
      </c>
      <c r="AI5" s="4">
        <f t="shared" si="8"/>
        <v>81.90277778</v>
      </c>
    </row>
    <row r="6" hidden="1">
      <c r="A6" s="1" t="s">
        <v>17</v>
      </c>
      <c r="B6" s="1" t="s">
        <v>18</v>
      </c>
      <c r="C6" s="2" t="s">
        <v>2</v>
      </c>
      <c r="D6" s="2" t="s">
        <v>19</v>
      </c>
      <c r="E6" s="2">
        <f>VLOOKUP(B6, 'CSE-Sandeep'!$B$2:$G$61,5)</f>
        <v>36</v>
      </c>
      <c r="F6" s="2">
        <v>31.0</v>
      </c>
      <c r="G6" s="2">
        <f t="shared" si="1"/>
        <v>33.5</v>
      </c>
      <c r="H6" s="2">
        <v>17.0</v>
      </c>
      <c r="I6" s="2">
        <v>17.0</v>
      </c>
      <c r="J6" s="2">
        <v>32.5</v>
      </c>
      <c r="K6" s="3">
        <f t="shared" si="2"/>
        <v>12.11111111</v>
      </c>
      <c r="L6" s="2">
        <v>100.0</v>
      </c>
      <c r="M6" s="2">
        <v>200.0</v>
      </c>
      <c r="O6" s="3">
        <f t="shared" si="3"/>
        <v>200</v>
      </c>
      <c r="P6" s="2">
        <v>100.0</v>
      </c>
      <c r="Q6" s="2">
        <f t="shared" si="4"/>
        <v>15</v>
      </c>
      <c r="R6" s="2">
        <v>6.0</v>
      </c>
      <c r="S6" s="2">
        <v>8.0</v>
      </c>
      <c r="T6" s="2">
        <v>14.0</v>
      </c>
      <c r="U6" s="2">
        <v>10.0</v>
      </c>
      <c r="V6" s="2">
        <v>15.0</v>
      </c>
      <c r="W6" s="2">
        <v>13.0</v>
      </c>
      <c r="X6" s="2">
        <v>19.0</v>
      </c>
      <c r="Y6" s="2">
        <v>30.0</v>
      </c>
      <c r="Z6" s="2">
        <v>0.0</v>
      </c>
      <c r="AA6" s="2">
        <v>29.0</v>
      </c>
      <c r="AB6" s="2">
        <v>30.0</v>
      </c>
      <c r="AC6" s="2">
        <f t="shared" si="5"/>
        <v>8.7</v>
      </c>
      <c r="AD6" s="2">
        <v>50.0</v>
      </c>
      <c r="AE6" s="2">
        <v>340.0</v>
      </c>
      <c r="AF6" s="2">
        <v>1.0</v>
      </c>
      <c r="AG6" s="3">
        <f t="shared" si="6"/>
        <v>8.7</v>
      </c>
      <c r="AH6" s="3">
        <f t="shared" si="7"/>
        <v>9.75</v>
      </c>
      <c r="AI6" s="4">
        <f t="shared" si="8"/>
        <v>79.06111111</v>
      </c>
    </row>
    <row r="7" hidden="1">
      <c r="A7" s="1" t="s">
        <v>20</v>
      </c>
      <c r="B7" s="5" t="s">
        <v>21</v>
      </c>
      <c r="C7" s="2" t="s">
        <v>6</v>
      </c>
      <c r="D7" s="2" t="s">
        <v>22</v>
      </c>
      <c r="E7" s="2">
        <f>VLOOKUP(B7, 'CSE-Sandeep'!$B$2:$G$61,5)</f>
        <v>50</v>
      </c>
      <c r="F7" s="2">
        <v>35.0</v>
      </c>
      <c r="G7" s="2">
        <f t="shared" si="1"/>
        <v>42.5</v>
      </c>
      <c r="H7" s="2">
        <v>16.0</v>
      </c>
      <c r="I7" s="2">
        <v>16.0</v>
      </c>
      <c r="J7" s="2">
        <v>45.0</v>
      </c>
      <c r="K7" s="3">
        <f t="shared" si="2"/>
        <v>13</v>
      </c>
      <c r="L7" s="2">
        <v>90.0</v>
      </c>
      <c r="M7" s="2">
        <v>200.0</v>
      </c>
      <c r="O7" s="3">
        <f t="shared" si="3"/>
        <v>200</v>
      </c>
      <c r="P7" s="2">
        <v>100.0</v>
      </c>
      <c r="Q7" s="2">
        <f t="shared" si="4"/>
        <v>14.5</v>
      </c>
      <c r="R7" s="2">
        <v>7.0</v>
      </c>
      <c r="S7" s="2">
        <v>6.0</v>
      </c>
      <c r="T7" s="2">
        <v>14.0</v>
      </c>
      <c r="U7" s="2">
        <v>0.0</v>
      </c>
      <c r="V7" s="2">
        <v>15.0</v>
      </c>
      <c r="W7" s="2">
        <v>15.0</v>
      </c>
      <c r="X7" s="2">
        <v>20.0</v>
      </c>
      <c r="Y7" s="2">
        <v>30.0</v>
      </c>
      <c r="Z7" s="2">
        <v>30.0</v>
      </c>
      <c r="AA7" s="2">
        <v>30.0</v>
      </c>
      <c r="AB7" s="2">
        <v>30.0</v>
      </c>
      <c r="AC7" s="2">
        <f t="shared" si="5"/>
        <v>9.85</v>
      </c>
      <c r="AD7" s="2">
        <v>30.0</v>
      </c>
      <c r="AE7" s="2">
        <v>335.0</v>
      </c>
      <c r="AF7" s="2">
        <v>1.0</v>
      </c>
      <c r="AG7" s="3">
        <f t="shared" si="6"/>
        <v>9.85</v>
      </c>
      <c r="AH7" s="3">
        <f t="shared" si="7"/>
        <v>9.125</v>
      </c>
      <c r="AI7" s="4">
        <f t="shared" si="8"/>
        <v>88.975</v>
      </c>
    </row>
    <row r="8" hidden="1">
      <c r="A8" s="1" t="s">
        <v>23</v>
      </c>
      <c r="B8" s="1" t="s">
        <v>24</v>
      </c>
      <c r="C8" s="2" t="s">
        <v>25</v>
      </c>
      <c r="D8" s="2" t="s">
        <v>26</v>
      </c>
      <c r="E8" s="2">
        <f>VLOOKUP(B8, 'CSE-Sandeep'!$B$2:$G$61,5)</f>
        <v>37</v>
      </c>
      <c r="F8" s="2">
        <v>33.0</v>
      </c>
      <c r="G8" s="2">
        <f t="shared" si="1"/>
        <v>35</v>
      </c>
      <c r="H8" s="2">
        <v>11.0</v>
      </c>
      <c r="I8" s="2">
        <v>11.0</v>
      </c>
      <c r="J8" s="2">
        <v>32.0</v>
      </c>
      <c r="K8" s="3">
        <f t="shared" si="2"/>
        <v>9.055555556</v>
      </c>
      <c r="L8" s="2">
        <v>100.0</v>
      </c>
      <c r="M8" s="2">
        <v>200.0</v>
      </c>
      <c r="O8" s="3">
        <f t="shared" si="3"/>
        <v>200</v>
      </c>
      <c r="P8" s="2">
        <v>85.0</v>
      </c>
      <c r="Q8" s="2">
        <f t="shared" si="4"/>
        <v>14.25</v>
      </c>
      <c r="R8" s="2">
        <v>6.0</v>
      </c>
      <c r="S8" s="2">
        <v>8.0</v>
      </c>
      <c r="T8" s="2">
        <v>15.0</v>
      </c>
      <c r="U8" s="2">
        <v>10.0</v>
      </c>
      <c r="V8" s="2">
        <v>11.0</v>
      </c>
      <c r="W8" s="2">
        <v>14.0</v>
      </c>
      <c r="X8" s="2">
        <v>20.0</v>
      </c>
      <c r="Y8" s="2">
        <v>30.0</v>
      </c>
      <c r="Z8" s="2">
        <v>30.0</v>
      </c>
      <c r="AA8" s="2">
        <v>30.0</v>
      </c>
      <c r="AC8" s="2">
        <f t="shared" si="5"/>
        <v>8.7</v>
      </c>
      <c r="AD8" s="2">
        <v>50.0</v>
      </c>
      <c r="AE8" s="2">
        <v>340.0</v>
      </c>
      <c r="AF8" s="2">
        <v>0.5</v>
      </c>
      <c r="AG8" s="3">
        <f t="shared" si="6"/>
        <v>4.35</v>
      </c>
      <c r="AH8" s="3">
        <f t="shared" si="7"/>
        <v>9.75</v>
      </c>
      <c r="AI8" s="4">
        <f t="shared" si="8"/>
        <v>72.40555556</v>
      </c>
    </row>
    <row r="9" hidden="1">
      <c r="A9" s="1" t="s">
        <v>27</v>
      </c>
      <c r="B9" s="1" t="s">
        <v>28</v>
      </c>
      <c r="C9" s="2" t="s">
        <v>6</v>
      </c>
      <c r="D9" s="2" t="s">
        <v>29</v>
      </c>
      <c r="E9" s="2">
        <f>VLOOKUP(B9, 'CSE-Sandeep'!$B$2:$G$61,5)</f>
        <v>46</v>
      </c>
      <c r="F9" s="2">
        <v>37.0</v>
      </c>
      <c r="G9" s="2">
        <f t="shared" si="1"/>
        <v>41.5</v>
      </c>
      <c r="H9" s="2">
        <v>17.0</v>
      </c>
      <c r="I9" s="2">
        <v>17.0</v>
      </c>
      <c r="J9" s="2">
        <v>37.0</v>
      </c>
      <c r="K9" s="3">
        <f t="shared" si="2"/>
        <v>12.61111111</v>
      </c>
      <c r="L9" s="2">
        <v>95.0</v>
      </c>
      <c r="M9" s="2">
        <v>200.0</v>
      </c>
      <c r="O9" s="3">
        <f t="shared" si="3"/>
        <v>200</v>
      </c>
      <c r="Q9" s="2">
        <f t="shared" si="4"/>
        <v>9.75</v>
      </c>
      <c r="R9" s="2">
        <v>6.0</v>
      </c>
      <c r="S9" s="2">
        <v>7.0</v>
      </c>
      <c r="T9" s="2">
        <v>15.0</v>
      </c>
      <c r="U9" s="2">
        <v>8.0</v>
      </c>
      <c r="V9" s="2">
        <v>15.0</v>
      </c>
      <c r="W9" s="2">
        <v>14.0</v>
      </c>
      <c r="X9" s="2">
        <v>20.0</v>
      </c>
      <c r="Y9" s="2">
        <v>30.0</v>
      </c>
      <c r="Z9" s="2">
        <v>0.0</v>
      </c>
      <c r="AA9" s="2">
        <v>30.0</v>
      </c>
      <c r="AC9" s="2">
        <f t="shared" si="5"/>
        <v>7.25</v>
      </c>
      <c r="AD9" s="2">
        <v>30.0</v>
      </c>
      <c r="AE9" s="2">
        <v>340.0</v>
      </c>
      <c r="AF9" s="2">
        <v>1.0</v>
      </c>
      <c r="AG9" s="3">
        <f t="shared" si="6"/>
        <v>7.25</v>
      </c>
      <c r="AH9" s="3">
        <f t="shared" si="7"/>
        <v>9.25</v>
      </c>
      <c r="AI9" s="4">
        <f t="shared" si="8"/>
        <v>80.36111111</v>
      </c>
    </row>
    <row r="10" hidden="1">
      <c r="A10" s="1" t="s">
        <v>30</v>
      </c>
      <c r="B10" s="1" t="s">
        <v>31</v>
      </c>
      <c r="C10" s="2" t="s">
        <v>32</v>
      </c>
      <c r="D10" s="2" t="s">
        <v>33</v>
      </c>
      <c r="E10" s="2">
        <f>VLOOKUP(B10, 'CSE-Sandeep'!$B$2:$G$61,5)</f>
        <v>24</v>
      </c>
      <c r="F10" s="2">
        <v>18.0</v>
      </c>
      <c r="G10" s="2">
        <f t="shared" si="1"/>
        <v>21</v>
      </c>
      <c r="H10" s="2">
        <v>15.0</v>
      </c>
      <c r="I10" s="2">
        <v>15.0</v>
      </c>
      <c r="J10" s="2">
        <v>35.0</v>
      </c>
      <c r="K10" s="3">
        <f t="shared" si="2"/>
        <v>11.38888889</v>
      </c>
      <c r="L10" s="2">
        <v>85.0</v>
      </c>
      <c r="M10" s="2">
        <v>180.0</v>
      </c>
      <c r="O10" s="3">
        <f t="shared" si="3"/>
        <v>180</v>
      </c>
      <c r="Q10" s="2">
        <f t="shared" si="4"/>
        <v>8.75</v>
      </c>
      <c r="R10" s="2">
        <v>5.0</v>
      </c>
      <c r="S10" s="2">
        <v>5.0</v>
      </c>
      <c r="T10" s="2">
        <v>14.0</v>
      </c>
      <c r="U10" s="2">
        <v>10.0</v>
      </c>
      <c r="V10" s="2">
        <v>15.0</v>
      </c>
      <c r="W10" s="2">
        <v>12.0</v>
      </c>
      <c r="X10" s="2">
        <v>20.0</v>
      </c>
      <c r="Y10" s="2">
        <v>30.0</v>
      </c>
      <c r="Z10" s="2">
        <v>24.0</v>
      </c>
      <c r="AA10" s="2">
        <v>29.0</v>
      </c>
      <c r="AB10" s="2">
        <v>29.0</v>
      </c>
      <c r="AC10" s="2">
        <f t="shared" si="5"/>
        <v>9.65</v>
      </c>
      <c r="AD10" s="2">
        <v>40.0</v>
      </c>
      <c r="AE10" s="2">
        <v>340.0</v>
      </c>
      <c r="AF10" s="2">
        <v>1.0</v>
      </c>
      <c r="AG10" s="3">
        <f t="shared" si="6"/>
        <v>9.65</v>
      </c>
      <c r="AH10" s="3">
        <f t="shared" si="7"/>
        <v>9.5</v>
      </c>
      <c r="AI10" s="4">
        <f t="shared" si="8"/>
        <v>60.28888889</v>
      </c>
    </row>
    <row r="11" hidden="1">
      <c r="A11" s="1" t="s">
        <v>34</v>
      </c>
      <c r="B11" s="1" t="s">
        <v>35</v>
      </c>
      <c r="C11" s="2" t="s">
        <v>6</v>
      </c>
      <c r="D11" s="2" t="s">
        <v>36</v>
      </c>
      <c r="E11" s="2">
        <f>VLOOKUP(B11, 'CSE-Sandeep'!$B$2:$G$61,5)</f>
        <v>47</v>
      </c>
      <c r="F11" s="2">
        <v>33.0</v>
      </c>
      <c r="G11" s="2">
        <f t="shared" si="1"/>
        <v>40</v>
      </c>
      <c r="H11" s="2">
        <v>11.0</v>
      </c>
      <c r="I11" s="2">
        <v>11.0</v>
      </c>
      <c r="J11" s="2">
        <v>35.5</v>
      </c>
      <c r="K11" s="3">
        <f t="shared" si="2"/>
        <v>9.444444444</v>
      </c>
      <c r="L11" s="2">
        <v>95.0</v>
      </c>
      <c r="M11" s="2">
        <v>190.0</v>
      </c>
      <c r="O11" s="3">
        <f t="shared" si="3"/>
        <v>190</v>
      </c>
      <c r="P11" s="2">
        <v>92.0</v>
      </c>
      <c r="Q11" s="2">
        <f t="shared" si="4"/>
        <v>14.1</v>
      </c>
      <c r="R11" s="2">
        <v>6.0</v>
      </c>
      <c r="S11" s="2">
        <v>8.0</v>
      </c>
      <c r="T11" s="2">
        <v>14.0</v>
      </c>
      <c r="U11" s="2">
        <v>10.0</v>
      </c>
      <c r="V11" s="2">
        <v>15.0</v>
      </c>
      <c r="W11" s="2">
        <v>14.0</v>
      </c>
      <c r="X11" s="2">
        <v>20.0</v>
      </c>
      <c r="Y11" s="2">
        <v>30.0</v>
      </c>
      <c r="Z11" s="2">
        <v>30.0</v>
      </c>
      <c r="AA11" s="2">
        <v>30.0</v>
      </c>
      <c r="AC11" s="2">
        <f t="shared" si="5"/>
        <v>8.85</v>
      </c>
      <c r="AD11" s="2">
        <v>50.0</v>
      </c>
      <c r="AE11" s="2">
        <v>330.0</v>
      </c>
      <c r="AF11" s="2">
        <v>1.0</v>
      </c>
      <c r="AG11" s="3">
        <f t="shared" si="6"/>
        <v>8.85</v>
      </c>
      <c r="AH11" s="3">
        <f t="shared" si="7"/>
        <v>9.5</v>
      </c>
      <c r="AI11" s="4">
        <f t="shared" si="8"/>
        <v>81.89444444</v>
      </c>
    </row>
    <row r="12" hidden="1">
      <c r="A12" s="1" t="s">
        <v>37</v>
      </c>
      <c r="B12" s="1" t="s">
        <v>38</v>
      </c>
      <c r="C12" s="2" t="s">
        <v>6</v>
      </c>
      <c r="D12" s="2" t="s">
        <v>39</v>
      </c>
      <c r="E12" s="2">
        <f>VLOOKUP(B12, 'CSE-Sandeep'!$B$2:$G$61,5)</f>
        <v>40</v>
      </c>
      <c r="F12" s="2">
        <v>35.0</v>
      </c>
      <c r="G12" s="2">
        <f t="shared" si="1"/>
        <v>37.5</v>
      </c>
      <c r="H12" s="2">
        <v>16.0</v>
      </c>
      <c r="I12" s="2">
        <v>16.0</v>
      </c>
      <c r="J12" s="2">
        <v>45.0</v>
      </c>
      <c r="K12" s="3">
        <f t="shared" si="2"/>
        <v>13</v>
      </c>
      <c r="L12" s="2">
        <v>95.0</v>
      </c>
      <c r="M12" s="2">
        <v>170.0</v>
      </c>
      <c r="N12" s="2">
        <v>195.0</v>
      </c>
      <c r="O12" s="3">
        <f t="shared" si="3"/>
        <v>195</v>
      </c>
      <c r="P12" s="2">
        <v>95.0</v>
      </c>
      <c r="Q12" s="2">
        <f t="shared" si="4"/>
        <v>14.375</v>
      </c>
      <c r="R12" s="2">
        <v>7.0</v>
      </c>
      <c r="S12" s="2">
        <v>5.0</v>
      </c>
      <c r="T12" s="2">
        <v>14.0</v>
      </c>
      <c r="U12" s="2">
        <v>8.0</v>
      </c>
      <c r="V12" s="2">
        <v>15.0</v>
      </c>
      <c r="W12" s="2">
        <v>14.0</v>
      </c>
      <c r="X12" s="2">
        <v>20.0</v>
      </c>
      <c r="Y12" s="2">
        <v>30.0</v>
      </c>
      <c r="Z12" s="2">
        <v>30.0</v>
      </c>
      <c r="AA12" s="2">
        <v>30.0</v>
      </c>
      <c r="AB12" s="2">
        <v>30.0</v>
      </c>
      <c r="AC12" s="2">
        <f t="shared" si="5"/>
        <v>10.15</v>
      </c>
      <c r="AD12" s="2">
        <v>50.0</v>
      </c>
      <c r="AE12" s="2">
        <v>340.0</v>
      </c>
      <c r="AF12" s="2">
        <v>1.0</v>
      </c>
      <c r="AG12" s="3">
        <f t="shared" si="6"/>
        <v>10.15</v>
      </c>
      <c r="AH12" s="3">
        <f t="shared" si="7"/>
        <v>9.75</v>
      </c>
      <c r="AI12" s="4">
        <f t="shared" si="8"/>
        <v>84.775</v>
      </c>
    </row>
    <row r="13" hidden="1">
      <c r="A13" s="1" t="s">
        <v>40</v>
      </c>
      <c r="B13" s="1" t="s">
        <v>41</v>
      </c>
      <c r="C13" s="2" t="s">
        <v>42</v>
      </c>
      <c r="D13" s="2" t="s">
        <v>43</v>
      </c>
      <c r="E13" s="2">
        <f>VLOOKUP(B13, 'CSE-Sandeep'!$B$2:$G$61,5)</f>
        <v>51</v>
      </c>
      <c r="F13" s="2">
        <v>40.0</v>
      </c>
      <c r="G13" s="2">
        <f t="shared" si="1"/>
        <v>45.5</v>
      </c>
      <c r="H13" s="2">
        <v>19.0</v>
      </c>
      <c r="I13" s="2">
        <v>19.0</v>
      </c>
      <c r="J13" s="2">
        <v>40.0</v>
      </c>
      <c r="K13" s="3">
        <f t="shared" si="2"/>
        <v>13.94444444</v>
      </c>
      <c r="L13" s="2">
        <v>100.0</v>
      </c>
      <c r="M13" s="2">
        <v>190.0</v>
      </c>
      <c r="O13" s="3">
        <f t="shared" si="3"/>
        <v>190</v>
      </c>
      <c r="P13" s="2">
        <v>85.0</v>
      </c>
      <c r="Q13" s="2">
        <f t="shared" si="4"/>
        <v>14</v>
      </c>
      <c r="R13" s="2">
        <v>7.0</v>
      </c>
      <c r="S13" s="2">
        <v>9.0</v>
      </c>
      <c r="T13" s="2">
        <v>15.0</v>
      </c>
      <c r="U13" s="2">
        <v>11.0</v>
      </c>
      <c r="V13" s="2">
        <v>15.0</v>
      </c>
      <c r="W13" s="2">
        <v>15.0</v>
      </c>
      <c r="X13" s="2">
        <v>20.0</v>
      </c>
      <c r="Y13" s="2">
        <v>30.0</v>
      </c>
      <c r="Z13" s="2">
        <v>30.0</v>
      </c>
      <c r="AA13" s="2">
        <v>30.0</v>
      </c>
      <c r="AB13" s="2">
        <v>30.0</v>
      </c>
      <c r="AC13" s="2">
        <f t="shared" si="5"/>
        <v>10.6</v>
      </c>
      <c r="AD13" s="2">
        <v>50.0</v>
      </c>
      <c r="AE13" s="2">
        <v>335.0</v>
      </c>
      <c r="AF13" s="2">
        <v>1.0</v>
      </c>
      <c r="AG13" s="3">
        <f t="shared" si="6"/>
        <v>10.6</v>
      </c>
      <c r="AH13" s="3">
        <f t="shared" si="7"/>
        <v>9.625</v>
      </c>
      <c r="AI13" s="4">
        <f t="shared" si="8"/>
        <v>93.66944444</v>
      </c>
    </row>
    <row r="14" hidden="1">
      <c r="A14" s="1" t="s">
        <v>44</v>
      </c>
      <c r="B14" s="1" t="s">
        <v>45</v>
      </c>
      <c r="C14" s="2" t="s">
        <v>42</v>
      </c>
      <c r="D14" s="2" t="s">
        <v>46</v>
      </c>
      <c r="E14" s="2">
        <f>VLOOKUP(B14, 'CSE-Sandeep'!$B$2:$G$61,5)</f>
        <v>46</v>
      </c>
      <c r="F14" s="2">
        <v>37.0</v>
      </c>
      <c r="G14" s="2">
        <f t="shared" si="1"/>
        <v>41.5</v>
      </c>
      <c r="H14" s="2">
        <v>19.0</v>
      </c>
      <c r="I14" s="2">
        <v>19.0</v>
      </c>
      <c r="J14" s="2">
        <v>45.0</v>
      </c>
      <c r="K14" s="3">
        <f t="shared" si="2"/>
        <v>14.5</v>
      </c>
      <c r="L14" s="2">
        <v>100.0</v>
      </c>
      <c r="M14" s="2">
        <v>200.0</v>
      </c>
      <c r="O14" s="3">
        <f t="shared" si="3"/>
        <v>200</v>
      </c>
      <c r="P14" s="2">
        <v>95.0</v>
      </c>
      <c r="Q14" s="2">
        <f t="shared" si="4"/>
        <v>14.75</v>
      </c>
      <c r="R14" s="2">
        <v>7.0</v>
      </c>
      <c r="S14" s="2">
        <v>9.0</v>
      </c>
      <c r="T14" s="2">
        <v>15.0</v>
      </c>
      <c r="U14" s="2">
        <v>11.0</v>
      </c>
      <c r="V14" s="2">
        <v>15.0</v>
      </c>
      <c r="W14" s="2">
        <v>14.0</v>
      </c>
      <c r="X14" s="2">
        <v>20.0</v>
      </c>
      <c r="Y14" s="2">
        <v>30.0</v>
      </c>
      <c r="Z14" s="2">
        <v>30.0</v>
      </c>
      <c r="AA14" s="2">
        <v>30.0</v>
      </c>
      <c r="AB14" s="2">
        <v>30.0</v>
      </c>
      <c r="AC14" s="2">
        <f t="shared" si="5"/>
        <v>10.55</v>
      </c>
      <c r="AD14" s="2">
        <v>30.0</v>
      </c>
      <c r="AE14" s="2">
        <v>340.0</v>
      </c>
      <c r="AF14" s="2">
        <v>1.0</v>
      </c>
      <c r="AG14" s="3">
        <f t="shared" si="6"/>
        <v>10.55</v>
      </c>
      <c r="AH14" s="3">
        <f t="shared" si="7"/>
        <v>9.25</v>
      </c>
      <c r="AI14" s="4">
        <f t="shared" si="8"/>
        <v>90.55</v>
      </c>
    </row>
    <row r="15" hidden="1">
      <c r="A15" s="1" t="s">
        <v>47</v>
      </c>
      <c r="B15" s="1" t="s">
        <v>48</v>
      </c>
      <c r="C15" s="2" t="s">
        <v>6</v>
      </c>
      <c r="D15" s="2" t="s">
        <v>49</v>
      </c>
      <c r="E15" s="2">
        <f>VLOOKUP(B15, 'CSE-Sandeep'!$B$2:$G$61,5)</f>
        <v>50</v>
      </c>
      <c r="F15" s="2">
        <v>35.0</v>
      </c>
      <c r="G15" s="2">
        <f t="shared" si="1"/>
        <v>42.5</v>
      </c>
      <c r="H15" s="2">
        <v>17.0</v>
      </c>
      <c r="I15" s="2">
        <v>17.0</v>
      </c>
      <c r="J15" s="2">
        <v>34.0</v>
      </c>
      <c r="K15" s="3">
        <f t="shared" si="2"/>
        <v>12.27777778</v>
      </c>
      <c r="L15" s="2">
        <v>76.0</v>
      </c>
      <c r="M15" s="2">
        <v>190.0</v>
      </c>
      <c r="O15" s="3">
        <f t="shared" si="3"/>
        <v>190</v>
      </c>
      <c r="P15" s="2">
        <v>89.0</v>
      </c>
      <c r="Q15" s="2">
        <f t="shared" si="4"/>
        <v>13</v>
      </c>
      <c r="R15" s="2">
        <v>7.0</v>
      </c>
      <c r="S15" s="2">
        <v>7.0</v>
      </c>
      <c r="T15" s="2">
        <v>14.0</v>
      </c>
      <c r="U15" s="2">
        <v>0.0</v>
      </c>
      <c r="V15" s="2">
        <v>14.0</v>
      </c>
      <c r="W15" s="2">
        <v>14.0</v>
      </c>
      <c r="X15" s="2">
        <v>0.0</v>
      </c>
      <c r="Y15" s="2">
        <v>30.0</v>
      </c>
      <c r="Z15" s="2">
        <v>26.0</v>
      </c>
      <c r="AA15" s="2">
        <v>29.0</v>
      </c>
      <c r="AB15" s="2">
        <v>28.0</v>
      </c>
      <c r="AC15" s="2">
        <f t="shared" si="5"/>
        <v>8.45</v>
      </c>
      <c r="AD15" s="2">
        <v>30.0</v>
      </c>
      <c r="AE15" s="2">
        <v>340.0</v>
      </c>
      <c r="AF15" s="2">
        <v>1.0</v>
      </c>
      <c r="AG15" s="3">
        <f t="shared" si="6"/>
        <v>8.45</v>
      </c>
      <c r="AH15" s="3">
        <f t="shared" si="7"/>
        <v>9.25</v>
      </c>
      <c r="AI15" s="4">
        <f t="shared" si="8"/>
        <v>85.47777778</v>
      </c>
    </row>
    <row r="16" hidden="1">
      <c r="A16" s="1" t="s">
        <v>50</v>
      </c>
      <c r="B16" s="1" t="s">
        <v>51</v>
      </c>
      <c r="C16" s="2" t="s">
        <v>25</v>
      </c>
      <c r="D16" s="2" t="s">
        <v>52</v>
      </c>
      <c r="E16" s="2">
        <f>VLOOKUP(B16, 'CSE-Sandeep'!$B$2:$G$61,5)</f>
        <v>38</v>
      </c>
      <c r="F16" s="2">
        <v>19.0</v>
      </c>
      <c r="G16" s="2">
        <f t="shared" si="1"/>
        <v>28.5</v>
      </c>
      <c r="H16" s="2">
        <v>6.0</v>
      </c>
      <c r="I16" s="2">
        <v>6.0</v>
      </c>
      <c r="J16" s="2">
        <v>35.0</v>
      </c>
      <c r="K16" s="3">
        <f t="shared" si="2"/>
        <v>6.888888889</v>
      </c>
      <c r="L16" s="2">
        <v>90.0</v>
      </c>
      <c r="M16" s="2">
        <v>180.0</v>
      </c>
      <c r="O16" s="3">
        <f t="shared" si="3"/>
        <v>180</v>
      </c>
      <c r="P16" s="2">
        <v>89.0</v>
      </c>
      <c r="Q16" s="2">
        <f t="shared" si="4"/>
        <v>13.45</v>
      </c>
      <c r="R16" s="2">
        <v>7.0</v>
      </c>
      <c r="S16" s="2">
        <v>2.0</v>
      </c>
      <c r="T16" s="2">
        <v>15.0</v>
      </c>
      <c r="U16" s="2">
        <v>10.0</v>
      </c>
      <c r="V16" s="2">
        <v>14.0</v>
      </c>
      <c r="W16" s="2">
        <v>14.0</v>
      </c>
      <c r="X16" s="2">
        <v>20.0</v>
      </c>
      <c r="Y16" s="2">
        <v>30.0</v>
      </c>
      <c r="Z16" s="2">
        <v>30.0</v>
      </c>
      <c r="AA16" s="2">
        <v>28.0</v>
      </c>
      <c r="AB16" s="2">
        <v>28.0</v>
      </c>
      <c r="AC16" s="2">
        <f t="shared" si="5"/>
        <v>9.9</v>
      </c>
      <c r="AD16" s="2">
        <v>30.0</v>
      </c>
      <c r="AE16" s="2">
        <v>335.0</v>
      </c>
      <c r="AF16" s="2">
        <v>1.0</v>
      </c>
      <c r="AG16" s="3">
        <f t="shared" si="6"/>
        <v>9.9</v>
      </c>
      <c r="AH16" s="3">
        <f t="shared" si="7"/>
        <v>9.125</v>
      </c>
      <c r="AI16" s="4">
        <f t="shared" si="8"/>
        <v>67.86388889</v>
      </c>
    </row>
    <row r="17" hidden="1">
      <c r="A17" s="1" t="s">
        <v>53</v>
      </c>
      <c r="B17" s="1" t="s">
        <v>54</v>
      </c>
      <c r="C17" s="2" t="s">
        <v>55</v>
      </c>
      <c r="D17" s="2" t="s">
        <v>56</v>
      </c>
      <c r="E17" s="2">
        <f>VLOOKUP(B17, 'CSE-Sandeep'!$B$2:$G$61,5)</f>
        <v>23</v>
      </c>
      <c r="F17" s="2">
        <v>2.0</v>
      </c>
      <c r="G17" s="2">
        <f t="shared" si="1"/>
        <v>12.5</v>
      </c>
      <c r="H17" s="2">
        <v>7.0</v>
      </c>
      <c r="I17" s="2">
        <v>7.0</v>
      </c>
      <c r="J17" s="2">
        <v>19.0</v>
      </c>
      <c r="K17" s="3">
        <f t="shared" si="2"/>
        <v>5.611111111</v>
      </c>
      <c r="L17" s="2">
        <v>90.0</v>
      </c>
      <c r="M17" s="2">
        <v>180.0</v>
      </c>
      <c r="O17" s="3">
        <f t="shared" si="3"/>
        <v>180</v>
      </c>
      <c r="P17" s="2">
        <v>95.0</v>
      </c>
      <c r="Q17" s="2">
        <f t="shared" si="4"/>
        <v>13.75</v>
      </c>
      <c r="R17" s="2">
        <v>6.0</v>
      </c>
      <c r="S17" s="2">
        <v>7.0</v>
      </c>
      <c r="T17" s="2">
        <v>14.0</v>
      </c>
      <c r="U17" s="2">
        <v>0.0</v>
      </c>
      <c r="V17" s="2">
        <v>14.0</v>
      </c>
      <c r="W17" s="2">
        <v>14.0</v>
      </c>
      <c r="X17" s="2">
        <v>20.0</v>
      </c>
      <c r="Y17" s="2">
        <v>30.0</v>
      </c>
      <c r="Z17" s="2">
        <v>30.0</v>
      </c>
      <c r="AA17" s="2">
        <v>28.0</v>
      </c>
      <c r="AB17" s="2">
        <v>28.0</v>
      </c>
      <c r="AC17" s="2">
        <f t="shared" si="5"/>
        <v>9.55</v>
      </c>
      <c r="AD17" s="2">
        <v>50.0</v>
      </c>
      <c r="AE17" s="2">
        <v>340.0</v>
      </c>
      <c r="AF17" s="2">
        <v>1.0</v>
      </c>
      <c r="AG17" s="3">
        <f t="shared" si="6"/>
        <v>9.55</v>
      </c>
      <c r="AH17" s="3">
        <f t="shared" si="7"/>
        <v>9.75</v>
      </c>
      <c r="AI17" s="4">
        <f t="shared" si="8"/>
        <v>51.16111111</v>
      </c>
    </row>
    <row r="18" hidden="1">
      <c r="A18" s="1" t="s">
        <v>57</v>
      </c>
      <c r="B18" s="1" t="s">
        <v>58</v>
      </c>
      <c r="C18" s="2" t="s">
        <v>59</v>
      </c>
      <c r="D18" s="2" t="s">
        <v>60</v>
      </c>
      <c r="E18" s="2">
        <f>VLOOKUP(B18, 'CSE-Sandeep'!$B$2:$G$61,5)</f>
        <v>21</v>
      </c>
      <c r="F18" s="2">
        <v>11.0</v>
      </c>
      <c r="G18" s="2">
        <f t="shared" si="1"/>
        <v>16</v>
      </c>
      <c r="H18" s="2">
        <v>6.0</v>
      </c>
      <c r="I18" s="2">
        <v>6.0</v>
      </c>
      <c r="J18" s="2">
        <v>18.0</v>
      </c>
      <c r="K18" s="3">
        <f t="shared" si="2"/>
        <v>5</v>
      </c>
      <c r="L18" s="2">
        <v>87.0</v>
      </c>
      <c r="M18" s="2">
        <v>180.0</v>
      </c>
      <c r="O18" s="3">
        <f t="shared" si="3"/>
        <v>180</v>
      </c>
      <c r="P18" s="2">
        <v>85.0</v>
      </c>
      <c r="Q18" s="2">
        <f t="shared" si="4"/>
        <v>13.1</v>
      </c>
      <c r="R18" s="2">
        <v>5.0</v>
      </c>
      <c r="S18" s="2">
        <v>4.0</v>
      </c>
      <c r="T18" s="2">
        <v>15.0</v>
      </c>
      <c r="U18" s="2">
        <v>5.0</v>
      </c>
      <c r="V18" s="2">
        <v>5.0</v>
      </c>
      <c r="W18" s="2">
        <v>14.0</v>
      </c>
      <c r="X18" s="2">
        <v>0.0</v>
      </c>
      <c r="Y18" s="2">
        <v>30.0</v>
      </c>
      <c r="AA18" s="2">
        <v>28.0</v>
      </c>
      <c r="AC18" s="2">
        <f t="shared" si="5"/>
        <v>5.3</v>
      </c>
      <c r="AD18" s="2">
        <v>50.0</v>
      </c>
      <c r="AE18" s="2">
        <v>330.0</v>
      </c>
      <c r="AF18" s="2">
        <v>1.0</v>
      </c>
      <c r="AG18" s="3">
        <f t="shared" si="6"/>
        <v>5.3</v>
      </c>
      <c r="AH18" s="3">
        <f t="shared" si="7"/>
        <v>9.5</v>
      </c>
      <c r="AI18" s="4">
        <f t="shared" si="8"/>
        <v>48.9</v>
      </c>
    </row>
    <row r="19" hidden="1">
      <c r="A19" s="1" t="s">
        <v>61</v>
      </c>
      <c r="B19" s="1" t="s">
        <v>62</v>
      </c>
      <c r="C19" s="2" t="s">
        <v>42</v>
      </c>
      <c r="D19" s="2" t="s">
        <v>63</v>
      </c>
      <c r="E19" s="2">
        <f>VLOOKUP(B19, 'CSE-Sandeep'!$B$2:$G$61,5)</f>
        <v>54</v>
      </c>
      <c r="F19" s="2">
        <v>36.0</v>
      </c>
      <c r="G19" s="2">
        <f t="shared" si="1"/>
        <v>45</v>
      </c>
      <c r="H19" s="2">
        <v>20.0</v>
      </c>
      <c r="I19" s="2">
        <v>20.0</v>
      </c>
      <c r="J19" s="2">
        <v>36.0</v>
      </c>
      <c r="K19" s="3">
        <f t="shared" si="2"/>
        <v>14</v>
      </c>
      <c r="L19" s="2">
        <v>100.0</v>
      </c>
      <c r="M19" s="2">
        <v>180.0</v>
      </c>
      <c r="O19" s="3">
        <f t="shared" si="3"/>
        <v>180</v>
      </c>
      <c r="P19" s="2">
        <v>100.0</v>
      </c>
      <c r="Q19" s="2">
        <f t="shared" si="4"/>
        <v>14.5</v>
      </c>
      <c r="R19" s="2">
        <v>7.0</v>
      </c>
      <c r="S19" s="2">
        <v>9.0</v>
      </c>
      <c r="T19" s="2">
        <v>14.0</v>
      </c>
      <c r="U19" s="2">
        <v>8.0</v>
      </c>
      <c r="V19" s="2">
        <v>15.0</v>
      </c>
      <c r="W19" s="2">
        <v>14.0</v>
      </c>
      <c r="X19" s="2">
        <v>20.0</v>
      </c>
      <c r="Y19" s="2">
        <v>30.0</v>
      </c>
      <c r="Z19" s="2">
        <v>21.0</v>
      </c>
      <c r="AA19" s="2">
        <v>30.0</v>
      </c>
      <c r="AB19" s="2">
        <v>30.0</v>
      </c>
      <c r="AC19" s="2">
        <f t="shared" si="5"/>
        <v>9.9</v>
      </c>
      <c r="AD19" s="2">
        <v>50.0</v>
      </c>
      <c r="AE19" s="2">
        <v>340.0</v>
      </c>
      <c r="AF19" s="2">
        <v>1.0</v>
      </c>
      <c r="AG19" s="3">
        <f t="shared" si="6"/>
        <v>9.9</v>
      </c>
      <c r="AH19" s="3">
        <f t="shared" si="7"/>
        <v>9.75</v>
      </c>
      <c r="AI19" s="4">
        <f t="shared" si="8"/>
        <v>93.15</v>
      </c>
    </row>
    <row r="20" hidden="1">
      <c r="A20" s="1" t="s">
        <v>64</v>
      </c>
      <c r="B20" s="1" t="s">
        <v>65</v>
      </c>
      <c r="C20" s="2" t="s">
        <v>25</v>
      </c>
      <c r="D20" s="2" t="s">
        <v>66</v>
      </c>
      <c r="E20" s="2">
        <f>VLOOKUP(B20, 'CSE-Sandeep'!$B$2:$G$61,5)</f>
        <v>41</v>
      </c>
      <c r="F20" s="2">
        <v>28.0</v>
      </c>
      <c r="G20" s="2">
        <f t="shared" si="1"/>
        <v>34.5</v>
      </c>
      <c r="H20" s="2">
        <v>8.0</v>
      </c>
      <c r="I20" s="2">
        <v>8.0</v>
      </c>
      <c r="J20" s="2">
        <v>29.0</v>
      </c>
      <c r="K20" s="3">
        <f t="shared" si="2"/>
        <v>7.222222222</v>
      </c>
      <c r="L20" s="2">
        <v>80.0</v>
      </c>
      <c r="M20" s="2">
        <v>180.0</v>
      </c>
      <c r="O20" s="3">
        <f t="shared" si="3"/>
        <v>180</v>
      </c>
      <c r="P20" s="2">
        <v>91.0</v>
      </c>
      <c r="Q20" s="2">
        <f t="shared" si="4"/>
        <v>13.05</v>
      </c>
      <c r="R20" s="2">
        <v>6.0</v>
      </c>
      <c r="S20" s="2">
        <v>5.0</v>
      </c>
      <c r="T20" s="2">
        <v>14.0</v>
      </c>
      <c r="U20" s="2">
        <v>8.0</v>
      </c>
      <c r="V20" s="2">
        <v>13.0</v>
      </c>
      <c r="W20" s="2">
        <v>14.0</v>
      </c>
      <c r="X20" s="2">
        <v>19.0</v>
      </c>
      <c r="Y20" s="2">
        <v>30.0</v>
      </c>
      <c r="AA20" s="2">
        <v>28.0</v>
      </c>
      <c r="AB20" s="2">
        <v>28.0</v>
      </c>
      <c r="AC20" s="2">
        <f t="shared" si="5"/>
        <v>8.25</v>
      </c>
      <c r="AD20" s="2">
        <v>30.0</v>
      </c>
      <c r="AE20" s="2">
        <v>330.0</v>
      </c>
      <c r="AF20" s="2">
        <v>1.0</v>
      </c>
      <c r="AG20" s="3">
        <f t="shared" si="6"/>
        <v>8.25</v>
      </c>
      <c r="AH20" s="3">
        <f t="shared" si="7"/>
        <v>9</v>
      </c>
      <c r="AI20" s="4">
        <f t="shared" si="8"/>
        <v>72.02222222</v>
      </c>
    </row>
    <row r="21" hidden="1">
      <c r="A21" s="1" t="s">
        <v>67</v>
      </c>
      <c r="B21" s="1" t="s">
        <v>68</v>
      </c>
      <c r="C21" s="2" t="s">
        <v>25</v>
      </c>
      <c r="D21" s="2" t="s">
        <v>69</v>
      </c>
      <c r="E21" s="2">
        <f>VLOOKUP(B21, 'CSE-Sandeep'!$B$2:$G$61,5)</f>
        <v>43</v>
      </c>
      <c r="F21" s="2">
        <v>20.0</v>
      </c>
      <c r="G21" s="2">
        <f t="shared" si="1"/>
        <v>31.5</v>
      </c>
      <c r="H21" s="2">
        <v>10.0</v>
      </c>
      <c r="I21" s="2">
        <v>10.0</v>
      </c>
      <c r="J21" s="2">
        <v>20.5</v>
      </c>
      <c r="K21" s="3">
        <f t="shared" si="2"/>
        <v>7.277777778</v>
      </c>
      <c r="L21" s="2">
        <v>80.0</v>
      </c>
      <c r="M21" s="2">
        <v>180.0</v>
      </c>
      <c r="O21" s="3">
        <f t="shared" si="3"/>
        <v>180</v>
      </c>
      <c r="P21" s="2">
        <v>98.0</v>
      </c>
      <c r="Q21" s="2">
        <f t="shared" si="4"/>
        <v>13.4</v>
      </c>
      <c r="R21" s="2">
        <v>7.0</v>
      </c>
      <c r="S21" s="2">
        <v>6.0</v>
      </c>
      <c r="T21" s="2">
        <v>14.0</v>
      </c>
      <c r="U21" s="2">
        <v>8.0</v>
      </c>
      <c r="V21" s="2">
        <v>15.0</v>
      </c>
      <c r="W21" s="2">
        <v>9.0</v>
      </c>
      <c r="X21" s="2">
        <v>20.0</v>
      </c>
      <c r="Y21" s="2">
        <v>30.0</v>
      </c>
      <c r="Z21" s="2">
        <v>18.0</v>
      </c>
      <c r="AA21" s="2">
        <v>28.0</v>
      </c>
      <c r="AC21" s="2">
        <f t="shared" si="5"/>
        <v>7.75</v>
      </c>
      <c r="AD21" s="2">
        <v>40.0</v>
      </c>
      <c r="AE21" s="2">
        <v>340.0</v>
      </c>
      <c r="AF21" s="2">
        <v>1.0</v>
      </c>
      <c r="AG21" s="3">
        <f t="shared" si="6"/>
        <v>7.75</v>
      </c>
      <c r="AH21" s="3">
        <f t="shared" si="7"/>
        <v>9.5</v>
      </c>
      <c r="AI21" s="4">
        <f t="shared" si="8"/>
        <v>69.42777778</v>
      </c>
    </row>
    <row r="22" hidden="1">
      <c r="A22" s="1" t="s">
        <v>70</v>
      </c>
      <c r="B22" s="1" t="s">
        <v>71</v>
      </c>
      <c r="C22" s="2" t="s">
        <v>6</v>
      </c>
      <c r="D22" s="2" t="s">
        <v>72</v>
      </c>
      <c r="E22" s="2">
        <f>VLOOKUP(B22, 'CSE-Sandeep'!$B$2:$G$61,5)</f>
        <v>43</v>
      </c>
      <c r="F22" s="2">
        <v>37.0</v>
      </c>
      <c r="G22" s="2">
        <f t="shared" si="1"/>
        <v>40</v>
      </c>
      <c r="H22" s="2">
        <v>12.0</v>
      </c>
      <c r="I22" s="2">
        <v>12.0</v>
      </c>
      <c r="J22" s="2">
        <v>25.0</v>
      </c>
      <c r="K22" s="3">
        <f t="shared" si="2"/>
        <v>8.777777778</v>
      </c>
      <c r="L22" s="2">
        <v>90.0</v>
      </c>
      <c r="M22" s="2">
        <v>190.0</v>
      </c>
      <c r="O22" s="3">
        <f t="shared" si="3"/>
        <v>190</v>
      </c>
      <c r="P22" s="2">
        <v>90.0</v>
      </c>
      <c r="Q22" s="2">
        <f t="shared" si="4"/>
        <v>13.75</v>
      </c>
      <c r="R22" s="2">
        <v>7.0</v>
      </c>
      <c r="S22" s="2">
        <v>8.0</v>
      </c>
      <c r="T22" s="2">
        <v>14.0</v>
      </c>
      <c r="U22" s="2">
        <v>12.0</v>
      </c>
      <c r="V22" s="2">
        <v>15.0</v>
      </c>
      <c r="W22" s="2">
        <v>14.0</v>
      </c>
      <c r="X22" s="2">
        <v>20.0</v>
      </c>
      <c r="Y22" s="2">
        <v>30.0</v>
      </c>
      <c r="Z22" s="2">
        <v>20.0</v>
      </c>
      <c r="AA22" s="2">
        <v>30.0</v>
      </c>
      <c r="AB22" s="2">
        <v>30.0</v>
      </c>
      <c r="AC22" s="2">
        <f t="shared" si="5"/>
        <v>10</v>
      </c>
      <c r="AE22" s="2">
        <v>340.0</v>
      </c>
      <c r="AF22" s="2">
        <v>1.0</v>
      </c>
      <c r="AG22" s="3">
        <f t="shared" si="6"/>
        <v>10</v>
      </c>
      <c r="AH22" s="3">
        <f t="shared" si="7"/>
        <v>8.5</v>
      </c>
      <c r="AI22" s="4">
        <f t="shared" si="8"/>
        <v>81.02777778</v>
      </c>
    </row>
    <row r="23" hidden="1">
      <c r="A23" s="1" t="s">
        <v>73</v>
      </c>
      <c r="B23" s="1" t="s">
        <v>74</v>
      </c>
      <c r="C23" s="2" t="s">
        <v>2</v>
      </c>
      <c r="D23" s="2" t="s">
        <v>75</v>
      </c>
      <c r="E23" s="2">
        <f>VLOOKUP(B23, 'CSE-Sandeep'!$B$2:$G$61,5)</f>
        <v>37</v>
      </c>
      <c r="F23" s="2">
        <v>28.0</v>
      </c>
      <c r="G23" s="2">
        <f t="shared" si="1"/>
        <v>32.5</v>
      </c>
      <c r="H23" s="2">
        <v>14.0</v>
      </c>
      <c r="I23" s="2">
        <v>14.0</v>
      </c>
      <c r="J23" s="2">
        <v>40.0</v>
      </c>
      <c r="K23" s="3">
        <f t="shared" si="2"/>
        <v>11.44444444</v>
      </c>
      <c r="L23" s="2">
        <v>95.0</v>
      </c>
      <c r="M23" s="2">
        <v>190.0</v>
      </c>
      <c r="O23" s="3">
        <f t="shared" si="3"/>
        <v>190</v>
      </c>
      <c r="P23" s="2">
        <v>100.0</v>
      </c>
      <c r="Q23" s="2">
        <f t="shared" si="4"/>
        <v>14.5</v>
      </c>
      <c r="R23" s="2">
        <v>6.0</v>
      </c>
      <c r="S23" s="2">
        <v>7.0</v>
      </c>
      <c r="T23" s="2">
        <v>15.0</v>
      </c>
      <c r="U23" s="2">
        <v>10.0</v>
      </c>
      <c r="V23" s="2">
        <v>15.0</v>
      </c>
      <c r="W23" s="2">
        <v>14.0</v>
      </c>
      <c r="X23" s="2">
        <v>17.0</v>
      </c>
      <c r="Y23" s="2">
        <v>30.0</v>
      </c>
      <c r="Z23" s="2">
        <v>20.0</v>
      </c>
      <c r="AA23" s="2">
        <v>30.0</v>
      </c>
      <c r="AB23" s="2">
        <v>30.0</v>
      </c>
      <c r="AC23" s="2">
        <f t="shared" si="5"/>
        <v>9.7</v>
      </c>
      <c r="AD23" s="2">
        <v>50.0</v>
      </c>
      <c r="AE23" s="2">
        <v>330.0</v>
      </c>
      <c r="AF23" s="2">
        <v>1.0</v>
      </c>
      <c r="AG23" s="3">
        <f t="shared" si="6"/>
        <v>9.7</v>
      </c>
      <c r="AH23" s="3">
        <f t="shared" si="7"/>
        <v>9.5</v>
      </c>
      <c r="AI23" s="4">
        <f t="shared" si="8"/>
        <v>77.64444444</v>
      </c>
    </row>
    <row r="24" hidden="1">
      <c r="A24" s="1" t="s">
        <v>76</v>
      </c>
      <c r="B24" s="1" t="s">
        <v>77</v>
      </c>
      <c r="C24" s="2" t="s">
        <v>6</v>
      </c>
      <c r="D24" s="2" t="s">
        <v>78</v>
      </c>
      <c r="E24" s="2">
        <f>VLOOKUP(B24, 'CSE-Sandeep'!$B$2:$G$61,5)</f>
        <v>45</v>
      </c>
      <c r="F24" s="2">
        <v>36.0</v>
      </c>
      <c r="G24" s="2">
        <f t="shared" si="1"/>
        <v>40.5</v>
      </c>
      <c r="H24" s="2">
        <v>13.0</v>
      </c>
      <c r="I24" s="2">
        <v>13.0</v>
      </c>
      <c r="J24" s="2">
        <v>30.5</v>
      </c>
      <c r="K24" s="3">
        <f t="shared" si="2"/>
        <v>9.888888889</v>
      </c>
      <c r="L24" s="2">
        <v>95.0</v>
      </c>
      <c r="M24" s="2">
        <v>190.0</v>
      </c>
      <c r="O24" s="3">
        <f t="shared" si="3"/>
        <v>190</v>
      </c>
      <c r="P24" s="2">
        <v>100.0</v>
      </c>
      <c r="Q24" s="2">
        <f t="shared" si="4"/>
        <v>14.5</v>
      </c>
      <c r="R24" s="2">
        <v>7.0</v>
      </c>
      <c r="S24" s="2">
        <v>8.0</v>
      </c>
      <c r="T24" s="2">
        <v>15.0</v>
      </c>
      <c r="U24" s="2">
        <v>12.0</v>
      </c>
      <c r="V24" s="2">
        <v>15.0</v>
      </c>
      <c r="W24" s="2">
        <v>14.0</v>
      </c>
      <c r="X24" s="2">
        <v>18.0</v>
      </c>
      <c r="Y24" s="2">
        <v>30.0</v>
      </c>
      <c r="Z24" s="2">
        <v>23.0</v>
      </c>
      <c r="AA24" s="2">
        <v>30.0</v>
      </c>
      <c r="AB24" s="2">
        <v>30.0</v>
      </c>
      <c r="AC24" s="2">
        <f t="shared" si="5"/>
        <v>10.1</v>
      </c>
      <c r="AD24" s="2">
        <v>30.0</v>
      </c>
      <c r="AE24" s="2">
        <v>335.0</v>
      </c>
      <c r="AF24" s="2">
        <v>1.0</v>
      </c>
      <c r="AG24" s="3">
        <f t="shared" si="6"/>
        <v>10.1</v>
      </c>
      <c r="AH24" s="3">
        <f t="shared" si="7"/>
        <v>9.125</v>
      </c>
      <c r="AI24" s="4">
        <f t="shared" si="8"/>
        <v>84.11388889</v>
      </c>
    </row>
    <row r="25" hidden="1">
      <c r="A25" s="1" t="s">
        <v>79</v>
      </c>
      <c r="B25" s="1" t="s">
        <v>80</v>
      </c>
      <c r="C25" s="2" t="s">
        <v>6</v>
      </c>
      <c r="D25" s="2" t="s">
        <v>81</v>
      </c>
      <c r="E25" s="2">
        <f>VLOOKUP(B25, 'CSE-Sandeep'!$B$2:$G$61,5)</f>
        <v>41</v>
      </c>
      <c r="F25" s="2">
        <v>30.0</v>
      </c>
      <c r="G25" s="2">
        <f t="shared" si="1"/>
        <v>35.5</v>
      </c>
      <c r="H25" s="2">
        <v>7.0</v>
      </c>
      <c r="I25" s="2">
        <v>16.5</v>
      </c>
      <c r="J25" s="2">
        <v>40.0</v>
      </c>
      <c r="K25" s="3">
        <f t="shared" si="2"/>
        <v>10.31944444</v>
      </c>
      <c r="L25" s="2">
        <v>100.0</v>
      </c>
      <c r="M25" s="2">
        <v>200.0</v>
      </c>
      <c r="O25" s="3">
        <f t="shared" si="3"/>
        <v>200</v>
      </c>
      <c r="P25" s="2">
        <v>100.0</v>
      </c>
      <c r="Q25" s="2">
        <f t="shared" si="4"/>
        <v>15</v>
      </c>
      <c r="R25" s="2">
        <v>7.0</v>
      </c>
      <c r="S25" s="2">
        <v>7.0</v>
      </c>
      <c r="T25" s="2">
        <v>15.0</v>
      </c>
      <c r="U25" s="2">
        <v>11.0</v>
      </c>
      <c r="V25" s="2">
        <v>15.0</v>
      </c>
      <c r="W25" s="2">
        <v>15.0</v>
      </c>
      <c r="X25" s="2">
        <v>18.0</v>
      </c>
      <c r="Y25" s="2">
        <v>30.0</v>
      </c>
      <c r="Z25" s="2">
        <v>30.0</v>
      </c>
      <c r="AA25" s="2">
        <v>30.0</v>
      </c>
      <c r="AB25" s="2">
        <v>30.0</v>
      </c>
      <c r="AC25" s="2">
        <f t="shared" si="5"/>
        <v>10.4</v>
      </c>
      <c r="AD25" s="2">
        <v>50.0</v>
      </c>
      <c r="AE25" s="2">
        <v>340.0</v>
      </c>
      <c r="AF25" s="2">
        <v>1.0</v>
      </c>
      <c r="AG25" s="3">
        <f t="shared" si="6"/>
        <v>10.4</v>
      </c>
      <c r="AH25" s="3">
        <f t="shared" si="7"/>
        <v>9.75</v>
      </c>
      <c r="AI25" s="4">
        <f t="shared" si="8"/>
        <v>80.96944444</v>
      </c>
    </row>
    <row r="26" hidden="1">
      <c r="A26" s="1" t="s">
        <v>82</v>
      </c>
      <c r="B26" s="1" t="s">
        <v>83</v>
      </c>
      <c r="C26" s="2" t="s">
        <v>2</v>
      </c>
      <c r="D26" s="2" t="s">
        <v>84</v>
      </c>
      <c r="E26" s="2">
        <f>VLOOKUP(B26, 'CSE-Sandeep'!$B$2:$G$61,5)</f>
        <v>50</v>
      </c>
      <c r="F26" s="2">
        <v>30.0</v>
      </c>
      <c r="G26" s="2">
        <f t="shared" si="1"/>
        <v>40</v>
      </c>
      <c r="H26" s="2">
        <v>12.0</v>
      </c>
      <c r="I26" s="2">
        <v>14.5</v>
      </c>
      <c r="J26" s="2">
        <v>28.0</v>
      </c>
      <c r="K26" s="3">
        <f t="shared" si="2"/>
        <v>9.736111111</v>
      </c>
      <c r="L26" s="2">
        <v>100.0</v>
      </c>
      <c r="M26" s="2">
        <v>170.0</v>
      </c>
      <c r="N26" s="2">
        <v>195.0</v>
      </c>
      <c r="O26" s="3">
        <f t="shared" si="3"/>
        <v>195</v>
      </c>
      <c r="Q26" s="2">
        <f t="shared" si="4"/>
        <v>9.875</v>
      </c>
      <c r="R26" s="2">
        <v>7.0</v>
      </c>
      <c r="S26" s="2">
        <v>5.0</v>
      </c>
      <c r="T26" s="2">
        <v>7.5</v>
      </c>
      <c r="U26" s="2">
        <v>4.0</v>
      </c>
      <c r="V26" s="2">
        <v>10.0</v>
      </c>
      <c r="W26" s="2">
        <v>15.0</v>
      </c>
      <c r="X26" s="2">
        <v>16.0</v>
      </c>
      <c r="Y26" s="2">
        <v>30.0</v>
      </c>
      <c r="Z26" s="2">
        <v>30.0</v>
      </c>
      <c r="AA26" s="2">
        <v>29.0</v>
      </c>
      <c r="AB26" s="2">
        <v>28.0</v>
      </c>
      <c r="AC26" s="2">
        <f t="shared" si="5"/>
        <v>9.075</v>
      </c>
      <c r="AD26" s="2">
        <v>50.0</v>
      </c>
      <c r="AE26" s="2">
        <v>300.0</v>
      </c>
      <c r="AF26" s="2">
        <v>1.0</v>
      </c>
      <c r="AG26" s="3">
        <f t="shared" si="6"/>
        <v>9.075</v>
      </c>
      <c r="AH26" s="3">
        <f t="shared" si="7"/>
        <v>8.75</v>
      </c>
      <c r="AI26" s="4">
        <f t="shared" si="8"/>
        <v>77.43611111</v>
      </c>
    </row>
    <row r="27" hidden="1">
      <c r="A27" s="1" t="s">
        <v>85</v>
      </c>
      <c r="B27" s="1" t="s">
        <v>86</v>
      </c>
      <c r="C27" s="2" t="s">
        <v>6</v>
      </c>
      <c r="D27" s="2" t="s">
        <v>87</v>
      </c>
      <c r="E27" s="2">
        <f>VLOOKUP(B27, 'CSE-Sandeep'!$B$2:$G$61,5)</f>
        <v>47</v>
      </c>
      <c r="F27" s="2">
        <v>31.0</v>
      </c>
      <c r="G27" s="2">
        <f t="shared" si="1"/>
        <v>39</v>
      </c>
      <c r="H27" s="2">
        <v>16.5</v>
      </c>
      <c r="I27" s="2">
        <v>16.0</v>
      </c>
      <c r="J27" s="2">
        <v>33.0</v>
      </c>
      <c r="K27" s="3">
        <f t="shared" si="2"/>
        <v>11.79166667</v>
      </c>
      <c r="L27" s="2">
        <v>100.0</v>
      </c>
      <c r="M27" s="2">
        <v>153.0</v>
      </c>
      <c r="O27" s="3">
        <f t="shared" si="3"/>
        <v>153</v>
      </c>
      <c r="P27" s="2">
        <v>98.0</v>
      </c>
      <c r="Q27" s="2">
        <f t="shared" si="4"/>
        <v>13.725</v>
      </c>
      <c r="S27" s="2">
        <v>5.0</v>
      </c>
      <c r="T27" s="2">
        <v>15.0</v>
      </c>
      <c r="U27" s="2">
        <v>11.0</v>
      </c>
      <c r="V27" s="2">
        <v>11.0</v>
      </c>
      <c r="W27" s="2">
        <v>15.0</v>
      </c>
      <c r="X27" s="2">
        <v>20.0</v>
      </c>
      <c r="Y27" s="2">
        <v>30.0</v>
      </c>
      <c r="Z27" s="2">
        <v>30.0</v>
      </c>
      <c r="AA27" s="2">
        <v>30.0</v>
      </c>
      <c r="AB27" s="2">
        <v>30.0</v>
      </c>
      <c r="AC27" s="2">
        <f t="shared" si="5"/>
        <v>9.85</v>
      </c>
      <c r="AD27" s="2">
        <v>50.0</v>
      </c>
      <c r="AE27" s="2">
        <v>350.0</v>
      </c>
      <c r="AF27" s="2">
        <v>1.0</v>
      </c>
      <c r="AG27" s="3">
        <f t="shared" si="6"/>
        <v>9.85</v>
      </c>
      <c r="AH27" s="3">
        <f t="shared" si="7"/>
        <v>10</v>
      </c>
      <c r="AI27" s="4">
        <f t="shared" si="8"/>
        <v>84.36666667</v>
      </c>
    </row>
    <row r="28" hidden="1">
      <c r="A28" s="1" t="s">
        <v>88</v>
      </c>
      <c r="B28" s="1" t="s">
        <v>89</v>
      </c>
      <c r="C28" s="2" t="s">
        <v>2</v>
      </c>
      <c r="D28" s="2" t="s">
        <v>90</v>
      </c>
      <c r="E28" s="2">
        <f>VLOOKUP(B28, 'CSE-Sandeep'!$B$2:$G$61,5)</f>
        <v>36</v>
      </c>
      <c r="F28" s="2">
        <v>29.0</v>
      </c>
      <c r="G28" s="2">
        <f t="shared" si="1"/>
        <v>32.5</v>
      </c>
      <c r="H28" s="2">
        <v>16.0</v>
      </c>
      <c r="I28" s="2">
        <v>13.5</v>
      </c>
      <c r="J28" s="2">
        <v>35.0</v>
      </c>
      <c r="K28" s="3">
        <f t="shared" si="2"/>
        <v>11.26388889</v>
      </c>
      <c r="L28" s="2">
        <v>100.0</v>
      </c>
      <c r="M28" s="2">
        <v>200.0</v>
      </c>
      <c r="O28" s="3">
        <f t="shared" si="3"/>
        <v>200</v>
      </c>
      <c r="P28" s="2">
        <v>96.0</v>
      </c>
      <c r="Q28" s="2">
        <f t="shared" si="4"/>
        <v>14.8</v>
      </c>
      <c r="R28" s="2">
        <v>7.0</v>
      </c>
      <c r="S28" s="2">
        <v>7.0</v>
      </c>
      <c r="T28" s="2">
        <v>10.0</v>
      </c>
      <c r="U28" s="2">
        <v>12.0</v>
      </c>
      <c r="V28" s="2">
        <v>14.0</v>
      </c>
      <c r="W28" s="2">
        <v>15.0</v>
      </c>
      <c r="X28" s="2">
        <v>20.0</v>
      </c>
      <c r="Y28" s="2">
        <v>30.0</v>
      </c>
      <c r="Z28" s="2">
        <v>30.0</v>
      </c>
      <c r="AA28" s="2">
        <v>29.0</v>
      </c>
      <c r="AB28" s="2">
        <v>30.0</v>
      </c>
      <c r="AC28" s="2">
        <f t="shared" si="5"/>
        <v>10.2</v>
      </c>
      <c r="AD28" s="2">
        <v>30.0</v>
      </c>
      <c r="AE28" s="2">
        <v>330.0</v>
      </c>
      <c r="AF28" s="2">
        <v>1.0</v>
      </c>
      <c r="AG28" s="3">
        <f t="shared" si="6"/>
        <v>10.2</v>
      </c>
      <c r="AH28" s="3">
        <f t="shared" si="7"/>
        <v>9</v>
      </c>
      <c r="AI28" s="4">
        <f t="shared" si="8"/>
        <v>77.76388889</v>
      </c>
    </row>
    <row r="29" hidden="1">
      <c r="A29" s="1" t="s">
        <v>91</v>
      </c>
      <c r="B29" s="1" t="s">
        <v>92</v>
      </c>
      <c r="C29" s="2" t="s">
        <v>6</v>
      </c>
      <c r="D29" s="2" t="s">
        <v>93</v>
      </c>
      <c r="E29" s="2">
        <f>VLOOKUP(B29, 'CSE-Sandeep'!$B$2:$G$61,5)</f>
        <v>47</v>
      </c>
      <c r="F29" s="2">
        <v>27.0</v>
      </c>
      <c r="G29" s="2">
        <f t="shared" si="1"/>
        <v>37</v>
      </c>
      <c r="H29" s="2">
        <v>15.0</v>
      </c>
      <c r="I29" s="2">
        <v>15.0</v>
      </c>
      <c r="J29" s="2">
        <v>35.0</v>
      </c>
      <c r="K29" s="3">
        <f t="shared" si="2"/>
        <v>11.38888889</v>
      </c>
      <c r="L29" s="2">
        <v>100.0</v>
      </c>
      <c r="M29" s="2">
        <v>195.0</v>
      </c>
      <c r="O29" s="3">
        <f t="shared" si="3"/>
        <v>195</v>
      </c>
      <c r="P29" s="2">
        <v>98.0</v>
      </c>
      <c r="Q29" s="2">
        <f t="shared" si="4"/>
        <v>14.775</v>
      </c>
      <c r="R29" s="2">
        <v>6.0</v>
      </c>
      <c r="S29" s="2">
        <v>6.0</v>
      </c>
      <c r="T29" s="2">
        <v>11.5</v>
      </c>
      <c r="U29" s="2">
        <v>8.0</v>
      </c>
      <c r="V29" s="2">
        <v>15.0</v>
      </c>
      <c r="W29" s="2">
        <v>14.0</v>
      </c>
      <c r="X29" s="2">
        <v>20.0</v>
      </c>
      <c r="Y29" s="2">
        <v>29.0</v>
      </c>
      <c r="Z29" s="2">
        <v>30.0</v>
      </c>
      <c r="AA29" s="2">
        <v>30.0</v>
      </c>
      <c r="AB29" s="2">
        <v>30.0</v>
      </c>
      <c r="AC29" s="2">
        <f t="shared" si="5"/>
        <v>9.975</v>
      </c>
      <c r="AD29" s="2">
        <v>50.0</v>
      </c>
      <c r="AE29" s="2">
        <v>330.0</v>
      </c>
      <c r="AF29" s="2">
        <v>1.0</v>
      </c>
      <c r="AG29" s="3">
        <f t="shared" si="6"/>
        <v>9.975</v>
      </c>
      <c r="AH29" s="3">
        <f t="shared" si="7"/>
        <v>9.5</v>
      </c>
      <c r="AI29" s="4">
        <f t="shared" si="8"/>
        <v>82.63888889</v>
      </c>
    </row>
    <row r="30">
      <c r="A30" s="1" t="s">
        <v>94</v>
      </c>
      <c r="B30" s="1" t="s">
        <v>95</v>
      </c>
      <c r="C30" s="2" t="s">
        <v>96</v>
      </c>
      <c r="D30" s="2" t="s">
        <v>97</v>
      </c>
      <c r="E30" s="2">
        <f>VLOOKUP(B30, 'CSE-Sandeep'!$B$2:$G$61,5)</f>
        <v>18</v>
      </c>
      <c r="F30" s="2">
        <v>4.0</v>
      </c>
      <c r="G30" s="2">
        <f t="shared" si="1"/>
        <v>11</v>
      </c>
      <c r="H30" s="2">
        <v>3.5</v>
      </c>
      <c r="I30" s="2">
        <v>8.5</v>
      </c>
      <c r="J30" s="2">
        <v>30.0</v>
      </c>
      <c r="K30" s="3">
        <f t="shared" si="2"/>
        <v>6.333333333</v>
      </c>
      <c r="L30" s="2">
        <v>85.0</v>
      </c>
      <c r="M30" s="2">
        <v>145.0</v>
      </c>
      <c r="O30" s="3">
        <f t="shared" si="3"/>
        <v>145</v>
      </c>
      <c r="P30" s="2">
        <v>100.0</v>
      </c>
      <c r="Q30" s="2">
        <f t="shared" si="4"/>
        <v>12.875</v>
      </c>
      <c r="R30" s="2">
        <v>6.0</v>
      </c>
      <c r="S30" s="2">
        <v>6.0</v>
      </c>
      <c r="T30" s="2">
        <v>7.0</v>
      </c>
      <c r="U30" s="2">
        <v>11.0</v>
      </c>
      <c r="V30" s="2">
        <v>2.0</v>
      </c>
      <c r="W30" s="2">
        <v>8.0</v>
      </c>
      <c r="X30" s="2">
        <v>20.0</v>
      </c>
      <c r="Y30" s="2">
        <v>30.0</v>
      </c>
      <c r="Z30" s="2">
        <v>30.0</v>
      </c>
      <c r="AA30" s="2">
        <v>28.0</v>
      </c>
      <c r="AB30" s="2">
        <v>28.0</v>
      </c>
      <c r="AC30" s="2">
        <f t="shared" si="5"/>
        <v>8.8</v>
      </c>
      <c r="AD30" s="2">
        <v>40.0</v>
      </c>
      <c r="AE30" s="2">
        <v>350.0</v>
      </c>
      <c r="AF30" s="2">
        <v>1.0</v>
      </c>
      <c r="AG30" s="3">
        <f t="shared" si="6"/>
        <v>8.8</v>
      </c>
      <c r="AH30" s="3">
        <f t="shared" si="7"/>
        <v>9.75</v>
      </c>
      <c r="AI30" s="4">
        <f t="shared" si="8"/>
        <v>48.75833333</v>
      </c>
      <c r="AJ30" s="2" t="s">
        <v>59</v>
      </c>
    </row>
    <row r="31" hidden="1">
      <c r="A31" s="1" t="s">
        <v>98</v>
      </c>
      <c r="B31" s="1" t="s">
        <v>99</v>
      </c>
      <c r="C31" s="2" t="s">
        <v>6</v>
      </c>
      <c r="D31" s="2" t="s">
        <v>100</v>
      </c>
      <c r="E31" s="2">
        <f>VLOOKUP(B31, 'CSE-Sandeep'!$B$2:$G$61,5)</f>
        <v>53</v>
      </c>
      <c r="F31" s="2">
        <v>31.0</v>
      </c>
      <c r="G31" s="2">
        <f t="shared" si="1"/>
        <v>42</v>
      </c>
      <c r="H31" s="2">
        <v>16.0</v>
      </c>
      <c r="I31" s="2">
        <v>17.0</v>
      </c>
      <c r="J31" s="2">
        <v>40.0</v>
      </c>
      <c r="K31" s="3">
        <f t="shared" si="2"/>
        <v>12.69444444</v>
      </c>
      <c r="L31" s="2">
        <v>100.0</v>
      </c>
      <c r="M31" s="2">
        <v>80.0</v>
      </c>
      <c r="O31" s="3">
        <f t="shared" si="3"/>
        <v>80</v>
      </c>
      <c r="P31" s="2">
        <v>90.0</v>
      </c>
      <c r="Q31" s="2">
        <f t="shared" si="4"/>
        <v>11.5</v>
      </c>
      <c r="R31" s="2">
        <v>7.0</v>
      </c>
      <c r="S31" s="2">
        <v>4.0</v>
      </c>
      <c r="T31" s="2">
        <v>13.0</v>
      </c>
      <c r="U31" s="2">
        <v>7.0</v>
      </c>
      <c r="V31" s="2">
        <v>14.0</v>
      </c>
      <c r="W31" s="2">
        <v>15.0</v>
      </c>
      <c r="X31" s="2">
        <v>20.0</v>
      </c>
      <c r="Y31" s="2">
        <v>29.0</v>
      </c>
      <c r="Z31" s="2">
        <v>0.0</v>
      </c>
      <c r="AA31" s="2">
        <v>28.0</v>
      </c>
      <c r="AB31" s="2">
        <v>28.0</v>
      </c>
      <c r="AC31" s="2">
        <f t="shared" si="5"/>
        <v>8.25</v>
      </c>
      <c r="AD31" s="2">
        <v>50.0</v>
      </c>
      <c r="AE31" s="2">
        <v>350.0</v>
      </c>
      <c r="AF31" s="2">
        <v>1.0</v>
      </c>
      <c r="AG31" s="3">
        <f t="shared" si="6"/>
        <v>8.25</v>
      </c>
      <c r="AH31" s="3">
        <f t="shared" si="7"/>
        <v>10</v>
      </c>
      <c r="AI31" s="4">
        <f t="shared" si="8"/>
        <v>84.44444444</v>
      </c>
    </row>
    <row r="32" hidden="1">
      <c r="A32" s="1" t="s">
        <v>101</v>
      </c>
      <c r="B32" s="1" t="s">
        <v>102</v>
      </c>
      <c r="C32" s="2" t="s">
        <v>6</v>
      </c>
      <c r="D32" s="2" t="s">
        <v>103</v>
      </c>
      <c r="E32" s="2">
        <f>VLOOKUP(B32, 'CSE-Sandeep'!$B$2:$G$61,5)</f>
        <v>47</v>
      </c>
      <c r="F32" s="2">
        <v>33.0</v>
      </c>
      <c r="G32" s="2">
        <f t="shared" si="1"/>
        <v>40</v>
      </c>
      <c r="H32" s="2">
        <v>10.5</v>
      </c>
      <c r="I32" s="2">
        <v>15.0</v>
      </c>
      <c r="J32" s="2">
        <v>40.0</v>
      </c>
      <c r="K32" s="3">
        <f t="shared" si="2"/>
        <v>10.81944444</v>
      </c>
      <c r="L32" s="2">
        <v>100.0</v>
      </c>
      <c r="M32" s="2">
        <v>200.0</v>
      </c>
      <c r="O32" s="3">
        <f t="shared" si="3"/>
        <v>200</v>
      </c>
      <c r="P32" s="2">
        <v>98.0</v>
      </c>
      <c r="Q32" s="2">
        <f t="shared" si="4"/>
        <v>14.9</v>
      </c>
      <c r="R32" s="2">
        <v>7.0</v>
      </c>
      <c r="S32" s="2">
        <v>6.0</v>
      </c>
      <c r="T32" s="2">
        <v>8.0</v>
      </c>
      <c r="U32" s="2">
        <v>3.0</v>
      </c>
      <c r="V32" s="2">
        <v>14.0</v>
      </c>
      <c r="W32" s="2">
        <v>13.0</v>
      </c>
      <c r="X32" s="2">
        <v>18.0</v>
      </c>
      <c r="Y32" s="2">
        <v>29.0</v>
      </c>
      <c r="Z32" s="2">
        <v>30.0</v>
      </c>
      <c r="AA32" s="2">
        <v>29.0</v>
      </c>
      <c r="AB32" s="2">
        <v>30.0</v>
      </c>
      <c r="AC32" s="2">
        <f t="shared" si="5"/>
        <v>9.35</v>
      </c>
      <c r="AD32" s="2">
        <v>40.0</v>
      </c>
      <c r="AE32" s="2">
        <v>350.0</v>
      </c>
      <c r="AF32" s="2">
        <v>1.0</v>
      </c>
      <c r="AG32" s="3">
        <f t="shared" si="6"/>
        <v>9.35</v>
      </c>
      <c r="AH32" s="3">
        <f t="shared" si="7"/>
        <v>9.75</v>
      </c>
      <c r="AI32" s="4">
        <f t="shared" si="8"/>
        <v>84.81944444</v>
      </c>
    </row>
    <row r="33" hidden="1">
      <c r="A33" s="1" t="s">
        <v>104</v>
      </c>
      <c r="B33" s="1" t="s">
        <v>105</v>
      </c>
      <c r="C33" s="2" t="s">
        <v>6</v>
      </c>
      <c r="D33" s="2" t="s">
        <v>106</v>
      </c>
      <c r="E33" s="2">
        <f>VLOOKUP(B33, 'CSE-Sandeep'!$B$2:$G$61,5)</f>
        <v>44</v>
      </c>
      <c r="F33" s="2">
        <v>29.0</v>
      </c>
      <c r="G33" s="2">
        <f t="shared" si="1"/>
        <v>36.5</v>
      </c>
      <c r="H33" s="2">
        <v>15.0</v>
      </c>
      <c r="I33" s="2">
        <v>11.0</v>
      </c>
      <c r="J33" s="2">
        <v>34.0</v>
      </c>
      <c r="K33" s="3">
        <f t="shared" si="2"/>
        <v>10.27777778</v>
      </c>
      <c r="L33" s="2">
        <v>100.0</v>
      </c>
      <c r="M33" s="2">
        <v>184.0</v>
      </c>
      <c r="O33" s="3">
        <f t="shared" si="3"/>
        <v>184</v>
      </c>
      <c r="P33" s="2">
        <v>100.0</v>
      </c>
      <c r="Q33" s="2">
        <f t="shared" si="4"/>
        <v>14.6</v>
      </c>
      <c r="R33" s="2">
        <v>6.0</v>
      </c>
      <c r="S33" s="2">
        <v>8.0</v>
      </c>
      <c r="T33" s="2">
        <v>14.0</v>
      </c>
      <c r="U33" s="2">
        <v>12.0</v>
      </c>
      <c r="V33" s="2">
        <v>15.0</v>
      </c>
      <c r="W33" s="2">
        <v>15.0</v>
      </c>
      <c r="X33" s="2">
        <v>20.0</v>
      </c>
      <c r="Y33" s="2">
        <v>30.0</v>
      </c>
      <c r="Z33" s="2">
        <v>30.0</v>
      </c>
      <c r="AA33" s="2">
        <v>30.0</v>
      </c>
      <c r="AB33" s="2">
        <v>29.0</v>
      </c>
      <c r="AC33" s="2">
        <f t="shared" si="5"/>
        <v>10.45</v>
      </c>
      <c r="AD33" s="2">
        <v>50.0</v>
      </c>
      <c r="AE33" s="2">
        <v>350.0</v>
      </c>
      <c r="AF33" s="2">
        <v>1.0</v>
      </c>
      <c r="AG33" s="3">
        <f t="shared" si="6"/>
        <v>10.45</v>
      </c>
      <c r="AH33" s="3">
        <f t="shared" si="7"/>
        <v>10</v>
      </c>
      <c r="AI33" s="4">
        <f t="shared" si="8"/>
        <v>81.82777778</v>
      </c>
    </row>
    <row r="34" hidden="1">
      <c r="A34" s="1" t="s">
        <v>107</v>
      </c>
      <c r="B34" s="1" t="s">
        <v>108</v>
      </c>
      <c r="C34" s="2" t="s">
        <v>2</v>
      </c>
      <c r="D34" s="2" t="s">
        <v>109</v>
      </c>
      <c r="E34" s="2">
        <f>VLOOKUP(B34, 'CSE-Sandeep'!$B$2:$G$61,5)</f>
        <v>35</v>
      </c>
      <c r="F34" s="2">
        <v>33.0</v>
      </c>
      <c r="G34" s="2">
        <f t="shared" si="1"/>
        <v>34</v>
      </c>
      <c r="H34" s="2">
        <v>10.0</v>
      </c>
      <c r="I34" s="2">
        <v>11.0</v>
      </c>
      <c r="J34" s="2">
        <v>25.0</v>
      </c>
      <c r="K34" s="3">
        <f t="shared" si="2"/>
        <v>8.027777778</v>
      </c>
      <c r="L34" s="2">
        <v>100.0</v>
      </c>
      <c r="M34" s="2">
        <v>170.0</v>
      </c>
      <c r="O34" s="3">
        <f t="shared" si="3"/>
        <v>170</v>
      </c>
      <c r="P34" s="2">
        <v>97.0</v>
      </c>
      <c r="Q34" s="2">
        <f t="shared" si="4"/>
        <v>14.1</v>
      </c>
      <c r="R34" s="2">
        <v>5.0</v>
      </c>
      <c r="S34" s="2">
        <v>5.0</v>
      </c>
      <c r="T34" s="2">
        <v>12.0</v>
      </c>
      <c r="U34" s="2">
        <v>8.0</v>
      </c>
      <c r="V34" s="2">
        <v>9.0</v>
      </c>
      <c r="W34" s="2">
        <v>8.0</v>
      </c>
      <c r="X34" s="2">
        <v>12.0</v>
      </c>
      <c r="Y34" s="2">
        <v>28.0</v>
      </c>
      <c r="Z34" s="2">
        <v>30.0</v>
      </c>
      <c r="AA34" s="2">
        <v>29.0</v>
      </c>
      <c r="AC34" s="2">
        <f t="shared" si="5"/>
        <v>7.3</v>
      </c>
      <c r="AD34" s="2">
        <v>40.0</v>
      </c>
      <c r="AE34" s="2">
        <v>330.0</v>
      </c>
      <c r="AF34" s="2">
        <v>1.0</v>
      </c>
      <c r="AG34" s="3">
        <f t="shared" si="6"/>
        <v>7.3</v>
      </c>
      <c r="AH34" s="3">
        <f t="shared" si="7"/>
        <v>9.25</v>
      </c>
      <c r="AI34" s="4">
        <f t="shared" si="8"/>
        <v>72.67777778</v>
      </c>
    </row>
    <row r="35" hidden="1">
      <c r="A35" s="1" t="s">
        <v>110</v>
      </c>
      <c r="B35" s="1" t="s">
        <v>111</v>
      </c>
      <c r="C35" s="2" t="s">
        <v>32</v>
      </c>
      <c r="D35" s="2" t="s">
        <v>112</v>
      </c>
      <c r="E35" s="2">
        <f>VLOOKUP(B35, 'CSE-Sandeep'!$B$2:$G$61,5)</f>
        <v>35</v>
      </c>
      <c r="F35" s="2">
        <v>21.0</v>
      </c>
      <c r="G35" s="2">
        <f t="shared" si="1"/>
        <v>28</v>
      </c>
      <c r="H35" s="2">
        <v>11.5</v>
      </c>
      <c r="I35" s="2">
        <v>4.5</v>
      </c>
      <c r="J35" s="2">
        <v>17.5</v>
      </c>
      <c r="K35" s="3">
        <f t="shared" si="2"/>
        <v>5.944444444</v>
      </c>
      <c r="L35" s="2">
        <v>90.0</v>
      </c>
      <c r="M35" s="2">
        <v>96.0</v>
      </c>
      <c r="O35" s="3">
        <f t="shared" si="3"/>
        <v>96</v>
      </c>
      <c r="P35" s="2">
        <v>95.0</v>
      </c>
      <c r="Q35" s="2">
        <f t="shared" si="4"/>
        <v>11.65</v>
      </c>
      <c r="R35" s="2">
        <v>4.0</v>
      </c>
      <c r="S35" s="2">
        <v>2.0</v>
      </c>
      <c r="T35" s="2">
        <v>14.0</v>
      </c>
      <c r="U35" s="2">
        <v>8.0</v>
      </c>
      <c r="V35" s="2">
        <v>11.0</v>
      </c>
      <c r="W35" s="2">
        <v>8.0</v>
      </c>
      <c r="X35" s="2">
        <v>8.0</v>
      </c>
      <c r="Y35" s="2">
        <v>28.0</v>
      </c>
      <c r="Z35" s="2">
        <v>26.0</v>
      </c>
      <c r="AA35" s="2">
        <v>30.0</v>
      </c>
      <c r="AB35" s="2">
        <v>28.0</v>
      </c>
      <c r="AC35" s="2">
        <f t="shared" si="5"/>
        <v>8.35</v>
      </c>
      <c r="AD35" s="2">
        <v>50.0</v>
      </c>
      <c r="AE35" s="2">
        <v>330.0</v>
      </c>
      <c r="AF35" s="2">
        <v>1.0</v>
      </c>
      <c r="AG35" s="3">
        <f t="shared" si="6"/>
        <v>8.35</v>
      </c>
      <c r="AH35" s="3">
        <f t="shared" si="7"/>
        <v>9.5</v>
      </c>
      <c r="AI35" s="4">
        <f t="shared" si="8"/>
        <v>63.44444444</v>
      </c>
    </row>
    <row r="36" hidden="1">
      <c r="A36" s="1" t="s">
        <v>113</v>
      </c>
      <c r="B36" s="1" t="s">
        <v>114</v>
      </c>
      <c r="C36" s="2" t="s">
        <v>42</v>
      </c>
      <c r="D36" s="2" t="s">
        <v>115</v>
      </c>
      <c r="E36" s="2">
        <f>VLOOKUP(B36, 'CSE-Sandeep'!$B$2:$G$61,5)</f>
        <v>52</v>
      </c>
      <c r="F36" s="2">
        <v>38.0</v>
      </c>
      <c r="G36" s="2">
        <f t="shared" si="1"/>
        <v>45</v>
      </c>
      <c r="H36" s="2">
        <v>10.0</v>
      </c>
      <c r="I36" s="2">
        <v>19.0</v>
      </c>
      <c r="J36" s="2">
        <v>30.0</v>
      </c>
      <c r="K36" s="3">
        <f t="shared" si="2"/>
        <v>10.58333333</v>
      </c>
      <c r="L36" s="2">
        <v>100.0</v>
      </c>
      <c r="M36" s="2">
        <v>200.0</v>
      </c>
      <c r="O36" s="3">
        <f t="shared" si="3"/>
        <v>200</v>
      </c>
      <c r="P36" s="2">
        <v>100.0</v>
      </c>
      <c r="Q36" s="2">
        <f t="shared" si="4"/>
        <v>15</v>
      </c>
      <c r="R36" s="2">
        <v>7.0</v>
      </c>
      <c r="S36" s="2">
        <v>7.0</v>
      </c>
      <c r="T36" s="2">
        <v>15.0</v>
      </c>
      <c r="U36" s="2">
        <v>11.0</v>
      </c>
      <c r="V36" s="2">
        <v>14.0</v>
      </c>
      <c r="W36" s="2">
        <v>15.0</v>
      </c>
      <c r="X36" s="2">
        <v>20.0</v>
      </c>
      <c r="Y36" s="2">
        <v>29.0</v>
      </c>
      <c r="Z36" s="2">
        <v>25.0</v>
      </c>
      <c r="AA36" s="2">
        <v>30.0</v>
      </c>
      <c r="AB36" s="2">
        <v>30.0</v>
      </c>
      <c r="AC36" s="2">
        <f t="shared" si="5"/>
        <v>10.15</v>
      </c>
      <c r="AD36" s="2">
        <v>45.0</v>
      </c>
      <c r="AE36" s="2">
        <v>350.0</v>
      </c>
      <c r="AF36" s="2">
        <v>1.0</v>
      </c>
      <c r="AG36" s="3">
        <f t="shared" si="6"/>
        <v>10.15</v>
      </c>
      <c r="AH36" s="3">
        <f t="shared" si="7"/>
        <v>9.875</v>
      </c>
      <c r="AI36" s="4">
        <f t="shared" si="8"/>
        <v>90.60833333</v>
      </c>
    </row>
    <row r="37" hidden="1">
      <c r="A37" s="1" t="s">
        <v>116</v>
      </c>
      <c r="B37" s="1" t="s">
        <v>117</v>
      </c>
      <c r="C37" s="2" t="s">
        <v>2</v>
      </c>
      <c r="D37" s="2" t="s">
        <v>118</v>
      </c>
      <c r="E37" s="2">
        <f>VLOOKUP(B37, 'CSE-Sandeep'!$B$2:$G$61,5)</f>
        <v>44</v>
      </c>
      <c r="F37" s="2">
        <v>32.0</v>
      </c>
      <c r="G37" s="2">
        <f t="shared" si="1"/>
        <v>38</v>
      </c>
      <c r="H37" s="2">
        <v>12.0</v>
      </c>
      <c r="I37" s="2">
        <v>12.0</v>
      </c>
      <c r="J37" s="2">
        <v>21.0</v>
      </c>
      <c r="K37" s="3">
        <f t="shared" si="2"/>
        <v>8.333333333</v>
      </c>
      <c r="L37" s="2">
        <v>100.0</v>
      </c>
      <c r="M37" s="2">
        <v>180.0</v>
      </c>
      <c r="O37" s="3">
        <f t="shared" si="3"/>
        <v>180</v>
      </c>
      <c r="P37" s="2">
        <v>94.0</v>
      </c>
      <c r="Q37" s="2">
        <f t="shared" si="4"/>
        <v>14.2</v>
      </c>
      <c r="R37" s="2">
        <v>0.0</v>
      </c>
      <c r="S37" s="2">
        <v>6.0</v>
      </c>
      <c r="T37" s="2">
        <v>10.5</v>
      </c>
      <c r="U37" s="2">
        <v>9.0</v>
      </c>
      <c r="V37" s="2">
        <v>15.0</v>
      </c>
      <c r="W37" s="2">
        <v>15.0</v>
      </c>
      <c r="X37" s="2">
        <v>19.0</v>
      </c>
      <c r="Y37" s="2">
        <v>26.0</v>
      </c>
      <c r="Z37" s="2">
        <v>27.0</v>
      </c>
      <c r="AA37" s="2">
        <v>29.0</v>
      </c>
      <c r="AB37" s="2">
        <v>27.0</v>
      </c>
      <c r="AC37" s="2">
        <f t="shared" si="5"/>
        <v>9.175</v>
      </c>
      <c r="AD37" s="2">
        <v>50.0</v>
      </c>
      <c r="AE37" s="2">
        <v>340.0</v>
      </c>
      <c r="AF37" s="2">
        <v>1.0</v>
      </c>
      <c r="AG37" s="3">
        <f t="shared" si="6"/>
        <v>9.175</v>
      </c>
      <c r="AH37" s="3">
        <f t="shared" si="7"/>
        <v>9.75</v>
      </c>
      <c r="AI37" s="4">
        <f t="shared" si="8"/>
        <v>79.45833333</v>
      </c>
    </row>
    <row r="38" hidden="1">
      <c r="A38" s="1" t="s">
        <v>119</v>
      </c>
      <c r="B38" s="1" t="s">
        <v>120</v>
      </c>
      <c r="C38" s="2" t="s">
        <v>6</v>
      </c>
      <c r="D38" s="2" t="s">
        <v>121</v>
      </c>
      <c r="E38" s="2">
        <f>VLOOKUP(B38, 'CSE-Sandeep'!$B$2:$G$61,5)</f>
        <v>44</v>
      </c>
      <c r="F38" s="2">
        <v>36.0</v>
      </c>
      <c r="G38" s="2">
        <f t="shared" si="1"/>
        <v>40</v>
      </c>
      <c r="H38" s="2">
        <v>15.0</v>
      </c>
      <c r="I38" s="2">
        <v>11.0</v>
      </c>
      <c r="J38" s="2">
        <v>36.0</v>
      </c>
      <c r="K38" s="3">
        <f t="shared" si="2"/>
        <v>10.5</v>
      </c>
      <c r="L38" s="2">
        <v>100.0</v>
      </c>
      <c r="M38" s="2">
        <v>187.0</v>
      </c>
      <c r="O38" s="3">
        <f t="shared" si="3"/>
        <v>187</v>
      </c>
      <c r="P38" s="2">
        <v>89.0</v>
      </c>
      <c r="Q38" s="2">
        <f t="shared" si="4"/>
        <v>14.125</v>
      </c>
      <c r="R38" s="2">
        <v>7.0</v>
      </c>
      <c r="S38" s="2">
        <v>10.0</v>
      </c>
      <c r="T38" s="2">
        <v>14.0</v>
      </c>
      <c r="U38" s="2">
        <v>8.0</v>
      </c>
      <c r="V38" s="2">
        <v>12.0</v>
      </c>
      <c r="W38" s="2">
        <v>15.0</v>
      </c>
      <c r="X38" s="2">
        <v>17.0</v>
      </c>
      <c r="Y38" s="2">
        <v>28.0</v>
      </c>
      <c r="Z38" s="2">
        <v>26.0</v>
      </c>
      <c r="AA38" s="2">
        <v>29.0</v>
      </c>
      <c r="AB38" s="2">
        <v>30.0</v>
      </c>
      <c r="AC38" s="2">
        <f t="shared" si="5"/>
        <v>9.8</v>
      </c>
      <c r="AD38" s="2">
        <v>50.0</v>
      </c>
      <c r="AE38" s="2">
        <v>350.0</v>
      </c>
      <c r="AF38" s="2">
        <v>1.0</v>
      </c>
      <c r="AG38" s="3">
        <f t="shared" si="6"/>
        <v>9.8</v>
      </c>
      <c r="AH38" s="3">
        <f t="shared" si="7"/>
        <v>10</v>
      </c>
      <c r="AI38" s="4">
        <f t="shared" si="8"/>
        <v>84.425</v>
      </c>
    </row>
    <row r="39" hidden="1">
      <c r="A39" s="1" t="s">
        <v>122</v>
      </c>
      <c r="B39" s="1" t="s">
        <v>123</v>
      </c>
      <c r="C39" s="2" t="s">
        <v>6</v>
      </c>
      <c r="D39" s="2" t="s">
        <v>124</v>
      </c>
      <c r="E39" s="2">
        <f>VLOOKUP(B39, 'CSE-Sandeep'!$B$2:$G$61,5)</f>
        <v>50</v>
      </c>
      <c r="F39" s="2">
        <v>29.0</v>
      </c>
      <c r="G39" s="2">
        <f t="shared" si="1"/>
        <v>39.5</v>
      </c>
      <c r="H39" s="2">
        <v>15.0</v>
      </c>
      <c r="I39" s="2">
        <v>10.0</v>
      </c>
      <c r="J39" s="2">
        <v>36.0</v>
      </c>
      <c r="K39" s="3">
        <f t="shared" si="2"/>
        <v>10.25</v>
      </c>
      <c r="L39" s="2">
        <v>85.0</v>
      </c>
      <c r="M39" s="2">
        <v>195.0</v>
      </c>
      <c r="O39" s="3">
        <f t="shared" si="3"/>
        <v>195</v>
      </c>
      <c r="P39" s="2">
        <v>100.0</v>
      </c>
      <c r="Q39" s="2">
        <f t="shared" si="4"/>
        <v>14.125</v>
      </c>
      <c r="R39" s="2">
        <v>7.0</v>
      </c>
      <c r="S39" s="2">
        <v>9.0</v>
      </c>
      <c r="T39" s="2">
        <v>12.0</v>
      </c>
      <c r="U39" s="2">
        <v>11.0</v>
      </c>
      <c r="V39" s="2">
        <v>15.0</v>
      </c>
      <c r="W39" s="2">
        <v>15.0</v>
      </c>
      <c r="X39" s="2">
        <v>20.0</v>
      </c>
      <c r="Y39" s="2">
        <v>30.0</v>
      </c>
      <c r="Z39" s="2">
        <v>28.0</v>
      </c>
      <c r="AA39" s="2">
        <v>30.0</v>
      </c>
      <c r="AB39" s="2">
        <v>30.0</v>
      </c>
      <c r="AC39" s="2">
        <f t="shared" si="5"/>
        <v>10.35</v>
      </c>
      <c r="AD39" s="2">
        <v>30.0</v>
      </c>
      <c r="AE39" s="2">
        <v>330.0</v>
      </c>
      <c r="AF39" s="2">
        <v>1.0</v>
      </c>
      <c r="AG39" s="3">
        <f t="shared" si="6"/>
        <v>10.35</v>
      </c>
      <c r="AH39" s="3">
        <f t="shared" si="7"/>
        <v>9</v>
      </c>
      <c r="AI39" s="4">
        <f t="shared" si="8"/>
        <v>83.225</v>
      </c>
    </row>
    <row r="40" hidden="1">
      <c r="A40" s="1" t="s">
        <v>125</v>
      </c>
      <c r="B40" s="1" t="s">
        <v>126</v>
      </c>
      <c r="C40" s="2" t="s">
        <v>6</v>
      </c>
      <c r="D40" s="2" t="s">
        <v>127</v>
      </c>
      <c r="E40" s="2">
        <f>VLOOKUP(B40, 'CSE-Sandeep'!$B$2:$G$61,5)</f>
        <v>53</v>
      </c>
      <c r="F40" s="2">
        <v>32.0</v>
      </c>
      <c r="G40" s="2">
        <f t="shared" si="1"/>
        <v>42.5</v>
      </c>
      <c r="H40" s="2">
        <v>14.0</v>
      </c>
      <c r="I40" s="2">
        <v>20.0</v>
      </c>
      <c r="J40" s="2">
        <v>43.0</v>
      </c>
      <c r="K40" s="3">
        <f t="shared" si="2"/>
        <v>13.27777778</v>
      </c>
      <c r="L40" s="2">
        <v>100.0</v>
      </c>
      <c r="M40" s="2">
        <v>195.0</v>
      </c>
      <c r="O40" s="3">
        <f t="shared" si="3"/>
        <v>195</v>
      </c>
      <c r="P40" s="2">
        <v>90.0</v>
      </c>
      <c r="Q40" s="2">
        <f t="shared" si="4"/>
        <v>14.375</v>
      </c>
      <c r="R40" s="2">
        <v>7.0</v>
      </c>
      <c r="S40" s="2">
        <v>7.0</v>
      </c>
      <c r="T40" s="2">
        <v>13.0</v>
      </c>
      <c r="U40" s="2">
        <v>10.0</v>
      </c>
      <c r="V40" s="2">
        <v>14.0</v>
      </c>
      <c r="W40" s="2">
        <v>11.0</v>
      </c>
      <c r="X40" s="2">
        <v>20.0</v>
      </c>
      <c r="Y40" s="2">
        <v>25.0</v>
      </c>
      <c r="Z40" s="2">
        <v>27.0</v>
      </c>
      <c r="AA40" s="2">
        <v>29.0</v>
      </c>
      <c r="AB40" s="2">
        <v>28.0</v>
      </c>
      <c r="AC40" s="2">
        <f t="shared" si="5"/>
        <v>9.55</v>
      </c>
      <c r="AD40" s="2">
        <v>0.0</v>
      </c>
      <c r="AE40" s="2">
        <v>330.0</v>
      </c>
      <c r="AF40" s="2">
        <v>1.0</v>
      </c>
      <c r="AG40" s="3">
        <f t="shared" si="6"/>
        <v>9.55</v>
      </c>
      <c r="AH40" s="3">
        <f t="shared" si="7"/>
        <v>8.25</v>
      </c>
      <c r="AI40" s="4">
        <f t="shared" si="8"/>
        <v>87.95277778</v>
      </c>
    </row>
    <row r="41" hidden="1">
      <c r="A41" s="1" t="s">
        <v>128</v>
      </c>
      <c r="B41" s="1" t="s">
        <v>129</v>
      </c>
      <c r="C41" s="2" t="s">
        <v>55</v>
      </c>
      <c r="D41" s="2" t="s">
        <v>130</v>
      </c>
      <c r="E41" s="2">
        <f>VLOOKUP(B41, 'CSE-Sandeep'!$B$2:$G$61,5)</f>
        <v>27</v>
      </c>
      <c r="F41" s="2">
        <v>14.0</v>
      </c>
      <c r="G41" s="2">
        <f t="shared" si="1"/>
        <v>20.5</v>
      </c>
      <c r="H41" s="2">
        <v>5.0</v>
      </c>
      <c r="I41" s="2">
        <v>7.0</v>
      </c>
      <c r="J41" s="2">
        <v>16.0</v>
      </c>
      <c r="K41" s="3">
        <f t="shared" si="2"/>
        <v>4.777777778</v>
      </c>
      <c r="L41" s="2">
        <v>100.0</v>
      </c>
      <c r="M41" s="2">
        <v>80.0</v>
      </c>
      <c r="O41" s="3">
        <f t="shared" si="3"/>
        <v>80</v>
      </c>
      <c r="P41" s="2">
        <v>96.0</v>
      </c>
      <c r="Q41" s="2">
        <f t="shared" si="4"/>
        <v>11.8</v>
      </c>
      <c r="R41" s="2">
        <v>5.0</v>
      </c>
      <c r="S41" s="2">
        <v>3.0</v>
      </c>
      <c r="T41" s="2">
        <v>9.5</v>
      </c>
      <c r="U41" s="2">
        <v>0.0</v>
      </c>
      <c r="V41" s="2">
        <v>8.0</v>
      </c>
      <c r="W41" s="2">
        <v>9.0</v>
      </c>
      <c r="X41" s="2">
        <v>15.0</v>
      </c>
      <c r="Y41" s="2">
        <v>24.0</v>
      </c>
      <c r="Z41" s="2">
        <v>28.0</v>
      </c>
      <c r="AA41" s="2">
        <v>29.0</v>
      </c>
      <c r="AB41" s="2">
        <v>29.0</v>
      </c>
      <c r="AC41" s="2">
        <f t="shared" si="5"/>
        <v>7.975</v>
      </c>
      <c r="AD41" s="2">
        <v>50.0</v>
      </c>
      <c r="AE41" s="2">
        <v>350.0</v>
      </c>
      <c r="AF41" s="2">
        <v>1.0</v>
      </c>
      <c r="AG41" s="3">
        <f t="shared" si="6"/>
        <v>7.975</v>
      </c>
      <c r="AH41" s="3">
        <f t="shared" si="7"/>
        <v>10</v>
      </c>
      <c r="AI41" s="4">
        <f t="shared" si="8"/>
        <v>55.05277778</v>
      </c>
    </row>
    <row r="42" hidden="1">
      <c r="A42" s="1" t="s">
        <v>131</v>
      </c>
      <c r="B42" s="1" t="s">
        <v>132</v>
      </c>
      <c r="C42" s="2" t="s">
        <v>42</v>
      </c>
      <c r="D42" s="2" t="s">
        <v>133</v>
      </c>
      <c r="E42" s="2">
        <f>VLOOKUP(B42, 'CSE-Sandeep'!$B$2:$G$61,5)</f>
        <v>57</v>
      </c>
      <c r="F42" s="2">
        <v>38.0</v>
      </c>
      <c r="G42" s="2">
        <f t="shared" si="1"/>
        <v>47.5</v>
      </c>
      <c r="H42" s="2">
        <v>17.0</v>
      </c>
      <c r="I42" s="2">
        <v>19.0</v>
      </c>
      <c r="J42" s="2">
        <v>40.0</v>
      </c>
      <c r="K42" s="3">
        <f t="shared" si="2"/>
        <v>13.44444444</v>
      </c>
      <c r="L42" s="2">
        <v>100.0</v>
      </c>
      <c r="M42" s="2">
        <v>200.0</v>
      </c>
      <c r="O42" s="3">
        <f t="shared" si="3"/>
        <v>200</v>
      </c>
      <c r="P42" s="2">
        <v>100.0</v>
      </c>
      <c r="Q42" s="2">
        <f t="shared" si="4"/>
        <v>15</v>
      </c>
      <c r="R42" s="2">
        <v>6.0</v>
      </c>
      <c r="S42" s="2">
        <v>9.0</v>
      </c>
      <c r="T42" s="2">
        <v>14.0</v>
      </c>
      <c r="U42" s="2">
        <v>11.0</v>
      </c>
      <c r="V42" s="2">
        <v>15.0</v>
      </c>
      <c r="W42" s="2">
        <v>15.0</v>
      </c>
      <c r="X42" s="2">
        <v>20.0</v>
      </c>
      <c r="Y42" s="2">
        <v>30.0</v>
      </c>
      <c r="Z42" s="2">
        <v>28.0</v>
      </c>
      <c r="AA42" s="2">
        <v>30.0</v>
      </c>
      <c r="AB42" s="2">
        <v>30.0</v>
      </c>
      <c r="AC42" s="2">
        <f t="shared" si="5"/>
        <v>10.4</v>
      </c>
      <c r="AD42" s="2">
        <v>50.0</v>
      </c>
      <c r="AE42" s="2">
        <v>350.0</v>
      </c>
      <c r="AF42" s="2">
        <v>1.0</v>
      </c>
      <c r="AG42" s="3">
        <f t="shared" si="6"/>
        <v>10.4</v>
      </c>
      <c r="AH42" s="3">
        <f t="shared" si="7"/>
        <v>10</v>
      </c>
      <c r="AI42" s="4">
        <f t="shared" si="8"/>
        <v>96.34444444</v>
      </c>
    </row>
    <row r="43" hidden="1">
      <c r="A43" s="1" t="s">
        <v>134</v>
      </c>
      <c r="B43" s="1" t="s">
        <v>135</v>
      </c>
      <c r="C43" s="2" t="s">
        <v>32</v>
      </c>
      <c r="D43" s="2" t="s">
        <v>136</v>
      </c>
      <c r="E43" s="2">
        <f>VLOOKUP(B43, 'CSE-Sandeep'!$B$2:$G$61,5)</f>
        <v>27</v>
      </c>
      <c r="F43" s="2">
        <v>21.0</v>
      </c>
      <c r="G43" s="2">
        <f t="shared" si="1"/>
        <v>24</v>
      </c>
      <c r="H43" s="2">
        <v>5.0</v>
      </c>
      <c r="I43" s="2">
        <v>5.5</v>
      </c>
      <c r="J43" s="2">
        <v>18.5</v>
      </c>
      <c r="K43" s="3">
        <f t="shared" si="2"/>
        <v>4.680555556</v>
      </c>
      <c r="L43" s="2">
        <v>100.0</v>
      </c>
      <c r="M43" s="2">
        <v>200.0</v>
      </c>
      <c r="O43" s="3">
        <f t="shared" si="3"/>
        <v>200</v>
      </c>
      <c r="P43" s="2">
        <v>80.0</v>
      </c>
      <c r="Q43" s="2">
        <f t="shared" si="4"/>
        <v>14</v>
      </c>
      <c r="R43" s="2">
        <v>4.0</v>
      </c>
      <c r="S43" s="2">
        <v>2.0</v>
      </c>
      <c r="T43" s="2">
        <v>11.0</v>
      </c>
      <c r="U43" s="2">
        <v>11.0</v>
      </c>
      <c r="V43" s="2">
        <v>0.0</v>
      </c>
      <c r="W43" s="2">
        <v>11.0</v>
      </c>
      <c r="X43" s="2">
        <v>16.0</v>
      </c>
      <c r="Y43" s="2">
        <v>24.0</v>
      </c>
      <c r="AA43" s="2">
        <v>28.0</v>
      </c>
      <c r="AC43" s="2">
        <f t="shared" si="5"/>
        <v>5.35</v>
      </c>
      <c r="AD43" s="2">
        <v>50.0</v>
      </c>
      <c r="AE43" s="2">
        <v>350.0</v>
      </c>
      <c r="AF43" s="2">
        <v>1.0</v>
      </c>
      <c r="AG43" s="3">
        <f t="shared" si="6"/>
        <v>5.35</v>
      </c>
      <c r="AH43" s="3">
        <f t="shared" si="7"/>
        <v>10</v>
      </c>
      <c r="AI43" s="4">
        <f t="shared" si="8"/>
        <v>58.03055556</v>
      </c>
    </row>
    <row r="44" hidden="1">
      <c r="A44" s="1" t="s">
        <v>137</v>
      </c>
      <c r="B44" s="1" t="s">
        <v>138</v>
      </c>
      <c r="C44" s="2" t="s">
        <v>42</v>
      </c>
      <c r="D44" s="2" t="s">
        <v>139</v>
      </c>
      <c r="E44" s="2">
        <f>VLOOKUP(B44, 'CSE-Sandeep'!$B$2:$G$61,5)</f>
        <v>52</v>
      </c>
      <c r="F44" s="2">
        <v>36.0</v>
      </c>
      <c r="G44" s="2">
        <f t="shared" si="1"/>
        <v>44</v>
      </c>
      <c r="H44" s="2">
        <v>17.0</v>
      </c>
      <c r="I44" s="2">
        <v>18.0</v>
      </c>
      <c r="J44" s="2">
        <v>38.0</v>
      </c>
      <c r="K44" s="3">
        <f t="shared" si="2"/>
        <v>12.97222222</v>
      </c>
      <c r="L44" s="2">
        <v>100.0</v>
      </c>
      <c r="M44" s="2">
        <v>200.0</v>
      </c>
      <c r="O44" s="3">
        <f t="shared" si="3"/>
        <v>200</v>
      </c>
      <c r="P44" s="2">
        <v>96.0</v>
      </c>
      <c r="Q44" s="2">
        <f t="shared" si="4"/>
        <v>14.8</v>
      </c>
      <c r="R44" s="2">
        <v>7.0</v>
      </c>
      <c r="S44" s="2">
        <v>10.0</v>
      </c>
      <c r="T44" s="2">
        <v>9.0</v>
      </c>
      <c r="U44" s="2">
        <v>7.0</v>
      </c>
      <c r="V44" s="2">
        <v>12.0</v>
      </c>
      <c r="W44" s="2">
        <v>15.0</v>
      </c>
      <c r="X44" s="2">
        <v>20.0</v>
      </c>
      <c r="Y44" s="2">
        <v>28.0</v>
      </c>
      <c r="Z44" s="2">
        <v>26.0</v>
      </c>
      <c r="AA44" s="2">
        <v>30.0</v>
      </c>
      <c r="AC44" s="2">
        <f t="shared" si="5"/>
        <v>8.2</v>
      </c>
      <c r="AD44" s="2">
        <v>50.0</v>
      </c>
      <c r="AE44" s="2">
        <v>350.0</v>
      </c>
      <c r="AF44" s="2">
        <v>1.0</v>
      </c>
      <c r="AG44" s="3">
        <f t="shared" si="6"/>
        <v>8.2</v>
      </c>
      <c r="AH44" s="3">
        <f t="shared" si="7"/>
        <v>10</v>
      </c>
      <c r="AI44" s="4">
        <f t="shared" si="8"/>
        <v>89.97222222</v>
      </c>
    </row>
    <row r="45" hidden="1">
      <c r="A45" s="1" t="s">
        <v>140</v>
      </c>
      <c r="B45" s="1" t="s">
        <v>141</v>
      </c>
      <c r="C45" s="2" t="s">
        <v>2</v>
      </c>
      <c r="D45" s="2" t="s">
        <v>142</v>
      </c>
      <c r="E45" s="2">
        <f>VLOOKUP(B45, 'CSE-Sandeep'!$B$2:$G$61,5)</f>
        <v>48</v>
      </c>
      <c r="F45" s="2">
        <v>27.0</v>
      </c>
      <c r="G45" s="2">
        <f t="shared" si="1"/>
        <v>37.5</v>
      </c>
      <c r="H45" s="2">
        <v>6.0</v>
      </c>
      <c r="I45" s="2">
        <v>11.0</v>
      </c>
      <c r="J45" s="2">
        <v>30.5</v>
      </c>
      <c r="K45" s="3">
        <f t="shared" si="2"/>
        <v>7.638888889</v>
      </c>
      <c r="L45" s="2">
        <v>70.0</v>
      </c>
      <c r="M45" s="2">
        <v>198.0</v>
      </c>
      <c r="O45" s="3">
        <f t="shared" si="3"/>
        <v>198</v>
      </c>
      <c r="P45" s="2">
        <v>90.0</v>
      </c>
      <c r="Q45" s="2">
        <f t="shared" si="4"/>
        <v>12.95</v>
      </c>
      <c r="R45" s="2">
        <v>7.0</v>
      </c>
      <c r="S45" s="2">
        <v>10.0</v>
      </c>
      <c r="U45" s="2">
        <v>8.0</v>
      </c>
      <c r="V45" s="2">
        <v>14.0</v>
      </c>
      <c r="X45" s="2">
        <v>20.0</v>
      </c>
      <c r="Y45" s="2">
        <v>26.0</v>
      </c>
      <c r="Z45" s="2">
        <v>28.0</v>
      </c>
      <c r="AA45" s="2">
        <v>30.0</v>
      </c>
      <c r="AB45" s="2">
        <v>28.0</v>
      </c>
      <c r="AC45" s="2">
        <f t="shared" si="5"/>
        <v>8.55</v>
      </c>
      <c r="AD45" s="2">
        <v>10.0</v>
      </c>
      <c r="AE45" s="2">
        <v>280.0</v>
      </c>
      <c r="AF45" s="2">
        <v>1.0</v>
      </c>
      <c r="AG45" s="3">
        <f t="shared" si="6"/>
        <v>8.55</v>
      </c>
      <c r="AH45" s="3">
        <f t="shared" si="7"/>
        <v>7.25</v>
      </c>
      <c r="AI45" s="4">
        <f t="shared" si="8"/>
        <v>73.88888889</v>
      </c>
    </row>
    <row r="46">
      <c r="A46" s="1" t="s">
        <v>143</v>
      </c>
      <c r="B46" s="1" t="s">
        <v>144</v>
      </c>
      <c r="C46" s="2" t="s">
        <v>96</v>
      </c>
      <c r="D46" s="2" t="s">
        <v>145</v>
      </c>
      <c r="E46" s="2">
        <v>21.0</v>
      </c>
      <c r="F46" s="2">
        <v>6.0</v>
      </c>
      <c r="G46" s="2">
        <f t="shared" si="1"/>
        <v>13.5</v>
      </c>
      <c r="H46" s="2">
        <v>5.0</v>
      </c>
      <c r="I46" s="2">
        <v>15.0</v>
      </c>
      <c r="J46" s="2">
        <v>20.0</v>
      </c>
      <c r="K46" s="3">
        <f t="shared" si="2"/>
        <v>7.222222222</v>
      </c>
      <c r="L46" s="2">
        <v>100.0</v>
      </c>
      <c r="M46" s="2">
        <v>180.0</v>
      </c>
      <c r="O46" s="3">
        <f t="shared" si="3"/>
        <v>180</v>
      </c>
      <c r="P46" s="2">
        <v>92.0</v>
      </c>
      <c r="Q46" s="2">
        <f t="shared" si="4"/>
        <v>14.1</v>
      </c>
      <c r="S46" s="2">
        <v>0.0</v>
      </c>
      <c r="U46" s="2">
        <v>11.0</v>
      </c>
      <c r="V46" s="2">
        <v>12.0</v>
      </c>
      <c r="W46" s="2">
        <v>15.0</v>
      </c>
      <c r="X46" s="2">
        <v>18.0</v>
      </c>
      <c r="Y46" s="2">
        <v>26.0</v>
      </c>
      <c r="Z46" s="2">
        <v>25.0</v>
      </c>
      <c r="AA46" s="2">
        <v>28.0</v>
      </c>
      <c r="AB46" s="2">
        <v>28.0</v>
      </c>
      <c r="AC46" s="2">
        <f t="shared" si="5"/>
        <v>8.15</v>
      </c>
      <c r="AD46" s="2">
        <v>40.0</v>
      </c>
      <c r="AE46" s="2">
        <v>310.0</v>
      </c>
      <c r="AF46" s="2">
        <v>1.0</v>
      </c>
      <c r="AG46" s="3">
        <f t="shared" si="6"/>
        <v>8.15</v>
      </c>
      <c r="AH46" s="3">
        <f t="shared" si="7"/>
        <v>8.75</v>
      </c>
      <c r="AI46" s="4">
        <f t="shared" si="8"/>
        <v>51.72222222</v>
      </c>
      <c r="AJ46" s="2" t="s">
        <v>55</v>
      </c>
    </row>
    <row r="47" hidden="1">
      <c r="A47" s="1" t="s">
        <v>146</v>
      </c>
      <c r="B47" s="1" t="s">
        <v>147</v>
      </c>
      <c r="C47" s="2" t="s">
        <v>6</v>
      </c>
      <c r="D47" s="2" t="s">
        <v>148</v>
      </c>
      <c r="E47" s="2">
        <f>VLOOKUP(B47, 'CSE-Sandeep'!$B$2:$G$61,5)</f>
        <v>50</v>
      </c>
      <c r="F47" s="2">
        <v>33.0</v>
      </c>
      <c r="G47" s="2">
        <f t="shared" si="1"/>
        <v>41.5</v>
      </c>
      <c r="H47" s="2">
        <v>7.0</v>
      </c>
      <c r="I47" s="2">
        <v>16.5</v>
      </c>
      <c r="K47" s="3">
        <f t="shared" si="2"/>
        <v>5.875</v>
      </c>
      <c r="L47" s="2">
        <v>100.0</v>
      </c>
      <c r="M47" s="2">
        <v>180.0</v>
      </c>
      <c r="N47" s="2">
        <v>195.0</v>
      </c>
      <c r="O47" s="3">
        <f t="shared" si="3"/>
        <v>195</v>
      </c>
      <c r="P47" s="2">
        <v>88.0</v>
      </c>
      <c r="Q47" s="2">
        <f t="shared" si="4"/>
        <v>14.275</v>
      </c>
      <c r="R47" s="2">
        <v>7.0</v>
      </c>
      <c r="S47" s="2">
        <v>8.0</v>
      </c>
      <c r="U47" s="2">
        <v>9.0</v>
      </c>
      <c r="V47" s="2">
        <v>15.0</v>
      </c>
      <c r="W47" s="2">
        <v>15.0</v>
      </c>
      <c r="X47" s="2">
        <v>18.0</v>
      </c>
      <c r="Y47" s="2">
        <v>23.0</v>
      </c>
      <c r="Z47" s="2">
        <v>28.0</v>
      </c>
      <c r="AA47" s="2">
        <v>28.0</v>
      </c>
      <c r="AB47" s="2">
        <v>27.0</v>
      </c>
      <c r="AC47" s="2">
        <f t="shared" si="5"/>
        <v>8.9</v>
      </c>
      <c r="AD47" s="2">
        <v>50.0</v>
      </c>
      <c r="AE47" s="2">
        <v>310.0</v>
      </c>
      <c r="AF47" s="2">
        <v>1.0</v>
      </c>
      <c r="AG47" s="3">
        <f t="shared" si="6"/>
        <v>8.9</v>
      </c>
      <c r="AH47" s="3">
        <f t="shared" si="7"/>
        <v>9</v>
      </c>
      <c r="AI47" s="4">
        <f t="shared" si="8"/>
        <v>79.55</v>
      </c>
    </row>
    <row r="48" hidden="1">
      <c r="A48" s="1" t="s">
        <v>149</v>
      </c>
      <c r="B48" s="1" t="s">
        <v>150</v>
      </c>
      <c r="C48" s="2" t="s">
        <v>25</v>
      </c>
      <c r="D48" s="2" t="s">
        <v>151</v>
      </c>
      <c r="E48" s="2">
        <f>VLOOKUP(B48, 'CSE-Sandeep'!$B$2:$G$61,5)</f>
        <v>43</v>
      </c>
      <c r="F48" s="2">
        <v>26.0</v>
      </c>
      <c r="G48" s="2">
        <f t="shared" si="1"/>
        <v>34.5</v>
      </c>
      <c r="H48" s="2">
        <v>2.0</v>
      </c>
      <c r="I48" s="2">
        <v>8.5</v>
      </c>
      <c r="J48" s="2">
        <v>32.0</v>
      </c>
      <c r="K48" s="3">
        <f t="shared" si="2"/>
        <v>6.180555556</v>
      </c>
      <c r="L48" s="2">
        <v>100.0</v>
      </c>
      <c r="M48" s="2">
        <v>174.0</v>
      </c>
      <c r="O48" s="3">
        <f t="shared" si="3"/>
        <v>174</v>
      </c>
      <c r="P48" s="2">
        <v>92.0</v>
      </c>
      <c r="Q48" s="2">
        <f t="shared" si="4"/>
        <v>13.95</v>
      </c>
      <c r="R48" s="2">
        <v>7.0</v>
      </c>
      <c r="S48" s="2">
        <v>3.0</v>
      </c>
      <c r="U48" s="2">
        <v>12.0</v>
      </c>
      <c r="V48" s="2">
        <v>15.0</v>
      </c>
      <c r="W48" s="2">
        <v>15.0</v>
      </c>
      <c r="X48" s="2">
        <v>20.0</v>
      </c>
      <c r="Y48" s="2">
        <v>28.0</v>
      </c>
      <c r="Z48" s="2">
        <v>30.0</v>
      </c>
      <c r="AA48" s="2">
        <v>28.0</v>
      </c>
      <c r="AB48" s="2">
        <v>28.0</v>
      </c>
      <c r="AC48" s="2">
        <f t="shared" si="5"/>
        <v>9.3</v>
      </c>
      <c r="AD48" s="2">
        <v>0.0</v>
      </c>
      <c r="AE48" s="2">
        <v>315.0</v>
      </c>
      <c r="AF48" s="2">
        <v>1.0</v>
      </c>
      <c r="AG48" s="3">
        <f t="shared" si="6"/>
        <v>9.3</v>
      </c>
      <c r="AH48" s="3">
        <f t="shared" si="7"/>
        <v>7.875</v>
      </c>
      <c r="AI48" s="4">
        <f t="shared" si="8"/>
        <v>71.80555556</v>
      </c>
    </row>
    <row r="49" hidden="1">
      <c r="A49" s="1" t="s">
        <v>152</v>
      </c>
      <c r="B49" s="1" t="s">
        <v>153</v>
      </c>
      <c r="C49" s="2" t="s">
        <v>2</v>
      </c>
      <c r="D49" s="2" t="s">
        <v>154</v>
      </c>
      <c r="E49" s="2">
        <f>VLOOKUP(B49, 'CSE-Sandeep'!$B$2:$G$61,5)</f>
        <v>46</v>
      </c>
      <c r="F49" s="2">
        <v>27.0</v>
      </c>
      <c r="G49" s="2">
        <f t="shared" si="1"/>
        <v>36.5</v>
      </c>
      <c r="H49" s="2">
        <v>7.0</v>
      </c>
      <c r="I49" s="2">
        <v>14.0</v>
      </c>
      <c r="J49" s="2">
        <v>31.5</v>
      </c>
      <c r="K49" s="3">
        <f t="shared" si="2"/>
        <v>8.75</v>
      </c>
      <c r="L49" s="2">
        <v>100.0</v>
      </c>
      <c r="M49" s="2">
        <v>180.0</v>
      </c>
      <c r="O49" s="3">
        <f t="shared" si="3"/>
        <v>180</v>
      </c>
      <c r="P49" s="2">
        <v>90.0</v>
      </c>
      <c r="Q49" s="2">
        <f t="shared" si="4"/>
        <v>14</v>
      </c>
      <c r="R49" s="2">
        <v>6.0</v>
      </c>
      <c r="S49" s="2">
        <v>7.0</v>
      </c>
      <c r="U49" s="2">
        <v>10.0</v>
      </c>
      <c r="V49" s="2">
        <v>15.0</v>
      </c>
      <c r="W49" s="2">
        <v>14.0</v>
      </c>
      <c r="X49" s="2">
        <v>20.0</v>
      </c>
      <c r="Y49" s="2">
        <v>26.0</v>
      </c>
      <c r="Z49" s="2">
        <v>25.0</v>
      </c>
      <c r="AA49" s="2">
        <v>29.0</v>
      </c>
      <c r="AB49" s="2">
        <v>28.0</v>
      </c>
      <c r="AC49" s="2">
        <f t="shared" si="5"/>
        <v>9</v>
      </c>
      <c r="AD49" s="2">
        <v>40.0</v>
      </c>
      <c r="AE49" s="2">
        <v>310.0</v>
      </c>
      <c r="AF49" s="2">
        <v>1.0</v>
      </c>
      <c r="AG49" s="3">
        <f t="shared" si="6"/>
        <v>9</v>
      </c>
      <c r="AH49" s="3">
        <f t="shared" si="7"/>
        <v>8.75</v>
      </c>
      <c r="AI49" s="4">
        <f t="shared" si="8"/>
        <v>77</v>
      </c>
    </row>
    <row r="50" hidden="1">
      <c r="A50" s="1" t="s">
        <v>155</v>
      </c>
      <c r="B50" s="1" t="s">
        <v>156</v>
      </c>
      <c r="C50" s="2" t="s">
        <v>6</v>
      </c>
      <c r="D50" s="2" t="s">
        <v>157</v>
      </c>
      <c r="E50" s="2">
        <f>VLOOKUP(B50, 'CSE-Sandeep'!$B$2:$G$61,5)</f>
        <v>48</v>
      </c>
      <c r="F50" s="2">
        <v>36.0</v>
      </c>
      <c r="G50" s="2">
        <f t="shared" si="1"/>
        <v>42</v>
      </c>
      <c r="H50" s="2">
        <v>12.0</v>
      </c>
      <c r="I50" s="2">
        <v>19.5</v>
      </c>
      <c r="J50" s="2">
        <v>35.0</v>
      </c>
      <c r="K50" s="3">
        <f t="shared" si="2"/>
        <v>11.76388889</v>
      </c>
      <c r="L50" s="2">
        <v>100.0</v>
      </c>
      <c r="M50" s="2">
        <v>192.0</v>
      </c>
      <c r="O50" s="3">
        <f t="shared" si="3"/>
        <v>192</v>
      </c>
      <c r="P50" s="2">
        <v>92.0</v>
      </c>
      <c r="Q50" s="2">
        <f t="shared" si="4"/>
        <v>14.4</v>
      </c>
      <c r="R50" s="2">
        <v>6.0</v>
      </c>
      <c r="S50" s="2">
        <v>9.0</v>
      </c>
      <c r="U50" s="2">
        <v>13.0</v>
      </c>
      <c r="V50" s="2">
        <v>15.0</v>
      </c>
      <c r="W50" s="2">
        <v>15.0</v>
      </c>
      <c r="X50" s="2">
        <v>20.0</v>
      </c>
      <c r="Y50" s="2">
        <v>30.0</v>
      </c>
      <c r="Z50" s="2">
        <v>30.0</v>
      </c>
      <c r="AA50" s="2">
        <v>30.0</v>
      </c>
      <c r="AB50" s="2">
        <v>30.0</v>
      </c>
      <c r="AC50" s="2">
        <f t="shared" si="5"/>
        <v>9.9</v>
      </c>
      <c r="AD50" s="2">
        <v>20.0</v>
      </c>
      <c r="AE50" s="2">
        <v>320.0</v>
      </c>
      <c r="AF50" s="2">
        <v>1.0</v>
      </c>
      <c r="AG50" s="3">
        <f t="shared" si="6"/>
        <v>9.9</v>
      </c>
      <c r="AH50" s="3">
        <f t="shared" si="7"/>
        <v>8.5</v>
      </c>
      <c r="AI50" s="4">
        <f t="shared" si="8"/>
        <v>86.56388889</v>
      </c>
    </row>
    <row r="51" hidden="1">
      <c r="A51" s="1" t="s">
        <v>158</v>
      </c>
      <c r="B51" s="1" t="s">
        <v>159</v>
      </c>
      <c r="C51" s="2" t="s">
        <v>6</v>
      </c>
      <c r="D51" s="2" t="s">
        <v>160</v>
      </c>
      <c r="E51" s="2">
        <f>VLOOKUP(B51, 'CSE-Sandeep'!$B$2:$G$61,5)</f>
        <v>46</v>
      </c>
      <c r="F51" s="2">
        <v>29.0</v>
      </c>
      <c r="G51" s="2">
        <f t="shared" si="1"/>
        <v>37.5</v>
      </c>
      <c r="H51" s="2">
        <v>16.0</v>
      </c>
      <c r="I51" s="2">
        <v>14.0</v>
      </c>
      <c r="J51" s="2">
        <v>25.0</v>
      </c>
      <c r="K51" s="3">
        <f t="shared" si="2"/>
        <v>10.27777778</v>
      </c>
      <c r="L51" s="2">
        <v>100.0</v>
      </c>
      <c r="M51" s="2">
        <v>170.0</v>
      </c>
      <c r="N51" s="2">
        <v>200.0</v>
      </c>
      <c r="O51" s="3">
        <f t="shared" si="3"/>
        <v>200</v>
      </c>
      <c r="P51" s="2">
        <v>90.0</v>
      </c>
      <c r="Q51" s="2">
        <f t="shared" si="4"/>
        <v>14.5</v>
      </c>
      <c r="R51" s="2">
        <v>6.0</v>
      </c>
      <c r="S51" s="2">
        <v>8.0</v>
      </c>
      <c r="U51" s="2">
        <v>11.0</v>
      </c>
      <c r="V51" s="2">
        <v>14.0</v>
      </c>
      <c r="X51" s="2">
        <v>18.0</v>
      </c>
      <c r="Y51" s="2">
        <v>27.0</v>
      </c>
      <c r="Z51" s="2">
        <v>28.0</v>
      </c>
      <c r="AA51" s="2">
        <v>30.0</v>
      </c>
      <c r="AB51" s="2">
        <v>30.0</v>
      </c>
      <c r="AC51" s="2">
        <f t="shared" si="5"/>
        <v>8.6</v>
      </c>
      <c r="AD51" s="2">
        <v>50.0</v>
      </c>
      <c r="AE51" s="2">
        <v>315.0</v>
      </c>
      <c r="AF51" s="2">
        <v>1.0</v>
      </c>
      <c r="AG51" s="3">
        <f t="shared" si="6"/>
        <v>8.6</v>
      </c>
      <c r="AH51" s="3">
        <f t="shared" si="7"/>
        <v>9.125</v>
      </c>
      <c r="AI51" s="4">
        <f t="shared" si="8"/>
        <v>80.00277778</v>
      </c>
    </row>
    <row r="52" hidden="1">
      <c r="A52" s="1" t="s">
        <v>161</v>
      </c>
      <c r="B52" s="1" t="s">
        <v>162</v>
      </c>
      <c r="C52" s="2" t="s">
        <v>25</v>
      </c>
      <c r="D52" s="2" t="s">
        <v>163</v>
      </c>
      <c r="E52" s="2">
        <f>VLOOKUP(B52, 'CSE-Sandeep'!$B$2:$G$61,5)</f>
        <v>38</v>
      </c>
      <c r="F52" s="2">
        <v>21.0</v>
      </c>
      <c r="G52" s="2">
        <f t="shared" si="1"/>
        <v>29.5</v>
      </c>
      <c r="H52" s="2">
        <v>11.0</v>
      </c>
      <c r="I52" s="2">
        <v>14.0</v>
      </c>
      <c r="J52" s="2">
        <v>8.0</v>
      </c>
      <c r="K52" s="3">
        <f t="shared" si="2"/>
        <v>7.138888889</v>
      </c>
      <c r="L52" s="2">
        <v>100.0</v>
      </c>
      <c r="M52" s="2">
        <v>189.0</v>
      </c>
      <c r="O52" s="3">
        <f t="shared" si="3"/>
        <v>189</v>
      </c>
      <c r="P52" s="2">
        <v>90.0</v>
      </c>
      <c r="Q52" s="2">
        <f t="shared" si="4"/>
        <v>14.225</v>
      </c>
      <c r="R52" s="2">
        <v>7.0</v>
      </c>
      <c r="S52" s="2">
        <v>6.0</v>
      </c>
      <c r="U52" s="2">
        <v>8.0</v>
      </c>
      <c r="V52" s="2">
        <v>13.0</v>
      </c>
      <c r="W52" s="2">
        <v>15.0</v>
      </c>
      <c r="X52" s="2">
        <v>20.0</v>
      </c>
      <c r="Y52" s="2">
        <v>28.0</v>
      </c>
      <c r="Z52" s="2">
        <v>26.0</v>
      </c>
      <c r="AA52" s="2">
        <v>28.0</v>
      </c>
      <c r="AB52" s="2">
        <v>28.0</v>
      </c>
      <c r="AC52" s="2">
        <f t="shared" si="5"/>
        <v>8.95</v>
      </c>
      <c r="AD52" s="2">
        <v>0.0</v>
      </c>
      <c r="AE52" s="2">
        <v>320.0</v>
      </c>
      <c r="AF52" s="2">
        <v>1.0</v>
      </c>
      <c r="AG52" s="3">
        <f t="shared" si="6"/>
        <v>8.95</v>
      </c>
      <c r="AH52" s="3">
        <f t="shared" si="7"/>
        <v>8</v>
      </c>
      <c r="AI52" s="4">
        <f t="shared" si="8"/>
        <v>67.81388889</v>
      </c>
    </row>
    <row r="53" hidden="1">
      <c r="A53" s="1" t="s">
        <v>164</v>
      </c>
      <c r="B53" s="1" t="s">
        <v>165</v>
      </c>
      <c r="C53" s="2" t="s">
        <v>55</v>
      </c>
      <c r="D53" s="2" t="s">
        <v>166</v>
      </c>
      <c r="E53" s="2">
        <f>VLOOKUP(B53, 'CSE-Sandeep'!$B$2:$G$61,5)</f>
        <v>46</v>
      </c>
      <c r="F53" s="2">
        <v>31.0</v>
      </c>
      <c r="G53" s="2">
        <f t="shared" si="1"/>
        <v>38.5</v>
      </c>
      <c r="H53" s="2">
        <v>16.0</v>
      </c>
      <c r="J53" s="2">
        <v>30.0</v>
      </c>
      <c r="K53" s="3">
        <f t="shared" si="2"/>
        <v>7.333333333</v>
      </c>
      <c r="L53" s="2">
        <v>100.0</v>
      </c>
      <c r="O53" s="3">
        <f t="shared" si="3"/>
        <v>0</v>
      </c>
      <c r="Q53" s="2">
        <f t="shared" si="4"/>
        <v>5</v>
      </c>
      <c r="R53" s="2">
        <v>7.0</v>
      </c>
      <c r="S53" s="2">
        <v>9.0</v>
      </c>
      <c r="U53" s="2">
        <v>9.0</v>
      </c>
      <c r="V53" s="2">
        <v>12.0</v>
      </c>
      <c r="W53" s="2">
        <v>12.0</v>
      </c>
      <c r="X53" s="2">
        <v>16.0</v>
      </c>
      <c r="AA53" s="2">
        <v>30.0</v>
      </c>
      <c r="AC53" s="2">
        <f t="shared" si="5"/>
        <v>4.75</v>
      </c>
      <c r="AD53" s="2">
        <v>10.0</v>
      </c>
      <c r="AF53" s="2">
        <v>1.0</v>
      </c>
      <c r="AG53" s="3">
        <f t="shared" si="6"/>
        <v>4.75</v>
      </c>
      <c r="AH53" s="3">
        <f t="shared" si="7"/>
        <v>0.25</v>
      </c>
      <c r="AI53" s="4">
        <f t="shared" si="8"/>
        <v>55.83333333</v>
      </c>
    </row>
    <row r="54" hidden="1">
      <c r="A54" s="1" t="s">
        <v>167</v>
      </c>
      <c r="B54" s="1" t="s">
        <v>168</v>
      </c>
      <c r="C54" s="2" t="s">
        <v>2</v>
      </c>
      <c r="D54" s="2" t="s">
        <v>169</v>
      </c>
      <c r="E54" s="2">
        <f>VLOOKUP(B54, 'CSE-Sandeep'!$B$2:$G$61,5)</f>
        <v>46</v>
      </c>
      <c r="F54" s="2">
        <v>30.0</v>
      </c>
      <c r="G54" s="2">
        <f t="shared" si="1"/>
        <v>38</v>
      </c>
      <c r="H54" s="2">
        <v>10.5</v>
      </c>
      <c r="I54" s="2">
        <v>9.0</v>
      </c>
      <c r="J54" s="2">
        <v>20.0</v>
      </c>
      <c r="K54" s="3">
        <f t="shared" si="2"/>
        <v>7.097222222</v>
      </c>
      <c r="L54" s="2">
        <v>100.0</v>
      </c>
      <c r="M54" s="2">
        <v>179.0</v>
      </c>
      <c r="O54" s="3">
        <f t="shared" si="3"/>
        <v>179</v>
      </c>
      <c r="P54" s="2">
        <v>94.0</v>
      </c>
      <c r="Q54" s="2">
        <f t="shared" si="4"/>
        <v>14.175</v>
      </c>
      <c r="R54" s="2">
        <v>7.0</v>
      </c>
      <c r="S54" s="2">
        <v>6.0</v>
      </c>
      <c r="U54" s="2">
        <v>9.0</v>
      </c>
      <c r="V54" s="2">
        <v>11.0</v>
      </c>
      <c r="W54" s="2">
        <v>15.0</v>
      </c>
      <c r="X54" s="2">
        <v>20.0</v>
      </c>
      <c r="Y54" s="2">
        <v>26.0</v>
      </c>
      <c r="Z54" s="2">
        <v>28.0</v>
      </c>
      <c r="AA54" s="2">
        <v>28.0</v>
      </c>
      <c r="AB54" s="2">
        <v>29.0</v>
      </c>
      <c r="AC54" s="2">
        <f t="shared" si="5"/>
        <v>8.95</v>
      </c>
      <c r="AD54" s="2">
        <v>10.0</v>
      </c>
      <c r="AE54" s="2">
        <v>310.0</v>
      </c>
      <c r="AF54" s="2">
        <v>1.0</v>
      </c>
      <c r="AG54" s="3">
        <f t="shared" si="6"/>
        <v>8.95</v>
      </c>
      <c r="AH54" s="3">
        <f t="shared" si="7"/>
        <v>8</v>
      </c>
      <c r="AI54" s="4">
        <f t="shared" si="8"/>
        <v>76.22222222</v>
      </c>
    </row>
    <row r="55" hidden="1">
      <c r="A55" s="1" t="s">
        <v>170</v>
      </c>
      <c r="B55" s="1" t="s">
        <v>171</v>
      </c>
      <c r="C55" s="2" t="s">
        <v>32</v>
      </c>
      <c r="D55" s="2" t="s">
        <v>172</v>
      </c>
      <c r="E55" s="2">
        <f>VLOOKUP(B55, 'CSE-Sandeep'!$B$2:$G$61,5)</f>
        <v>41</v>
      </c>
      <c r="F55" s="2">
        <v>21.0</v>
      </c>
      <c r="G55" s="2">
        <f t="shared" si="1"/>
        <v>31</v>
      </c>
      <c r="H55" s="2">
        <v>9.5</v>
      </c>
      <c r="I55" s="2">
        <v>12.0</v>
      </c>
      <c r="J55" s="2">
        <v>30.0</v>
      </c>
      <c r="K55" s="3">
        <f t="shared" si="2"/>
        <v>8.708333333</v>
      </c>
      <c r="L55" s="2">
        <v>100.0</v>
      </c>
      <c r="M55" s="2">
        <v>100.0</v>
      </c>
      <c r="N55" s="2">
        <v>190.0</v>
      </c>
      <c r="O55" s="3">
        <f t="shared" si="3"/>
        <v>190</v>
      </c>
      <c r="Q55" s="2">
        <f t="shared" si="4"/>
        <v>9.75</v>
      </c>
      <c r="R55" s="2">
        <v>6.0</v>
      </c>
      <c r="S55" s="2">
        <v>2.0</v>
      </c>
      <c r="U55" s="2">
        <v>10.0</v>
      </c>
      <c r="W55" s="2">
        <v>10.0</v>
      </c>
      <c r="X55" s="2">
        <v>18.0</v>
      </c>
      <c r="AC55" s="2">
        <f t="shared" si="5"/>
        <v>2.3</v>
      </c>
      <c r="AD55" s="2">
        <v>50.0</v>
      </c>
      <c r="AE55" s="2">
        <v>290.0</v>
      </c>
      <c r="AF55" s="2">
        <v>1.0</v>
      </c>
      <c r="AG55" s="3">
        <f t="shared" si="6"/>
        <v>2.3</v>
      </c>
      <c r="AH55" s="3">
        <f t="shared" si="7"/>
        <v>8.5</v>
      </c>
      <c r="AI55" s="4">
        <f t="shared" si="8"/>
        <v>60.25833333</v>
      </c>
    </row>
    <row r="56" hidden="1">
      <c r="A56" s="1" t="s">
        <v>173</v>
      </c>
      <c r="B56" s="1" t="s">
        <v>174</v>
      </c>
      <c r="C56" s="2" t="s">
        <v>2</v>
      </c>
      <c r="D56" s="2" t="s">
        <v>175</v>
      </c>
      <c r="E56" s="2">
        <f>VLOOKUP(B56, 'CSE-Sandeep'!$B$2:$G$61,5)</f>
        <v>40</v>
      </c>
      <c r="F56" s="2">
        <v>38.0</v>
      </c>
      <c r="G56" s="2">
        <f t="shared" si="1"/>
        <v>39</v>
      </c>
      <c r="H56" s="2">
        <v>6.0</v>
      </c>
      <c r="I56" s="2">
        <v>16.0</v>
      </c>
      <c r="J56" s="2">
        <v>33.0</v>
      </c>
      <c r="K56" s="3">
        <f t="shared" si="2"/>
        <v>9.166666667</v>
      </c>
      <c r="L56" s="2">
        <v>100.0</v>
      </c>
      <c r="M56" s="2">
        <v>186.0</v>
      </c>
      <c r="O56" s="3">
        <f t="shared" si="3"/>
        <v>186</v>
      </c>
      <c r="P56" s="2">
        <v>88.0</v>
      </c>
      <c r="Q56" s="2">
        <f t="shared" si="4"/>
        <v>14.05</v>
      </c>
      <c r="R56" s="2">
        <v>7.0</v>
      </c>
      <c r="S56" s="2">
        <v>6.0</v>
      </c>
      <c r="U56" s="2">
        <v>12.0</v>
      </c>
      <c r="V56" s="2">
        <v>14.0</v>
      </c>
      <c r="W56" s="2">
        <v>14.0</v>
      </c>
      <c r="X56" s="2">
        <v>16.0</v>
      </c>
      <c r="Y56" s="2">
        <v>24.0</v>
      </c>
      <c r="Z56" s="2">
        <v>26.0</v>
      </c>
      <c r="AA56" s="2">
        <v>28.0</v>
      </c>
      <c r="AB56" s="2">
        <v>29.0</v>
      </c>
      <c r="AC56" s="2">
        <f t="shared" si="5"/>
        <v>8.8</v>
      </c>
      <c r="AD56" s="2">
        <v>0.0</v>
      </c>
      <c r="AE56" s="2">
        <v>300.0</v>
      </c>
      <c r="AF56" s="2">
        <v>1.0</v>
      </c>
      <c r="AG56" s="3">
        <f t="shared" si="6"/>
        <v>8.8</v>
      </c>
      <c r="AH56" s="3">
        <f t="shared" si="7"/>
        <v>7.5</v>
      </c>
      <c r="AI56" s="4">
        <f t="shared" si="8"/>
        <v>78.51666667</v>
      </c>
    </row>
    <row r="57" hidden="1">
      <c r="A57" s="1" t="s">
        <v>176</v>
      </c>
      <c r="B57" s="1" t="s">
        <v>177</v>
      </c>
      <c r="C57" s="2" t="s">
        <v>6</v>
      </c>
      <c r="D57" s="2" t="s">
        <v>178</v>
      </c>
      <c r="E57" s="2">
        <f>VLOOKUP(B57, 'CSE-Sandeep'!$B$2:$G$61,5)</f>
        <v>53</v>
      </c>
      <c r="F57" s="2">
        <v>37.0</v>
      </c>
      <c r="G57" s="2">
        <f t="shared" si="1"/>
        <v>45</v>
      </c>
      <c r="H57" s="2">
        <v>14.0</v>
      </c>
      <c r="I57" s="2">
        <v>18.0</v>
      </c>
      <c r="K57" s="3">
        <f t="shared" si="2"/>
        <v>8</v>
      </c>
      <c r="L57" s="2">
        <v>100.0</v>
      </c>
      <c r="M57" s="2">
        <v>198.0</v>
      </c>
      <c r="O57" s="3">
        <f t="shared" si="3"/>
        <v>198</v>
      </c>
      <c r="P57" s="2">
        <v>94.0</v>
      </c>
      <c r="Q57" s="2">
        <f t="shared" si="4"/>
        <v>14.65</v>
      </c>
      <c r="R57" s="2">
        <v>6.0</v>
      </c>
      <c r="S57" s="2">
        <v>8.0</v>
      </c>
      <c r="T57" s="2">
        <v>13.0</v>
      </c>
      <c r="U57" s="2">
        <v>11.0</v>
      </c>
      <c r="V57" s="2">
        <v>15.0</v>
      </c>
      <c r="W57" s="2">
        <v>15.0</v>
      </c>
      <c r="X57" s="2">
        <v>20.0</v>
      </c>
      <c r="Y57" s="2">
        <v>28.0</v>
      </c>
      <c r="Z57" s="2">
        <v>25.0</v>
      </c>
      <c r="AA57" s="2">
        <v>30.0</v>
      </c>
      <c r="AB57" s="2">
        <v>30.0</v>
      </c>
      <c r="AC57" s="2">
        <f t="shared" si="5"/>
        <v>10.05</v>
      </c>
      <c r="AD57" s="2">
        <v>50.0</v>
      </c>
      <c r="AE57" s="2">
        <v>325.0</v>
      </c>
      <c r="AF57" s="2">
        <v>1.0</v>
      </c>
      <c r="AG57" s="3">
        <f t="shared" si="6"/>
        <v>10.05</v>
      </c>
      <c r="AH57" s="3">
        <f t="shared" si="7"/>
        <v>9.375</v>
      </c>
      <c r="AI57" s="4">
        <f t="shared" si="8"/>
        <v>87.075</v>
      </c>
    </row>
    <row r="58" hidden="1">
      <c r="A58" s="1" t="s">
        <v>179</v>
      </c>
      <c r="B58" s="1" t="s">
        <v>180</v>
      </c>
      <c r="C58" s="2" t="s">
        <v>6</v>
      </c>
      <c r="D58" s="2" t="s">
        <v>181</v>
      </c>
      <c r="E58" s="2">
        <f>VLOOKUP(B58, 'CSE-Sandeep'!$B$2:$G$61,5)</f>
        <v>54</v>
      </c>
      <c r="F58" s="2">
        <v>36.0</v>
      </c>
      <c r="G58" s="2">
        <f t="shared" si="1"/>
        <v>45</v>
      </c>
      <c r="H58" s="2">
        <v>16.0</v>
      </c>
      <c r="I58" s="2">
        <v>17.0</v>
      </c>
      <c r="J58" s="2">
        <v>27.0</v>
      </c>
      <c r="K58" s="3">
        <f t="shared" si="2"/>
        <v>11.25</v>
      </c>
      <c r="L58" s="2">
        <v>100.0</v>
      </c>
      <c r="M58" s="2">
        <v>190.0</v>
      </c>
      <c r="O58" s="3">
        <f t="shared" si="3"/>
        <v>190</v>
      </c>
      <c r="P58" s="2">
        <v>92.0</v>
      </c>
      <c r="Q58" s="2">
        <f t="shared" si="4"/>
        <v>14.35</v>
      </c>
      <c r="R58" s="2">
        <v>7.0</v>
      </c>
      <c r="S58" s="2">
        <v>6.0</v>
      </c>
      <c r="U58" s="2">
        <v>9.0</v>
      </c>
      <c r="V58" s="2">
        <v>12.0</v>
      </c>
      <c r="W58" s="2">
        <v>15.0</v>
      </c>
      <c r="X58" s="2">
        <v>20.0</v>
      </c>
      <c r="Y58" s="2">
        <v>26.0</v>
      </c>
      <c r="Z58" s="2">
        <v>24.0</v>
      </c>
      <c r="AA58" s="2">
        <v>29.0</v>
      </c>
      <c r="AB58" s="2">
        <v>29.0</v>
      </c>
      <c r="AC58" s="2">
        <f t="shared" si="5"/>
        <v>8.85</v>
      </c>
      <c r="AD58" s="2">
        <v>50.0</v>
      </c>
      <c r="AE58" s="2">
        <v>310.0</v>
      </c>
      <c r="AF58" s="2">
        <v>1.0</v>
      </c>
      <c r="AG58" s="3">
        <f t="shared" si="6"/>
        <v>8.85</v>
      </c>
      <c r="AH58" s="3">
        <f t="shared" si="7"/>
        <v>9</v>
      </c>
      <c r="AI58" s="4">
        <f t="shared" si="8"/>
        <v>88.45</v>
      </c>
    </row>
    <row r="59" hidden="1">
      <c r="A59" s="1" t="s">
        <v>182</v>
      </c>
      <c r="B59" s="1" t="s">
        <v>183</v>
      </c>
      <c r="C59" s="2" t="s">
        <v>6</v>
      </c>
      <c r="D59" s="2" t="s">
        <v>184</v>
      </c>
      <c r="E59" s="2">
        <f>VLOOKUP(B59, 'CSE-Sandeep'!$B$2:$G$61,5)</f>
        <v>46</v>
      </c>
      <c r="F59" s="2">
        <v>33.0</v>
      </c>
      <c r="G59" s="2">
        <f t="shared" si="1"/>
        <v>39.5</v>
      </c>
      <c r="H59" s="2">
        <v>16.0</v>
      </c>
      <c r="I59" s="2">
        <v>19.0</v>
      </c>
      <c r="J59" s="2">
        <v>34.0</v>
      </c>
      <c r="K59" s="3">
        <f t="shared" si="2"/>
        <v>12.52777778</v>
      </c>
      <c r="L59" s="2">
        <v>100.0</v>
      </c>
      <c r="M59" s="2">
        <v>200.0</v>
      </c>
      <c r="O59" s="3">
        <f t="shared" si="3"/>
        <v>200</v>
      </c>
      <c r="P59" s="2">
        <v>95.0</v>
      </c>
      <c r="Q59" s="2">
        <f t="shared" si="4"/>
        <v>14.75</v>
      </c>
      <c r="R59" s="2">
        <v>6.0</v>
      </c>
      <c r="S59" s="2">
        <v>10.0</v>
      </c>
      <c r="U59" s="2">
        <v>13.0</v>
      </c>
      <c r="V59" s="2">
        <v>15.0</v>
      </c>
      <c r="W59" s="2">
        <v>14.0</v>
      </c>
      <c r="X59" s="2">
        <v>20.0</v>
      </c>
      <c r="Y59" s="2">
        <v>28.0</v>
      </c>
      <c r="Z59" s="2">
        <v>30.0</v>
      </c>
      <c r="AA59" s="2">
        <v>30.0</v>
      </c>
      <c r="AB59" s="2">
        <v>30.0</v>
      </c>
      <c r="AC59" s="2">
        <f t="shared" si="5"/>
        <v>9.8</v>
      </c>
      <c r="AD59" s="2">
        <v>30.0</v>
      </c>
      <c r="AE59" s="2">
        <v>340.0</v>
      </c>
      <c r="AF59" s="2">
        <v>1.0</v>
      </c>
      <c r="AG59" s="3">
        <f t="shared" si="6"/>
        <v>9.8</v>
      </c>
      <c r="AH59" s="3">
        <f t="shared" si="7"/>
        <v>9.25</v>
      </c>
      <c r="AI59" s="4">
        <f t="shared" si="8"/>
        <v>85.82777778</v>
      </c>
    </row>
    <row r="60" hidden="1">
      <c r="A60" s="6" t="s">
        <v>185</v>
      </c>
      <c r="B60" s="1" t="s">
        <v>186</v>
      </c>
      <c r="C60" s="2" t="s">
        <v>187</v>
      </c>
      <c r="D60" s="2" t="s">
        <v>188</v>
      </c>
      <c r="E60" s="2">
        <f>VLOOKUP(B60, 'CSE-Sandeep'!$B$2:$G$61,5)</f>
        <v>0</v>
      </c>
      <c r="G60" s="2">
        <f t="shared" si="1"/>
        <v>0</v>
      </c>
      <c r="J60" s="2">
        <v>-1.0</v>
      </c>
      <c r="K60" s="3">
        <f t="shared" si="2"/>
        <v>-0.1111111111</v>
      </c>
      <c r="L60" s="2">
        <v>100.0</v>
      </c>
      <c r="O60" s="3">
        <f t="shared" si="3"/>
        <v>0</v>
      </c>
      <c r="Q60" s="2">
        <f t="shared" si="4"/>
        <v>5</v>
      </c>
      <c r="R60" s="2">
        <v>7.0</v>
      </c>
      <c r="S60" s="2">
        <v>10.0</v>
      </c>
      <c r="V60" s="2">
        <v>15.0</v>
      </c>
      <c r="W60" s="2">
        <v>15.0</v>
      </c>
      <c r="X60" s="2">
        <v>20.0</v>
      </c>
      <c r="AC60" s="2">
        <f t="shared" si="5"/>
        <v>3.35</v>
      </c>
      <c r="AF60" s="2">
        <v>0.5</v>
      </c>
      <c r="AG60" s="3">
        <f t="shared" si="6"/>
        <v>1.675</v>
      </c>
      <c r="AH60" s="3">
        <f t="shared" si="7"/>
        <v>0</v>
      </c>
      <c r="AI60" s="4">
        <f t="shared" si="8"/>
        <v>6.563888889</v>
      </c>
    </row>
    <row r="61" hidden="1">
      <c r="A61" s="1" t="s">
        <v>189</v>
      </c>
      <c r="B61" s="1" t="s">
        <v>190</v>
      </c>
      <c r="C61" s="2" t="s">
        <v>6</v>
      </c>
      <c r="D61" s="2" t="s">
        <v>191</v>
      </c>
      <c r="E61" s="2">
        <f>VLOOKUP(B61, 'CSE-Sandeep'!$B$2:$G$61,5)</f>
        <v>49</v>
      </c>
      <c r="F61" s="2">
        <v>37.0</v>
      </c>
      <c r="G61" s="2">
        <f t="shared" si="1"/>
        <v>43</v>
      </c>
      <c r="H61" s="2">
        <v>19.0</v>
      </c>
      <c r="I61" s="2">
        <v>17.0</v>
      </c>
      <c r="J61" s="2">
        <v>41.0</v>
      </c>
      <c r="K61" s="3">
        <f t="shared" si="2"/>
        <v>13.55555556</v>
      </c>
      <c r="L61" s="2">
        <v>100.0</v>
      </c>
      <c r="M61" s="2">
        <v>200.0</v>
      </c>
      <c r="O61" s="3">
        <f t="shared" si="3"/>
        <v>200</v>
      </c>
      <c r="P61" s="2">
        <v>93.0</v>
      </c>
      <c r="Q61" s="2">
        <f t="shared" si="4"/>
        <v>14.65</v>
      </c>
      <c r="R61" s="2">
        <v>7.0</v>
      </c>
      <c r="S61" s="2">
        <v>10.0</v>
      </c>
      <c r="U61" s="2">
        <v>7.0</v>
      </c>
      <c r="V61" s="2">
        <v>13.0</v>
      </c>
      <c r="W61" s="2">
        <v>14.0</v>
      </c>
      <c r="X61" s="2">
        <v>18.0</v>
      </c>
      <c r="Y61" s="2">
        <v>24.0</v>
      </c>
      <c r="Z61" s="2">
        <v>26.0</v>
      </c>
      <c r="AA61" s="2">
        <v>29.0</v>
      </c>
      <c r="AB61" s="2">
        <v>28.0</v>
      </c>
      <c r="AC61" s="2">
        <f t="shared" si="5"/>
        <v>8.8</v>
      </c>
      <c r="AD61" s="2">
        <v>30.0</v>
      </c>
      <c r="AE61" s="2">
        <v>290.0</v>
      </c>
      <c r="AF61" s="2">
        <v>1.0</v>
      </c>
      <c r="AG61" s="3">
        <f t="shared" si="6"/>
        <v>8.8</v>
      </c>
      <c r="AH61" s="3">
        <f t="shared" si="7"/>
        <v>8</v>
      </c>
      <c r="AI61" s="4">
        <f t="shared" si="8"/>
        <v>88.00555556</v>
      </c>
    </row>
    <row r="62" hidden="1">
      <c r="A62" s="1" t="s">
        <v>192</v>
      </c>
      <c r="B62" s="1" t="s">
        <v>193</v>
      </c>
      <c r="C62" s="2" t="s">
        <v>6</v>
      </c>
      <c r="D62" s="2" t="s">
        <v>194</v>
      </c>
      <c r="E62" s="2">
        <f>VLOOKUP(B62, 'CSE-Sandeep'!$B$2:$G$61,5)</f>
        <v>47</v>
      </c>
      <c r="F62" s="2">
        <v>33.0</v>
      </c>
      <c r="G62" s="2">
        <f t="shared" si="1"/>
        <v>40</v>
      </c>
      <c r="H62" s="2">
        <v>14.0</v>
      </c>
      <c r="I62" s="2">
        <v>16.0</v>
      </c>
      <c r="J62" s="2">
        <v>34.0</v>
      </c>
      <c r="K62" s="3">
        <f t="shared" si="2"/>
        <v>11.27777778</v>
      </c>
      <c r="L62" s="2">
        <v>100.0</v>
      </c>
      <c r="M62" s="2">
        <v>150.0</v>
      </c>
      <c r="N62" s="2">
        <v>190.0</v>
      </c>
      <c r="O62" s="3">
        <f t="shared" si="3"/>
        <v>190</v>
      </c>
      <c r="P62" s="2">
        <v>90.0</v>
      </c>
      <c r="Q62" s="2">
        <f t="shared" si="4"/>
        <v>14.25</v>
      </c>
      <c r="R62" s="2">
        <v>7.0</v>
      </c>
      <c r="S62" s="2">
        <v>5.0</v>
      </c>
      <c r="U62" s="2">
        <v>11.0</v>
      </c>
      <c r="V62" s="2">
        <v>15.0</v>
      </c>
      <c r="W62" s="2">
        <v>15.0</v>
      </c>
      <c r="X62" s="2">
        <v>18.0</v>
      </c>
      <c r="Y62" s="2">
        <v>26.0</v>
      </c>
      <c r="Z62" s="2">
        <v>28.0</v>
      </c>
      <c r="AA62" s="2">
        <v>29.0</v>
      </c>
      <c r="AB62" s="2">
        <v>28.0</v>
      </c>
      <c r="AC62" s="2">
        <f t="shared" si="5"/>
        <v>9.1</v>
      </c>
      <c r="AD62" s="2">
        <v>50.0</v>
      </c>
      <c r="AE62" s="2">
        <v>300.0</v>
      </c>
      <c r="AF62" s="2">
        <v>1.0</v>
      </c>
      <c r="AG62" s="3">
        <f t="shared" si="6"/>
        <v>9.1</v>
      </c>
      <c r="AH62" s="3">
        <f t="shared" si="7"/>
        <v>8.75</v>
      </c>
      <c r="AI62" s="4">
        <f t="shared" si="8"/>
        <v>83.37777778</v>
      </c>
    </row>
    <row r="63" hidden="1">
      <c r="A63" s="1" t="s">
        <v>195</v>
      </c>
      <c r="B63" s="1" t="s">
        <v>196</v>
      </c>
      <c r="C63" s="2" t="s">
        <v>6</v>
      </c>
      <c r="D63" s="2" t="s">
        <v>197</v>
      </c>
      <c r="E63" s="2">
        <f>VLOOKUP(B63, 'CSE-Sandeep'!$B$2:$G$61,5)</f>
        <v>37</v>
      </c>
      <c r="F63" s="2">
        <v>40.0</v>
      </c>
      <c r="G63" s="2">
        <f t="shared" si="1"/>
        <v>38.5</v>
      </c>
      <c r="H63" s="2">
        <v>15.0</v>
      </c>
      <c r="I63" s="2">
        <v>0.0</v>
      </c>
      <c r="J63" s="2">
        <v>41.0</v>
      </c>
      <c r="K63" s="3">
        <f t="shared" si="2"/>
        <v>8.305555556</v>
      </c>
      <c r="L63" s="2">
        <v>100.0</v>
      </c>
      <c r="M63" s="2">
        <v>195.0</v>
      </c>
      <c r="N63" s="2">
        <v>0.0</v>
      </c>
      <c r="O63" s="3">
        <f t="shared" si="3"/>
        <v>195</v>
      </c>
      <c r="P63" s="2">
        <v>98.0</v>
      </c>
      <c r="Q63" s="2">
        <f t="shared" si="4"/>
        <v>14.775</v>
      </c>
      <c r="R63" s="2">
        <v>6.0</v>
      </c>
      <c r="S63" s="2">
        <v>10.0</v>
      </c>
      <c r="U63" s="2">
        <v>13.0</v>
      </c>
      <c r="V63" s="2">
        <v>15.0</v>
      </c>
      <c r="W63" s="2">
        <v>15.0</v>
      </c>
      <c r="X63" s="2">
        <v>20.0</v>
      </c>
      <c r="Y63" s="2">
        <v>28.0</v>
      </c>
      <c r="Z63" s="2">
        <v>30.0</v>
      </c>
      <c r="AA63" s="2">
        <v>28.0</v>
      </c>
      <c r="AB63" s="2">
        <v>29.0</v>
      </c>
      <c r="AC63" s="2">
        <f t="shared" si="5"/>
        <v>9.7</v>
      </c>
      <c r="AD63" s="2">
        <v>50.0</v>
      </c>
      <c r="AE63" s="2">
        <v>330.0</v>
      </c>
      <c r="AF63" s="2">
        <v>1.0</v>
      </c>
      <c r="AG63" s="3">
        <f t="shared" si="6"/>
        <v>9.7</v>
      </c>
      <c r="AH63" s="3">
        <f t="shared" si="7"/>
        <v>9.5</v>
      </c>
      <c r="AI63" s="4">
        <f t="shared" si="8"/>
        <v>80.78055556</v>
      </c>
    </row>
    <row r="64" hidden="1">
      <c r="A64" s="1" t="s">
        <v>198</v>
      </c>
      <c r="B64" s="1" t="s">
        <v>199</v>
      </c>
      <c r="C64" s="2" t="s">
        <v>2</v>
      </c>
      <c r="D64" s="2" t="s">
        <v>200</v>
      </c>
      <c r="E64" s="2">
        <f>VLOOKUP(B64, 'CSE-Sandeep'!$B$2:$G$61,5)</f>
        <v>41</v>
      </c>
      <c r="F64" s="2">
        <v>31.0</v>
      </c>
      <c r="G64" s="2">
        <f t="shared" si="1"/>
        <v>36</v>
      </c>
      <c r="H64" s="2">
        <v>13.0</v>
      </c>
      <c r="I64" s="2">
        <v>14.0</v>
      </c>
      <c r="J64" s="2">
        <v>12.0</v>
      </c>
      <c r="K64" s="3">
        <f t="shared" si="2"/>
        <v>8.083333333</v>
      </c>
      <c r="L64" s="2">
        <v>95.0</v>
      </c>
      <c r="M64" s="2">
        <v>190.0</v>
      </c>
      <c r="O64" s="3">
        <f t="shared" si="3"/>
        <v>190</v>
      </c>
      <c r="P64" s="2">
        <v>88.0</v>
      </c>
      <c r="Q64" s="2">
        <f t="shared" si="4"/>
        <v>13.9</v>
      </c>
      <c r="R64" s="2">
        <v>6.0</v>
      </c>
      <c r="S64" s="2">
        <v>4.0</v>
      </c>
      <c r="U64" s="2">
        <v>7.0</v>
      </c>
      <c r="V64" s="2">
        <v>14.0</v>
      </c>
      <c r="X64" s="2">
        <v>18.0</v>
      </c>
      <c r="Y64" s="2">
        <v>24.0</v>
      </c>
      <c r="Z64" s="2">
        <v>26.0</v>
      </c>
      <c r="AA64" s="2">
        <v>27.0</v>
      </c>
      <c r="AB64" s="2">
        <v>28.0</v>
      </c>
      <c r="AC64" s="2">
        <f t="shared" si="5"/>
        <v>7.7</v>
      </c>
      <c r="AD64" s="2">
        <v>10.0</v>
      </c>
      <c r="AE64" s="2">
        <v>300.0</v>
      </c>
      <c r="AF64" s="2">
        <v>1.0</v>
      </c>
      <c r="AG64" s="3">
        <f t="shared" si="6"/>
        <v>7.7</v>
      </c>
      <c r="AH64" s="3">
        <f t="shared" si="7"/>
        <v>7.75</v>
      </c>
      <c r="AI64" s="4">
        <f t="shared" si="8"/>
        <v>73.43333333</v>
      </c>
    </row>
    <row r="65" hidden="1">
      <c r="A65" s="1" t="s">
        <v>201</v>
      </c>
      <c r="B65" s="1" t="s">
        <v>202</v>
      </c>
      <c r="C65" s="2" t="s">
        <v>6</v>
      </c>
      <c r="D65" s="2" t="s">
        <v>203</v>
      </c>
      <c r="E65" s="2">
        <f>VLOOKUP(B65,'DSAI-Vikrant'!$B$2:$F$44,5)</f>
        <v>47</v>
      </c>
      <c r="F65" s="2">
        <v>34.0</v>
      </c>
      <c r="G65" s="2">
        <f t="shared" si="1"/>
        <v>40.5</v>
      </c>
      <c r="H65" s="2">
        <v>14.0</v>
      </c>
      <c r="I65" s="2">
        <v>12.5</v>
      </c>
      <c r="J65" s="2">
        <v>18.0</v>
      </c>
      <c r="K65" s="3">
        <f t="shared" si="2"/>
        <v>8.625</v>
      </c>
      <c r="L65" s="2">
        <v>100.0</v>
      </c>
      <c r="M65" s="2">
        <v>159.0</v>
      </c>
      <c r="O65" s="3">
        <f t="shared" si="3"/>
        <v>159</v>
      </c>
      <c r="P65" s="2">
        <v>180.0</v>
      </c>
      <c r="Q65" s="2">
        <f t="shared" si="4"/>
        <v>17.975</v>
      </c>
      <c r="R65" s="2">
        <v>7.0</v>
      </c>
      <c r="S65" s="2">
        <v>6.0</v>
      </c>
      <c r="T65" s="2">
        <v>13.0</v>
      </c>
      <c r="U65" s="2">
        <v>8.0</v>
      </c>
      <c r="V65" s="2">
        <v>14.0</v>
      </c>
      <c r="W65" s="2">
        <v>12.5</v>
      </c>
      <c r="X65" s="2">
        <v>20.0</v>
      </c>
      <c r="Y65" s="2">
        <v>28.0</v>
      </c>
      <c r="Z65" s="2">
        <v>24.0</v>
      </c>
      <c r="AA65" s="2">
        <v>30.0</v>
      </c>
      <c r="AB65" s="2">
        <v>28.0</v>
      </c>
      <c r="AC65" s="2">
        <f t="shared" si="5"/>
        <v>9.525</v>
      </c>
      <c r="AD65" s="2">
        <v>35.0</v>
      </c>
      <c r="AE65" s="2">
        <v>300.0</v>
      </c>
      <c r="AF65" s="2">
        <v>1.0</v>
      </c>
      <c r="AG65" s="3">
        <f t="shared" si="6"/>
        <v>9.525</v>
      </c>
      <c r="AH65" s="3">
        <f t="shared" si="7"/>
        <v>8.375</v>
      </c>
      <c r="AI65" s="4">
        <f t="shared" si="8"/>
        <v>85</v>
      </c>
    </row>
    <row r="66" hidden="1">
      <c r="A66" s="1" t="s">
        <v>204</v>
      </c>
      <c r="B66" s="1" t="s">
        <v>205</v>
      </c>
      <c r="C66" s="2" t="s">
        <v>32</v>
      </c>
      <c r="D66" s="2" t="s">
        <v>206</v>
      </c>
      <c r="E66" s="2">
        <f>VLOOKUP(B66,'DSAI-Vikrant'!$B$2:$F$44,5)</f>
        <v>30</v>
      </c>
      <c r="F66" s="2">
        <v>21.0</v>
      </c>
      <c r="G66" s="2">
        <f t="shared" si="1"/>
        <v>25.5</v>
      </c>
      <c r="H66" s="2">
        <v>11.0</v>
      </c>
      <c r="I66" s="2">
        <v>12.0</v>
      </c>
      <c r="J66" s="2">
        <v>29.0</v>
      </c>
      <c r="K66" s="3">
        <f t="shared" si="2"/>
        <v>8.972222222</v>
      </c>
      <c r="L66" s="2">
        <v>96.0</v>
      </c>
      <c r="M66" s="2">
        <v>50.0</v>
      </c>
      <c r="N66" s="2">
        <v>190.0</v>
      </c>
      <c r="O66" s="3">
        <f t="shared" si="3"/>
        <v>190</v>
      </c>
      <c r="P66" s="2">
        <v>80.0</v>
      </c>
      <c r="Q66" s="2">
        <f t="shared" si="4"/>
        <v>13.55</v>
      </c>
      <c r="R66" s="2">
        <v>7.0</v>
      </c>
      <c r="S66" s="2">
        <v>5.0</v>
      </c>
      <c r="T66" s="2">
        <v>8.0</v>
      </c>
      <c r="U66" s="2">
        <v>8.0</v>
      </c>
      <c r="V66" s="2">
        <v>14.0</v>
      </c>
      <c r="W66" s="2">
        <v>12.5</v>
      </c>
      <c r="X66" s="2">
        <v>15.0</v>
      </c>
      <c r="Y66" s="2">
        <v>26.0</v>
      </c>
      <c r="Z66" s="2">
        <v>26.0</v>
      </c>
      <c r="AA66" s="2">
        <v>29.0</v>
      </c>
      <c r="AB66" s="2">
        <v>27.0</v>
      </c>
      <c r="AC66" s="2">
        <f t="shared" si="5"/>
        <v>8.875</v>
      </c>
      <c r="AD66" s="2">
        <v>35.0</v>
      </c>
      <c r="AE66" s="2">
        <v>250.0</v>
      </c>
      <c r="AF66" s="2">
        <v>1.0</v>
      </c>
      <c r="AG66" s="3">
        <f t="shared" si="6"/>
        <v>8.875</v>
      </c>
      <c r="AH66" s="3">
        <f t="shared" si="7"/>
        <v>7.125</v>
      </c>
      <c r="AI66" s="4">
        <f t="shared" si="8"/>
        <v>64.02222222</v>
      </c>
    </row>
    <row r="67" hidden="1">
      <c r="A67" s="1" t="s">
        <v>207</v>
      </c>
      <c r="B67" s="1" t="s">
        <v>208</v>
      </c>
      <c r="C67" s="2" t="s">
        <v>6</v>
      </c>
      <c r="D67" s="2" t="s">
        <v>209</v>
      </c>
      <c r="E67" s="2">
        <f>VLOOKUP(B67,'DSAI-Vikrant'!$B$2:$F$44,5)</f>
        <v>42</v>
      </c>
      <c r="F67" s="2">
        <v>36.0</v>
      </c>
      <c r="G67" s="2">
        <f t="shared" si="1"/>
        <v>39</v>
      </c>
      <c r="H67" s="2">
        <v>16.0</v>
      </c>
      <c r="I67" s="2">
        <v>18.0</v>
      </c>
      <c r="J67" s="2">
        <v>28.0</v>
      </c>
      <c r="K67" s="3">
        <f t="shared" si="2"/>
        <v>11.61111111</v>
      </c>
      <c r="L67" s="2">
        <v>100.0</v>
      </c>
      <c r="M67" s="2">
        <v>197.0</v>
      </c>
      <c r="O67" s="3">
        <f t="shared" si="3"/>
        <v>197</v>
      </c>
      <c r="P67" s="2">
        <v>100.0</v>
      </c>
      <c r="Q67" s="2">
        <f t="shared" si="4"/>
        <v>14.925</v>
      </c>
      <c r="R67" s="2">
        <v>4.0</v>
      </c>
      <c r="S67" s="2">
        <v>8.0</v>
      </c>
      <c r="T67" s="2">
        <v>8.0</v>
      </c>
      <c r="U67" s="2">
        <v>12.0</v>
      </c>
      <c r="V67" s="2">
        <v>12.0</v>
      </c>
      <c r="W67" s="2">
        <v>10.5</v>
      </c>
      <c r="X67" s="2">
        <v>19.0</v>
      </c>
      <c r="Y67" s="2">
        <v>29.0</v>
      </c>
      <c r="Z67" s="2">
        <v>23.0</v>
      </c>
      <c r="AA67" s="2">
        <v>30.0</v>
      </c>
      <c r="AB67" s="2">
        <v>29.0</v>
      </c>
      <c r="AC67" s="2">
        <f t="shared" si="5"/>
        <v>9.225</v>
      </c>
      <c r="AD67" s="2">
        <v>40.0</v>
      </c>
      <c r="AE67" s="2">
        <v>320.0</v>
      </c>
      <c r="AF67" s="2">
        <v>1.0</v>
      </c>
      <c r="AG67" s="3">
        <f t="shared" si="6"/>
        <v>9.225</v>
      </c>
      <c r="AH67" s="3">
        <f t="shared" si="7"/>
        <v>9</v>
      </c>
      <c r="AI67" s="4">
        <f t="shared" si="8"/>
        <v>83.76111111</v>
      </c>
    </row>
    <row r="68" hidden="1">
      <c r="A68" s="1" t="s">
        <v>210</v>
      </c>
      <c r="B68" s="1" t="s">
        <v>211</v>
      </c>
      <c r="C68" s="2" t="s">
        <v>6</v>
      </c>
      <c r="D68" s="2" t="s">
        <v>212</v>
      </c>
      <c r="E68" s="2">
        <f>VLOOKUP(B68,'DSAI-Vikrant'!$B$2:$F$44,5)</f>
        <v>37</v>
      </c>
      <c r="F68" s="2">
        <v>32.0</v>
      </c>
      <c r="G68" s="2">
        <f t="shared" si="1"/>
        <v>34.5</v>
      </c>
      <c r="H68" s="2">
        <v>14.0</v>
      </c>
      <c r="I68" s="2">
        <v>16.0</v>
      </c>
      <c r="J68" s="2">
        <v>19.0</v>
      </c>
      <c r="K68" s="3">
        <f t="shared" si="2"/>
        <v>9.611111111</v>
      </c>
      <c r="L68" s="2">
        <v>100.0</v>
      </c>
      <c r="M68" s="2">
        <v>180.0</v>
      </c>
      <c r="O68" s="3">
        <f t="shared" si="3"/>
        <v>180</v>
      </c>
      <c r="P68" s="2">
        <v>180.0</v>
      </c>
      <c r="Q68" s="2">
        <f t="shared" si="4"/>
        <v>18.5</v>
      </c>
      <c r="R68" s="2">
        <v>0.0</v>
      </c>
      <c r="S68" s="2">
        <v>6.0</v>
      </c>
      <c r="T68" s="2">
        <v>11.0</v>
      </c>
      <c r="U68" s="2">
        <v>4.0</v>
      </c>
      <c r="V68" s="2">
        <v>14.0</v>
      </c>
      <c r="W68" s="2">
        <v>15.0</v>
      </c>
      <c r="X68" s="2">
        <v>14.0</v>
      </c>
      <c r="Y68" s="2">
        <v>28.0</v>
      </c>
      <c r="Z68" s="2">
        <v>26.0</v>
      </c>
      <c r="AA68" s="2">
        <v>28.0</v>
      </c>
      <c r="AB68" s="2">
        <v>27.0</v>
      </c>
      <c r="AC68" s="2">
        <f t="shared" si="5"/>
        <v>8.65</v>
      </c>
      <c r="AD68" s="2">
        <v>35.0</v>
      </c>
      <c r="AE68" s="2">
        <v>300.0</v>
      </c>
      <c r="AF68" s="2">
        <v>1.0</v>
      </c>
      <c r="AG68" s="3">
        <f t="shared" si="6"/>
        <v>8.65</v>
      </c>
      <c r="AH68" s="3">
        <f t="shared" si="7"/>
        <v>8.375</v>
      </c>
      <c r="AI68" s="4">
        <f t="shared" si="8"/>
        <v>79.63611111</v>
      </c>
    </row>
    <row r="69" hidden="1">
      <c r="A69" s="1" t="s">
        <v>213</v>
      </c>
      <c r="B69" s="1" t="s">
        <v>214</v>
      </c>
      <c r="C69" s="2" t="s">
        <v>6</v>
      </c>
      <c r="D69" s="2" t="s">
        <v>215</v>
      </c>
      <c r="E69" s="2">
        <f>VLOOKUP(B69,'DSAI-Vikrant'!$B$2:$F$44,5)</f>
        <v>47</v>
      </c>
      <c r="F69" s="2">
        <v>24.0</v>
      </c>
      <c r="G69" s="2">
        <f t="shared" si="1"/>
        <v>35.5</v>
      </c>
      <c r="H69" s="2">
        <v>19.0</v>
      </c>
      <c r="I69" s="2">
        <v>13.5</v>
      </c>
      <c r="J69" s="2">
        <v>26.0</v>
      </c>
      <c r="K69" s="3">
        <f t="shared" si="2"/>
        <v>11.01388889</v>
      </c>
      <c r="L69" s="2">
        <v>95.0</v>
      </c>
      <c r="M69" s="2">
        <v>160.0</v>
      </c>
      <c r="O69" s="3">
        <f t="shared" si="3"/>
        <v>160</v>
      </c>
      <c r="P69" s="2">
        <v>180.0</v>
      </c>
      <c r="Q69" s="2">
        <f t="shared" si="4"/>
        <v>17.75</v>
      </c>
      <c r="R69" s="2">
        <v>7.0</v>
      </c>
      <c r="S69" s="2">
        <v>7.0</v>
      </c>
      <c r="T69" s="2">
        <v>9.0</v>
      </c>
      <c r="U69" s="2">
        <v>9.0</v>
      </c>
      <c r="V69" s="2">
        <v>13.0</v>
      </c>
      <c r="W69" s="2">
        <v>15.0</v>
      </c>
      <c r="X69" s="2">
        <v>18.0</v>
      </c>
      <c r="Y69" s="2">
        <v>24.0</v>
      </c>
      <c r="Z69" s="2">
        <v>27.0</v>
      </c>
      <c r="AA69" s="2">
        <v>30.0</v>
      </c>
      <c r="AB69" s="2">
        <v>28.0</v>
      </c>
      <c r="AC69" s="2">
        <f t="shared" si="5"/>
        <v>9.35</v>
      </c>
      <c r="AD69" s="2">
        <v>30.0</v>
      </c>
      <c r="AE69" s="2">
        <v>330.0</v>
      </c>
      <c r="AF69" s="2">
        <v>1.0</v>
      </c>
      <c r="AG69" s="3">
        <f t="shared" si="6"/>
        <v>9.35</v>
      </c>
      <c r="AH69" s="3">
        <f t="shared" si="7"/>
        <v>9</v>
      </c>
      <c r="AI69" s="4">
        <f t="shared" si="8"/>
        <v>82.61388889</v>
      </c>
    </row>
    <row r="70" hidden="1">
      <c r="A70" s="1" t="s">
        <v>216</v>
      </c>
      <c r="B70" s="1" t="s">
        <v>217</v>
      </c>
      <c r="C70" s="2" t="s">
        <v>6</v>
      </c>
      <c r="D70" s="2" t="s">
        <v>218</v>
      </c>
      <c r="E70" s="2">
        <f>VLOOKUP(B70,'DSAI-Vikrant'!$B$2:$F$44,5)</f>
        <v>55</v>
      </c>
      <c r="F70" s="2">
        <v>32.0</v>
      </c>
      <c r="G70" s="2">
        <f t="shared" si="1"/>
        <v>43.5</v>
      </c>
      <c r="H70" s="2">
        <v>12.0</v>
      </c>
      <c r="I70" s="2">
        <v>14.0</v>
      </c>
      <c r="J70" s="2">
        <v>27.0</v>
      </c>
      <c r="K70" s="3">
        <f t="shared" si="2"/>
        <v>9.5</v>
      </c>
      <c r="L70" s="2">
        <v>93.0</v>
      </c>
      <c r="M70" s="2">
        <v>184.0</v>
      </c>
      <c r="O70" s="3">
        <f t="shared" si="3"/>
        <v>184</v>
      </c>
      <c r="P70" s="2">
        <v>100.0</v>
      </c>
      <c r="Q70" s="2">
        <f t="shared" si="4"/>
        <v>14.25</v>
      </c>
      <c r="R70" s="2">
        <v>7.0</v>
      </c>
      <c r="S70" s="2">
        <v>7.0</v>
      </c>
      <c r="T70" s="2">
        <v>12.0</v>
      </c>
      <c r="U70" s="2">
        <v>12.0</v>
      </c>
      <c r="V70" s="2">
        <v>14.0</v>
      </c>
      <c r="W70" s="2">
        <v>14.5</v>
      </c>
      <c r="X70" s="2">
        <v>18.0</v>
      </c>
      <c r="Y70" s="2">
        <v>30.0</v>
      </c>
      <c r="Z70" s="2">
        <v>30.0</v>
      </c>
      <c r="AA70" s="2">
        <v>28.0</v>
      </c>
      <c r="AB70" s="2">
        <v>28.0</v>
      </c>
      <c r="AC70" s="2">
        <f t="shared" si="5"/>
        <v>10.025</v>
      </c>
      <c r="AD70" s="2">
        <v>0.0</v>
      </c>
      <c r="AE70" s="2">
        <v>270.0</v>
      </c>
      <c r="AF70" s="2">
        <v>1.0</v>
      </c>
      <c r="AG70" s="3">
        <f t="shared" si="6"/>
        <v>10.025</v>
      </c>
      <c r="AH70" s="3">
        <f t="shared" si="7"/>
        <v>6.75</v>
      </c>
      <c r="AI70" s="4">
        <f t="shared" si="8"/>
        <v>84.025</v>
      </c>
    </row>
    <row r="71">
      <c r="A71" s="1" t="s">
        <v>219</v>
      </c>
      <c r="B71" s="1" t="s">
        <v>220</v>
      </c>
      <c r="C71" s="2" t="s">
        <v>96</v>
      </c>
      <c r="D71" s="2" t="s">
        <v>221</v>
      </c>
      <c r="E71" s="2">
        <v>16.0</v>
      </c>
      <c r="F71" s="2">
        <v>6.0</v>
      </c>
      <c r="G71" s="2">
        <f t="shared" si="1"/>
        <v>11</v>
      </c>
      <c r="H71" s="2">
        <v>4.0</v>
      </c>
      <c r="I71" s="2">
        <v>7.5</v>
      </c>
      <c r="J71" s="2">
        <v>4.0</v>
      </c>
      <c r="K71" s="3">
        <f t="shared" si="2"/>
        <v>3.319444444</v>
      </c>
      <c r="L71" s="2">
        <v>93.0</v>
      </c>
      <c r="M71" s="2">
        <v>121.0</v>
      </c>
      <c r="O71" s="3">
        <f t="shared" si="3"/>
        <v>121</v>
      </c>
      <c r="P71" s="2">
        <v>98.0</v>
      </c>
      <c r="Q71" s="2">
        <f t="shared" si="4"/>
        <v>12.575</v>
      </c>
      <c r="R71" s="2">
        <v>6.0</v>
      </c>
      <c r="S71" s="2">
        <v>5.0</v>
      </c>
      <c r="T71" s="2">
        <v>6.0</v>
      </c>
      <c r="U71" s="2">
        <v>0.0</v>
      </c>
      <c r="V71" s="2">
        <v>14.0</v>
      </c>
      <c r="W71" s="2">
        <v>14.0</v>
      </c>
      <c r="X71" s="2">
        <v>18.0</v>
      </c>
      <c r="Y71" s="2">
        <v>30.0</v>
      </c>
      <c r="Z71" s="2">
        <v>30.0</v>
      </c>
      <c r="AA71" s="2">
        <v>27.0</v>
      </c>
      <c r="AB71" s="2">
        <v>28.0</v>
      </c>
      <c r="AC71" s="2">
        <f t="shared" si="5"/>
        <v>8.9</v>
      </c>
      <c r="AD71" s="2">
        <v>0.0</v>
      </c>
      <c r="AE71" s="2">
        <v>300.0</v>
      </c>
      <c r="AF71" s="2">
        <v>0.5</v>
      </c>
      <c r="AG71" s="3">
        <f t="shared" si="6"/>
        <v>4.45</v>
      </c>
      <c r="AH71" s="3">
        <f t="shared" si="7"/>
        <v>7.5</v>
      </c>
      <c r="AI71" s="4">
        <f t="shared" si="8"/>
        <v>38.84444444</v>
      </c>
      <c r="AJ71" s="2" t="s">
        <v>222</v>
      </c>
    </row>
    <row r="72" hidden="1">
      <c r="A72" s="1" t="s">
        <v>223</v>
      </c>
      <c r="B72" s="1" t="s">
        <v>224</v>
      </c>
      <c r="C72" s="2" t="s">
        <v>6</v>
      </c>
      <c r="D72" s="2" t="s">
        <v>225</v>
      </c>
      <c r="E72" s="2">
        <f>VLOOKUP(B72,'DSAI-Vikrant'!$B$2:$F$44,5)</f>
        <v>45</v>
      </c>
      <c r="F72" s="2">
        <v>33.0</v>
      </c>
      <c r="G72" s="2">
        <f t="shared" si="1"/>
        <v>39</v>
      </c>
      <c r="H72" s="2">
        <v>16.0</v>
      </c>
      <c r="I72" s="2">
        <v>15.0</v>
      </c>
      <c r="J72" s="2">
        <v>30.0</v>
      </c>
      <c r="K72" s="3">
        <f t="shared" si="2"/>
        <v>11.08333333</v>
      </c>
      <c r="L72" s="2">
        <v>95.0</v>
      </c>
      <c r="M72" s="2">
        <v>188.0</v>
      </c>
      <c r="O72" s="3">
        <f t="shared" si="3"/>
        <v>188</v>
      </c>
      <c r="P72" s="2">
        <v>100.0</v>
      </c>
      <c r="Q72" s="2">
        <f t="shared" si="4"/>
        <v>14.45</v>
      </c>
      <c r="R72" s="2">
        <v>6.0</v>
      </c>
      <c r="S72" s="2">
        <v>9.0</v>
      </c>
      <c r="T72" s="2">
        <v>12.0</v>
      </c>
      <c r="U72" s="2">
        <v>9.0</v>
      </c>
      <c r="V72" s="2">
        <v>14.0</v>
      </c>
      <c r="W72" s="2">
        <v>15.0</v>
      </c>
      <c r="X72" s="2">
        <v>20.0</v>
      </c>
      <c r="Y72" s="2">
        <v>30.0</v>
      </c>
      <c r="Z72" s="2">
        <v>30.0</v>
      </c>
      <c r="AA72" s="2">
        <v>29.0</v>
      </c>
      <c r="AB72" s="2">
        <v>28.0</v>
      </c>
      <c r="AC72" s="2">
        <f t="shared" si="5"/>
        <v>10.1</v>
      </c>
      <c r="AD72" s="2">
        <v>35.0</v>
      </c>
      <c r="AE72" s="2">
        <v>300.0</v>
      </c>
      <c r="AF72" s="2">
        <v>1.0</v>
      </c>
      <c r="AG72" s="3">
        <f t="shared" si="6"/>
        <v>10.1</v>
      </c>
      <c r="AH72" s="3">
        <f t="shared" si="7"/>
        <v>8.375</v>
      </c>
      <c r="AI72" s="4">
        <f t="shared" si="8"/>
        <v>83.00833333</v>
      </c>
    </row>
    <row r="73" hidden="1">
      <c r="A73" s="1" t="s">
        <v>226</v>
      </c>
      <c r="B73" s="1" t="s">
        <v>227</v>
      </c>
      <c r="C73" s="2" t="s">
        <v>55</v>
      </c>
      <c r="D73" s="2" t="s">
        <v>228</v>
      </c>
      <c r="E73" s="2">
        <f>VLOOKUP(B73,'DSAI-Vikrant'!$B$2:$F$44,5)</f>
        <v>20</v>
      </c>
      <c r="F73" s="2">
        <v>26.0</v>
      </c>
      <c r="G73" s="2">
        <f t="shared" si="1"/>
        <v>23</v>
      </c>
      <c r="H73" s="2">
        <v>13.0</v>
      </c>
      <c r="I73" s="2">
        <v>2.5</v>
      </c>
      <c r="J73" s="2">
        <v>8.0</v>
      </c>
      <c r="K73" s="3">
        <f t="shared" si="2"/>
        <v>4.763888889</v>
      </c>
      <c r="L73" s="2">
        <v>95.0</v>
      </c>
      <c r="M73" s="2">
        <v>170.0</v>
      </c>
      <c r="O73" s="3">
        <f t="shared" si="3"/>
        <v>170</v>
      </c>
      <c r="P73" s="2">
        <v>75.0</v>
      </c>
      <c r="Q73" s="2">
        <f t="shared" si="4"/>
        <v>12.75</v>
      </c>
      <c r="R73" s="2">
        <v>4.0</v>
      </c>
      <c r="S73" s="2">
        <v>8.0</v>
      </c>
      <c r="T73" s="2">
        <v>10.0</v>
      </c>
      <c r="U73" s="2">
        <v>10.0</v>
      </c>
      <c r="V73" s="2">
        <v>14.0</v>
      </c>
      <c r="W73" s="2">
        <v>13.5</v>
      </c>
      <c r="X73" s="2">
        <v>20.0</v>
      </c>
      <c r="Y73" s="2">
        <v>27.0</v>
      </c>
      <c r="Z73" s="2">
        <v>21.0</v>
      </c>
      <c r="AB73" s="2">
        <v>28.0</v>
      </c>
      <c r="AC73" s="2">
        <f t="shared" si="5"/>
        <v>7.775</v>
      </c>
      <c r="AD73" s="2">
        <v>30.0</v>
      </c>
      <c r="AE73" s="2">
        <v>280.0</v>
      </c>
      <c r="AF73" s="2">
        <v>0.5</v>
      </c>
      <c r="AG73" s="3">
        <f t="shared" si="6"/>
        <v>3.8875</v>
      </c>
      <c r="AH73" s="3">
        <f t="shared" si="7"/>
        <v>7.75</v>
      </c>
      <c r="AI73" s="4">
        <f t="shared" si="8"/>
        <v>52.15138889</v>
      </c>
    </row>
    <row r="74" hidden="1">
      <c r="A74" s="1" t="s">
        <v>229</v>
      </c>
      <c r="B74" s="1" t="s">
        <v>230</v>
      </c>
      <c r="C74" s="2" t="s">
        <v>32</v>
      </c>
      <c r="D74" s="2" t="s">
        <v>231</v>
      </c>
      <c r="E74" s="2">
        <f>VLOOKUP(B74,'DSAI-Vikrant'!$B$2:$F$44,5)</f>
        <v>40</v>
      </c>
      <c r="F74" s="2">
        <v>20.0</v>
      </c>
      <c r="G74" s="2">
        <f t="shared" si="1"/>
        <v>30</v>
      </c>
      <c r="H74" s="2">
        <v>10.5</v>
      </c>
      <c r="I74" s="2">
        <v>9.5</v>
      </c>
      <c r="J74" s="2">
        <v>23.0</v>
      </c>
      <c r="K74" s="3">
        <f t="shared" si="2"/>
        <v>7.555555556</v>
      </c>
      <c r="L74" s="2">
        <v>95.0</v>
      </c>
      <c r="M74" s="2">
        <v>195.0</v>
      </c>
      <c r="O74" s="3">
        <f t="shared" si="3"/>
        <v>195</v>
      </c>
      <c r="P74" s="2">
        <v>100.0</v>
      </c>
      <c r="Q74" s="2">
        <f t="shared" si="4"/>
        <v>14.625</v>
      </c>
      <c r="R74" s="2">
        <v>6.0</v>
      </c>
      <c r="S74" s="2">
        <v>6.0</v>
      </c>
      <c r="T74" s="2">
        <v>9.0</v>
      </c>
      <c r="U74" s="2">
        <v>12.0</v>
      </c>
      <c r="V74" s="2">
        <v>14.0</v>
      </c>
      <c r="W74" s="2">
        <v>14.5</v>
      </c>
      <c r="X74" s="2">
        <v>20.0</v>
      </c>
      <c r="Y74" s="2">
        <v>29.0</v>
      </c>
      <c r="Z74" s="2">
        <v>30.0</v>
      </c>
      <c r="AA74" s="2">
        <v>28.0</v>
      </c>
      <c r="AB74" s="2">
        <v>28.0</v>
      </c>
      <c r="AC74" s="2">
        <f t="shared" si="5"/>
        <v>9.825</v>
      </c>
      <c r="AD74" s="2">
        <v>0.0</v>
      </c>
      <c r="AE74" s="2">
        <v>270.0</v>
      </c>
      <c r="AF74" s="2">
        <v>0.5</v>
      </c>
      <c r="AG74" s="3">
        <f t="shared" si="6"/>
        <v>4.9125</v>
      </c>
      <c r="AH74" s="3">
        <f t="shared" si="7"/>
        <v>6.75</v>
      </c>
      <c r="AI74" s="4">
        <f t="shared" si="8"/>
        <v>63.84305556</v>
      </c>
    </row>
    <row r="75" hidden="1">
      <c r="A75" s="1" t="s">
        <v>232</v>
      </c>
      <c r="B75" s="1" t="s">
        <v>233</v>
      </c>
      <c r="C75" s="2" t="s">
        <v>32</v>
      </c>
      <c r="D75" s="2" t="s">
        <v>234</v>
      </c>
      <c r="E75" s="2">
        <f>VLOOKUP(B75,'DSAI-Vikrant'!$B$2:$F$44,5)</f>
        <v>33</v>
      </c>
      <c r="F75" s="2">
        <v>15.0</v>
      </c>
      <c r="G75" s="2">
        <f t="shared" si="1"/>
        <v>24</v>
      </c>
      <c r="H75" s="2">
        <v>9.0</v>
      </c>
      <c r="I75" s="2">
        <v>8.0</v>
      </c>
      <c r="J75" s="2">
        <v>16.0</v>
      </c>
      <c r="K75" s="3">
        <f t="shared" si="2"/>
        <v>6.027777778</v>
      </c>
      <c r="L75" s="2">
        <v>90.0</v>
      </c>
      <c r="M75" s="2">
        <v>160.0</v>
      </c>
      <c r="O75" s="3">
        <f t="shared" si="3"/>
        <v>160</v>
      </c>
      <c r="P75" s="2">
        <v>100.0</v>
      </c>
      <c r="Q75" s="2">
        <f t="shared" si="4"/>
        <v>13.5</v>
      </c>
      <c r="R75" s="2">
        <v>7.0</v>
      </c>
      <c r="S75" s="2">
        <v>6.0</v>
      </c>
      <c r="T75" s="2">
        <v>6.0</v>
      </c>
      <c r="U75" s="2">
        <v>7.0</v>
      </c>
      <c r="V75" s="2">
        <v>13.0</v>
      </c>
      <c r="W75" s="2">
        <v>13.0</v>
      </c>
      <c r="X75" s="2">
        <v>0.0</v>
      </c>
      <c r="Y75" s="2">
        <v>26.0</v>
      </c>
      <c r="Z75" s="2">
        <v>26.0</v>
      </c>
      <c r="AA75" s="2">
        <v>30.0</v>
      </c>
      <c r="AC75" s="2">
        <f t="shared" si="5"/>
        <v>6.7</v>
      </c>
      <c r="AD75" s="2">
        <v>35.0</v>
      </c>
      <c r="AE75" s="2">
        <v>300.0</v>
      </c>
      <c r="AF75" s="2">
        <v>1.0</v>
      </c>
      <c r="AG75" s="3">
        <f t="shared" si="6"/>
        <v>6.7</v>
      </c>
      <c r="AH75" s="3">
        <f t="shared" si="7"/>
        <v>8.375</v>
      </c>
      <c r="AI75" s="4">
        <f t="shared" si="8"/>
        <v>58.60277778</v>
      </c>
    </row>
    <row r="76" hidden="1">
      <c r="A76" s="1" t="s">
        <v>235</v>
      </c>
      <c r="B76" s="1" t="s">
        <v>236</v>
      </c>
      <c r="C76" s="2" t="s">
        <v>2</v>
      </c>
      <c r="D76" s="2" t="s">
        <v>237</v>
      </c>
      <c r="E76" s="2">
        <f>VLOOKUP(B76,'DSAI-Vikrant'!$B$2:$F$44,5)</f>
        <v>47</v>
      </c>
      <c r="F76" s="2">
        <v>31.0</v>
      </c>
      <c r="G76" s="2">
        <f t="shared" si="1"/>
        <v>39</v>
      </c>
      <c r="H76" s="2">
        <v>14.0</v>
      </c>
      <c r="I76" s="2">
        <v>16.0</v>
      </c>
      <c r="J76" s="2">
        <v>28.0</v>
      </c>
      <c r="K76" s="3">
        <f t="shared" si="2"/>
        <v>10.61111111</v>
      </c>
      <c r="L76" s="2">
        <v>95.0</v>
      </c>
      <c r="M76" s="2">
        <v>174.0</v>
      </c>
      <c r="O76" s="3">
        <f t="shared" si="3"/>
        <v>174</v>
      </c>
      <c r="P76" s="2">
        <v>100.0</v>
      </c>
      <c r="Q76" s="2">
        <f t="shared" si="4"/>
        <v>14.1</v>
      </c>
      <c r="R76" s="2">
        <v>6.0</v>
      </c>
      <c r="S76" s="2">
        <v>6.0</v>
      </c>
      <c r="T76" s="2">
        <v>5.0</v>
      </c>
      <c r="U76" s="2">
        <v>4.0</v>
      </c>
      <c r="V76" s="2">
        <v>12.0</v>
      </c>
      <c r="W76" s="2">
        <v>13.0</v>
      </c>
      <c r="X76" s="2">
        <v>15.0</v>
      </c>
      <c r="Y76" s="2">
        <v>26.0</v>
      </c>
      <c r="Z76" s="2">
        <v>24.0</v>
      </c>
      <c r="AA76" s="2">
        <v>27.0</v>
      </c>
      <c r="AB76" s="2">
        <v>28.0</v>
      </c>
      <c r="AC76" s="2">
        <f t="shared" si="5"/>
        <v>8.3</v>
      </c>
      <c r="AD76" s="2">
        <v>30.0</v>
      </c>
      <c r="AE76" s="2">
        <v>200.0</v>
      </c>
      <c r="AF76" s="2">
        <v>1.0</v>
      </c>
      <c r="AG76" s="3">
        <f t="shared" si="6"/>
        <v>8.3</v>
      </c>
      <c r="AH76" s="3">
        <f t="shared" si="7"/>
        <v>5.75</v>
      </c>
      <c r="AI76" s="4">
        <f t="shared" si="8"/>
        <v>77.76111111</v>
      </c>
    </row>
    <row r="77" hidden="1">
      <c r="A77" s="1" t="s">
        <v>238</v>
      </c>
      <c r="B77" s="1" t="s">
        <v>239</v>
      </c>
      <c r="C77" s="2" t="s">
        <v>2</v>
      </c>
      <c r="D77" s="2" t="s">
        <v>240</v>
      </c>
      <c r="E77" s="2">
        <f>VLOOKUP(B77,'DSAI-Vikrant'!$B$2:$F$44,5)</f>
        <v>53</v>
      </c>
      <c r="F77" s="2">
        <v>19.0</v>
      </c>
      <c r="G77" s="2">
        <f t="shared" si="1"/>
        <v>36</v>
      </c>
      <c r="H77" s="2">
        <v>8.0</v>
      </c>
      <c r="I77" s="2">
        <v>13.5</v>
      </c>
      <c r="J77" s="2">
        <v>30.0</v>
      </c>
      <c r="K77" s="3">
        <f t="shared" si="2"/>
        <v>8.708333333</v>
      </c>
      <c r="L77" s="2">
        <v>100.0</v>
      </c>
      <c r="M77" s="2">
        <v>185.0</v>
      </c>
      <c r="O77" s="3">
        <f t="shared" si="3"/>
        <v>185</v>
      </c>
      <c r="P77" s="2">
        <v>90.0</v>
      </c>
      <c r="Q77" s="2">
        <f t="shared" si="4"/>
        <v>14.125</v>
      </c>
      <c r="R77" s="2">
        <v>7.0</v>
      </c>
      <c r="S77" s="2">
        <v>7.0</v>
      </c>
      <c r="T77" s="2">
        <v>11.0</v>
      </c>
      <c r="U77" s="2">
        <v>8.0</v>
      </c>
      <c r="V77" s="2">
        <v>13.0</v>
      </c>
      <c r="W77" s="2">
        <v>13.0</v>
      </c>
      <c r="X77" s="2">
        <v>18.0</v>
      </c>
      <c r="Y77" s="2">
        <v>24.0</v>
      </c>
      <c r="Z77" s="2">
        <v>26.0</v>
      </c>
      <c r="AA77" s="2">
        <v>28.0</v>
      </c>
      <c r="AB77" s="2">
        <v>28.0</v>
      </c>
      <c r="AC77" s="2">
        <f t="shared" si="5"/>
        <v>9.15</v>
      </c>
      <c r="AD77" s="2">
        <v>30.0</v>
      </c>
      <c r="AE77" s="2">
        <v>290.0</v>
      </c>
      <c r="AF77" s="2">
        <v>1.0</v>
      </c>
      <c r="AG77" s="3">
        <f t="shared" si="6"/>
        <v>9.15</v>
      </c>
      <c r="AH77" s="3">
        <f t="shared" si="7"/>
        <v>8</v>
      </c>
      <c r="AI77" s="4">
        <f t="shared" si="8"/>
        <v>75.98333333</v>
      </c>
    </row>
    <row r="78" hidden="1">
      <c r="A78" s="1" t="s">
        <v>241</v>
      </c>
      <c r="B78" s="1" t="s">
        <v>242</v>
      </c>
      <c r="C78" s="2" t="s">
        <v>6</v>
      </c>
      <c r="D78" s="2" t="s">
        <v>243</v>
      </c>
      <c r="E78" s="2">
        <f>VLOOKUP(B78,'DSAI-Vikrant'!$B$2:$F$44,5)</f>
        <v>51</v>
      </c>
      <c r="F78" s="2">
        <v>32.0</v>
      </c>
      <c r="G78" s="2">
        <f t="shared" si="1"/>
        <v>41.5</v>
      </c>
      <c r="H78" s="2">
        <v>9.0</v>
      </c>
      <c r="I78" s="2">
        <v>17.5</v>
      </c>
      <c r="J78" s="2">
        <v>32.0</v>
      </c>
      <c r="K78" s="3">
        <f t="shared" si="2"/>
        <v>10.18055556</v>
      </c>
      <c r="L78" s="2">
        <v>95.0</v>
      </c>
      <c r="M78" s="2">
        <v>186.0</v>
      </c>
      <c r="O78" s="3">
        <f t="shared" si="3"/>
        <v>186</v>
      </c>
      <c r="P78" s="2">
        <v>95.0</v>
      </c>
      <c r="Q78" s="2">
        <f t="shared" si="4"/>
        <v>14.15</v>
      </c>
      <c r="R78" s="2">
        <v>7.0</v>
      </c>
      <c r="S78" s="2">
        <v>10.0</v>
      </c>
      <c r="T78" s="2">
        <v>9.0</v>
      </c>
      <c r="U78" s="2">
        <v>12.0</v>
      </c>
      <c r="V78" s="2">
        <v>14.0</v>
      </c>
      <c r="W78" s="2">
        <v>12.0</v>
      </c>
      <c r="X78" s="2">
        <v>18.0</v>
      </c>
      <c r="Y78" s="2">
        <v>25.0</v>
      </c>
      <c r="Z78" s="2">
        <v>25.0</v>
      </c>
      <c r="AA78" s="2">
        <v>29.0</v>
      </c>
      <c r="AB78" s="2">
        <v>28.0</v>
      </c>
      <c r="AC78" s="2">
        <f t="shared" si="5"/>
        <v>9.45</v>
      </c>
      <c r="AD78" s="2">
        <v>50.0</v>
      </c>
      <c r="AE78" s="2">
        <v>300.0</v>
      </c>
      <c r="AF78" s="2">
        <v>1.0</v>
      </c>
      <c r="AG78" s="3">
        <f t="shared" si="6"/>
        <v>9.45</v>
      </c>
      <c r="AH78" s="3">
        <f t="shared" si="7"/>
        <v>8.75</v>
      </c>
      <c r="AI78" s="4">
        <f t="shared" si="8"/>
        <v>84.03055556</v>
      </c>
    </row>
    <row r="79" hidden="1">
      <c r="A79" s="1" t="s">
        <v>244</v>
      </c>
      <c r="B79" s="1" t="s">
        <v>245</v>
      </c>
      <c r="C79" s="2" t="s">
        <v>6</v>
      </c>
      <c r="D79" s="2" t="s">
        <v>246</v>
      </c>
      <c r="E79" s="2">
        <f>VLOOKUP(B79,'DSAI-Vikrant'!$B$2:$F$44,5)</f>
        <v>55</v>
      </c>
      <c r="F79" s="2">
        <v>28.0</v>
      </c>
      <c r="G79" s="2">
        <f t="shared" si="1"/>
        <v>41.5</v>
      </c>
      <c r="H79" s="2">
        <v>16.0</v>
      </c>
      <c r="I79" s="2">
        <v>16.5</v>
      </c>
      <c r="J79" s="2">
        <v>35.0</v>
      </c>
      <c r="K79" s="3">
        <f t="shared" si="2"/>
        <v>12.01388889</v>
      </c>
      <c r="L79" s="2">
        <v>100.0</v>
      </c>
      <c r="M79" s="2">
        <v>190.0</v>
      </c>
      <c r="O79" s="3">
        <f t="shared" si="3"/>
        <v>190</v>
      </c>
      <c r="P79" s="2">
        <v>90.0</v>
      </c>
      <c r="Q79" s="2">
        <f t="shared" si="4"/>
        <v>14.25</v>
      </c>
      <c r="R79" s="2">
        <v>7.0</v>
      </c>
      <c r="S79" s="2">
        <v>6.0</v>
      </c>
      <c r="T79" s="2">
        <v>12.0</v>
      </c>
      <c r="U79" s="2">
        <v>10.0</v>
      </c>
      <c r="V79" s="2">
        <v>15.0</v>
      </c>
      <c r="W79" s="2">
        <v>14.0</v>
      </c>
      <c r="X79" s="2">
        <v>20.0</v>
      </c>
      <c r="Y79" s="2">
        <v>24.0</v>
      </c>
      <c r="Z79" s="2">
        <v>26.0</v>
      </c>
      <c r="AA79" s="2">
        <v>28.0</v>
      </c>
      <c r="AB79" s="2">
        <v>28.0</v>
      </c>
      <c r="AC79" s="2">
        <f t="shared" si="5"/>
        <v>9.5</v>
      </c>
      <c r="AD79" s="2">
        <v>0.0</v>
      </c>
      <c r="AE79" s="2">
        <v>310.0</v>
      </c>
      <c r="AF79" s="2">
        <v>1.0</v>
      </c>
      <c r="AG79" s="3">
        <f t="shared" si="6"/>
        <v>9.5</v>
      </c>
      <c r="AH79" s="3">
        <f t="shared" si="7"/>
        <v>7.75</v>
      </c>
      <c r="AI79" s="4">
        <f t="shared" si="8"/>
        <v>85.01388889</v>
      </c>
    </row>
    <row r="80" hidden="1">
      <c r="A80" s="1" t="s">
        <v>247</v>
      </c>
      <c r="B80" s="1" t="s">
        <v>248</v>
      </c>
      <c r="C80" s="2" t="s">
        <v>25</v>
      </c>
      <c r="D80" s="2" t="s">
        <v>249</v>
      </c>
      <c r="E80" s="2">
        <f>VLOOKUP(B80,'DSAI-Vikrant'!$B$2:$F$44,5)</f>
        <v>38</v>
      </c>
      <c r="F80" s="2">
        <v>24.0</v>
      </c>
      <c r="G80" s="2">
        <f t="shared" si="1"/>
        <v>31</v>
      </c>
      <c r="H80" s="2">
        <v>8.0</v>
      </c>
      <c r="I80" s="2">
        <v>8.5</v>
      </c>
      <c r="J80" s="2">
        <v>23.0</v>
      </c>
      <c r="K80" s="3">
        <f t="shared" si="2"/>
        <v>6.680555556</v>
      </c>
      <c r="L80" s="2">
        <v>85.0</v>
      </c>
      <c r="M80" s="2">
        <v>145.0</v>
      </c>
      <c r="O80" s="3">
        <f t="shared" si="3"/>
        <v>145</v>
      </c>
      <c r="P80" s="2">
        <v>85.0</v>
      </c>
      <c r="Q80" s="2">
        <f t="shared" si="4"/>
        <v>12.125</v>
      </c>
      <c r="R80" s="2">
        <v>5.0</v>
      </c>
      <c r="S80" s="2">
        <v>4.0</v>
      </c>
      <c r="T80" s="2">
        <v>10.0</v>
      </c>
      <c r="U80" s="2">
        <v>6.0</v>
      </c>
      <c r="V80" s="2">
        <v>15.0</v>
      </c>
      <c r="W80" s="2">
        <v>13.0</v>
      </c>
      <c r="X80" s="2">
        <v>15.0</v>
      </c>
      <c r="Y80" s="2">
        <v>24.0</v>
      </c>
      <c r="Z80" s="2">
        <v>24.0</v>
      </c>
      <c r="AA80" s="2">
        <v>29.0</v>
      </c>
      <c r="AB80" s="2">
        <v>27.0</v>
      </c>
      <c r="AC80" s="2">
        <f t="shared" si="5"/>
        <v>8.6</v>
      </c>
      <c r="AD80" s="2">
        <v>30.0</v>
      </c>
      <c r="AE80" s="2">
        <v>280.0</v>
      </c>
      <c r="AF80" s="2">
        <v>1.0</v>
      </c>
      <c r="AG80" s="3">
        <f t="shared" si="6"/>
        <v>8.6</v>
      </c>
      <c r="AH80" s="3">
        <f t="shared" si="7"/>
        <v>7.75</v>
      </c>
      <c r="AI80" s="4">
        <f t="shared" si="8"/>
        <v>66.15555556</v>
      </c>
    </row>
    <row r="81" hidden="1">
      <c r="A81" s="1" t="s">
        <v>250</v>
      </c>
      <c r="B81" s="1" t="s">
        <v>251</v>
      </c>
      <c r="C81" s="2" t="s">
        <v>25</v>
      </c>
      <c r="D81" s="2" t="s">
        <v>252</v>
      </c>
      <c r="E81" s="2">
        <f>VLOOKUP(B81,'DSAI-Vikrant'!$B$2:$F$44,5)</f>
        <v>36</v>
      </c>
      <c r="F81" s="2">
        <v>28.0</v>
      </c>
      <c r="G81" s="2">
        <f t="shared" si="1"/>
        <v>32</v>
      </c>
      <c r="H81" s="2">
        <v>6.0</v>
      </c>
      <c r="I81" s="2">
        <v>11.5</v>
      </c>
      <c r="J81" s="2">
        <v>23.0</v>
      </c>
      <c r="K81" s="3">
        <f t="shared" si="2"/>
        <v>6.930555556</v>
      </c>
      <c r="L81" s="2">
        <v>78.0</v>
      </c>
      <c r="M81" s="2">
        <v>170.0</v>
      </c>
      <c r="O81" s="3">
        <f t="shared" si="3"/>
        <v>170</v>
      </c>
      <c r="P81" s="2">
        <v>95.0</v>
      </c>
      <c r="Q81" s="2">
        <f t="shared" si="4"/>
        <v>12.9</v>
      </c>
      <c r="R81" s="2">
        <v>4.0</v>
      </c>
      <c r="S81" s="2">
        <v>8.0</v>
      </c>
      <c r="T81" s="2">
        <v>6.0</v>
      </c>
      <c r="U81" s="2">
        <v>10.0</v>
      </c>
      <c r="V81" s="2">
        <v>12.0</v>
      </c>
      <c r="W81" s="2">
        <v>14.0</v>
      </c>
      <c r="X81" s="2">
        <v>16.0</v>
      </c>
      <c r="Y81" s="2">
        <v>27.0</v>
      </c>
      <c r="Z81" s="2">
        <v>28.0</v>
      </c>
      <c r="AA81" s="2">
        <v>27.0</v>
      </c>
      <c r="AB81" s="2">
        <v>28.0</v>
      </c>
      <c r="AC81" s="2">
        <f t="shared" si="5"/>
        <v>9</v>
      </c>
      <c r="AD81" s="2">
        <v>20.0</v>
      </c>
      <c r="AE81" s="2">
        <v>270.0</v>
      </c>
      <c r="AF81" s="2">
        <v>1.0</v>
      </c>
      <c r="AG81" s="3">
        <f t="shared" si="6"/>
        <v>9</v>
      </c>
      <c r="AH81" s="3">
        <f t="shared" si="7"/>
        <v>7.25</v>
      </c>
      <c r="AI81" s="4">
        <f t="shared" si="8"/>
        <v>68.08055556</v>
      </c>
    </row>
    <row r="82" hidden="1">
      <c r="A82" s="1" t="s">
        <v>253</v>
      </c>
      <c r="B82" s="1" t="s">
        <v>254</v>
      </c>
      <c r="C82" s="2" t="s">
        <v>6</v>
      </c>
      <c r="D82" s="2" t="s">
        <v>255</v>
      </c>
      <c r="E82" s="2">
        <f>VLOOKUP(B82,'DSAI-Vikrant'!$B$2:$F$44,5)</f>
        <v>56</v>
      </c>
      <c r="F82" s="2">
        <v>32.0</v>
      </c>
      <c r="G82" s="2">
        <f t="shared" si="1"/>
        <v>44</v>
      </c>
      <c r="H82" s="2">
        <v>13.0</v>
      </c>
      <c r="I82" s="2">
        <v>16.0</v>
      </c>
      <c r="J82" s="2">
        <v>32.0</v>
      </c>
      <c r="K82" s="3">
        <f t="shared" si="2"/>
        <v>10.80555556</v>
      </c>
      <c r="L82" s="2">
        <v>90.0</v>
      </c>
      <c r="M82" s="2">
        <v>200.0</v>
      </c>
      <c r="O82" s="3">
        <f t="shared" si="3"/>
        <v>200</v>
      </c>
      <c r="P82" s="2">
        <v>99.0</v>
      </c>
      <c r="Q82" s="2">
        <f t="shared" si="4"/>
        <v>14.45</v>
      </c>
      <c r="R82" s="2">
        <v>7.0</v>
      </c>
      <c r="S82" s="2">
        <v>8.0</v>
      </c>
      <c r="T82" s="2">
        <v>12.0</v>
      </c>
      <c r="U82" s="2">
        <v>8.0</v>
      </c>
      <c r="V82" s="2">
        <v>15.0</v>
      </c>
      <c r="W82" s="2">
        <v>12.0</v>
      </c>
      <c r="X82" s="2">
        <v>20.0</v>
      </c>
      <c r="Y82" s="2">
        <v>27.0</v>
      </c>
      <c r="Z82" s="2">
        <v>25.0</v>
      </c>
      <c r="AA82" s="2">
        <v>30.0</v>
      </c>
      <c r="AB82" s="2">
        <v>30.0</v>
      </c>
      <c r="AC82" s="2">
        <f t="shared" si="5"/>
        <v>9.7</v>
      </c>
      <c r="AD82" s="2">
        <v>50.0</v>
      </c>
      <c r="AE82" s="2">
        <v>280.0</v>
      </c>
      <c r="AF82" s="2">
        <v>1.0</v>
      </c>
      <c r="AG82" s="3">
        <f t="shared" si="6"/>
        <v>9.7</v>
      </c>
      <c r="AH82" s="3">
        <f t="shared" si="7"/>
        <v>8.25</v>
      </c>
      <c r="AI82" s="4">
        <f t="shared" si="8"/>
        <v>87.20555556</v>
      </c>
    </row>
    <row r="83" hidden="1">
      <c r="A83" s="1" t="s">
        <v>256</v>
      </c>
      <c r="B83" s="1" t="s">
        <v>257</v>
      </c>
      <c r="C83" s="2" t="s">
        <v>32</v>
      </c>
      <c r="D83" s="2" t="s">
        <v>258</v>
      </c>
      <c r="E83" s="2">
        <f>VLOOKUP(B83,'DSAI-Vikrant'!$B$2:$F$44,5)</f>
        <v>39</v>
      </c>
      <c r="F83" s="2">
        <v>17.0</v>
      </c>
      <c r="G83" s="2">
        <f t="shared" si="1"/>
        <v>28</v>
      </c>
      <c r="H83" s="2">
        <v>8.0</v>
      </c>
      <c r="I83" s="2">
        <v>4.0</v>
      </c>
      <c r="J83" s="2">
        <v>15.0</v>
      </c>
      <c r="K83" s="3">
        <f t="shared" si="2"/>
        <v>4.666666667</v>
      </c>
      <c r="L83" s="2">
        <v>90.0</v>
      </c>
      <c r="M83" s="2">
        <v>170.0</v>
      </c>
      <c r="O83" s="3">
        <f t="shared" si="3"/>
        <v>170</v>
      </c>
      <c r="P83" s="2">
        <v>90.0</v>
      </c>
      <c r="Q83" s="2">
        <f t="shared" si="4"/>
        <v>13.25</v>
      </c>
      <c r="R83" s="2">
        <v>6.0</v>
      </c>
      <c r="S83" s="2">
        <v>5.0</v>
      </c>
      <c r="T83" s="2">
        <v>0.0</v>
      </c>
      <c r="U83" s="2">
        <v>3.0</v>
      </c>
      <c r="V83" s="2">
        <v>14.0</v>
      </c>
      <c r="W83" s="2">
        <v>15.0</v>
      </c>
      <c r="X83" s="2">
        <v>20.0</v>
      </c>
      <c r="Y83" s="2">
        <v>25.0</v>
      </c>
      <c r="Z83" s="2">
        <v>24.0</v>
      </c>
      <c r="AA83" s="2">
        <v>30.0</v>
      </c>
      <c r="AB83" s="2">
        <v>28.0</v>
      </c>
      <c r="AC83" s="2">
        <f t="shared" si="5"/>
        <v>8.5</v>
      </c>
      <c r="AD83" s="2">
        <v>35.0</v>
      </c>
      <c r="AE83" s="2">
        <v>280.0</v>
      </c>
      <c r="AF83" s="2">
        <v>1.0</v>
      </c>
      <c r="AG83" s="3">
        <f t="shared" si="6"/>
        <v>8.5</v>
      </c>
      <c r="AH83" s="3">
        <f t="shared" si="7"/>
        <v>7.875</v>
      </c>
      <c r="AI83" s="4">
        <f t="shared" si="8"/>
        <v>62.29166667</v>
      </c>
    </row>
    <row r="84" hidden="1">
      <c r="A84" s="1" t="s">
        <v>259</v>
      </c>
      <c r="B84" s="1" t="s">
        <v>260</v>
      </c>
      <c r="C84" s="2" t="s">
        <v>25</v>
      </c>
      <c r="D84" s="2" t="s">
        <v>261</v>
      </c>
      <c r="E84" s="2">
        <f>VLOOKUP(B84,'DSAI-Vikrant'!$B$2:$F$44,5)</f>
        <v>47</v>
      </c>
      <c r="F84" s="2">
        <v>25.0</v>
      </c>
      <c r="G84" s="2">
        <f t="shared" si="1"/>
        <v>36</v>
      </c>
      <c r="H84" s="2">
        <v>9.0</v>
      </c>
      <c r="I84" s="2">
        <v>11.5</v>
      </c>
      <c r="J84" s="2">
        <v>8.0</v>
      </c>
      <c r="K84" s="3">
        <f t="shared" si="2"/>
        <v>6.013888889</v>
      </c>
      <c r="L84" s="2">
        <v>95.0</v>
      </c>
      <c r="M84" s="2">
        <v>0.0</v>
      </c>
      <c r="N84" s="2">
        <v>185.0</v>
      </c>
      <c r="O84" s="3">
        <f t="shared" si="3"/>
        <v>185</v>
      </c>
      <c r="P84" s="2">
        <v>80.0</v>
      </c>
      <c r="Q84" s="2">
        <f t="shared" si="4"/>
        <v>13.375</v>
      </c>
      <c r="R84" s="2">
        <v>6.0</v>
      </c>
      <c r="S84" s="2">
        <v>2.0</v>
      </c>
      <c r="T84" s="2">
        <v>8.0</v>
      </c>
      <c r="U84" s="2">
        <v>8.0</v>
      </c>
      <c r="V84" s="2">
        <v>13.0</v>
      </c>
      <c r="W84" s="2">
        <v>12.0</v>
      </c>
      <c r="X84" s="2">
        <v>18.0</v>
      </c>
      <c r="Y84" s="2">
        <v>26.0</v>
      </c>
      <c r="Z84" s="2">
        <v>24.0</v>
      </c>
      <c r="AA84" s="2">
        <v>28.0</v>
      </c>
      <c r="AB84" s="2">
        <v>28.0</v>
      </c>
      <c r="AC84" s="2">
        <f t="shared" si="5"/>
        <v>8.65</v>
      </c>
      <c r="AD84" s="2">
        <v>0.0</v>
      </c>
      <c r="AE84" s="2">
        <v>300.0</v>
      </c>
      <c r="AF84" s="2">
        <v>1.0</v>
      </c>
      <c r="AG84" s="3">
        <f t="shared" si="6"/>
        <v>8.65</v>
      </c>
      <c r="AH84" s="3">
        <f t="shared" si="7"/>
        <v>7.5</v>
      </c>
      <c r="AI84" s="4">
        <f t="shared" si="8"/>
        <v>71.53888889</v>
      </c>
    </row>
    <row r="85" hidden="1">
      <c r="A85" s="1" t="s">
        <v>262</v>
      </c>
      <c r="B85" s="1" t="s">
        <v>263</v>
      </c>
      <c r="C85" s="2" t="s">
        <v>25</v>
      </c>
      <c r="D85" s="2" t="s">
        <v>264</v>
      </c>
      <c r="E85" s="2">
        <f>VLOOKUP(B85,'DSAI-Vikrant'!$B$2:$F$44,5)</f>
        <v>45</v>
      </c>
      <c r="F85" s="2">
        <v>20.0</v>
      </c>
      <c r="G85" s="2">
        <f t="shared" si="1"/>
        <v>32.5</v>
      </c>
      <c r="H85" s="2">
        <v>6.0</v>
      </c>
      <c r="I85" s="2">
        <v>5.0</v>
      </c>
      <c r="J85" s="2">
        <v>25.0</v>
      </c>
      <c r="K85" s="3">
        <f t="shared" si="2"/>
        <v>5.527777778</v>
      </c>
      <c r="L85" s="2">
        <v>95.0</v>
      </c>
      <c r="M85" s="2">
        <v>175.0</v>
      </c>
      <c r="O85" s="3">
        <f t="shared" si="3"/>
        <v>175</v>
      </c>
      <c r="P85" s="2">
        <v>85.0</v>
      </c>
      <c r="Q85" s="2">
        <f t="shared" si="4"/>
        <v>13.375</v>
      </c>
      <c r="R85" s="2">
        <v>7.0</v>
      </c>
      <c r="S85" s="2">
        <v>5.0</v>
      </c>
      <c r="T85" s="2">
        <v>10.0</v>
      </c>
      <c r="V85" s="2">
        <v>14.0</v>
      </c>
      <c r="W85" s="2">
        <v>13.0</v>
      </c>
      <c r="X85" s="2">
        <v>20.0</v>
      </c>
      <c r="Y85" s="2">
        <v>26.0</v>
      </c>
      <c r="Z85" s="2">
        <v>24.0</v>
      </c>
      <c r="AA85" s="2">
        <v>28.0</v>
      </c>
      <c r="AB85" s="2">
        <v>27.0</v>
      </c>
      <c r="AC85" s="2">
        <f t="shared" si="5"/>
        <v>8.7</v>
      </c>
      <c r="AD85" s="2">
        <v>10.0</v>
      </c>
      <c r="AE85" s="2">
        <v>270.0</v>
      </c>
      <c r="AF85" s="2">
        <v>1.0</v>
      </c>
      <c r="AG85" s="3">
        <f t="shared" si="6"/>
        <v>8.7</v>
      </c>
      <c r="AH85" s="3">
        <f t="shared" si="7"/>
        <v>7</v>
      </c>
      <c r="AI85" s="4">
        <f t="shared" si="8"/>
        <v>67.10277778</v>
      </c>
    </row>
    <row r="86" hidden="1">
      <c r="A86" s="1" t="s">
        <v>265</v>
      </c>
      <c r="B86" s="1" t="s">
        <v>266</v>
      </c>
      <c r="C86" s="2" t="s">
        <v>59</v>
      </c>
      <c r="D86" s="2" t="s">
        <v>267</v>
      </c>
      <c r="E86" s="2">
        <f>VLOOKUP(B86,'DSAI-Vikrant'!$B$2:$F$44,5)</f>
        <v>20</v>
      </c>
      <c r="F86" s="2">
        <v>11.0</v>
      </c>
      <c r="G86" s="2">
        <f t="shared" si="1"/>
        <v>15.5</v>
      </c>
      <c r="H86" s="2">
        <v>6.0</v>
      </c>
      <c r="I86" s="2">
        <v>5.0</v>
      </c>
      <c r="J86" s="2">
        <v>0.0</v>
      </c>
      <c r="K86" s="3">
        <f t="shared" si="2"/>
        <v>2.75</v>
      </c>
      <c r="L86" s="2">
        <v>90.0</v>
      </c>
      <c r="M86" s="2">
        <v>160.0</v>
      </c>
      <c r="O86" s="3">
        <f t="shared" si="3"/>
        <v>160</v>
      </c>
      <c r="P86" s="2">
        <v>94.0</v>
      </c>
      <c r="Q86" s="2">
        <f t="shared" si="4"/>
        <v>13.2</v>
      </c>
      <c r="R86" s="2">
        <v>7.0</v>
      </c>
      <c r="S86" s="2">
        <v>6.0</v>
      </c>
      <c r="T86" s="2">
        <v>7.0</v>
      </c>
      <c r="U86" s="2">
        <v>7.0</v>
      </c>
      <c r="V86" s="2">
        <v>13.0</v>
      </c>
      <c r="W86" s="2">
        <v>12.0</v>
      </c>
      <c r="X86" s="2">
        <v>17.0</v>
      </c>
      <c r="Y86" s="2">
        <v>22.0</v>
      </c>
      <c r="Z86" s="2">
        <v>26.0</v>
      </c>
      <c r="AA86" s="2">
        <v>28.0</v>
      </c>
      <c r="AB86" s="2">
        <v>28.0</v>
      </c>
      <c r="AC86" s="2">
        <f t="shared" si="5"/>
        <v>8.65</v>
      </c>
      <c r="AD86" s="2">
        <v>50.0</v>
      </c>
      <c r="AE86" s="2">
        <v>300.0</v>
      </c>
      <c r="AF86" s="2">
        <v>1.0</v>
      </c>
      <c r="AG86" s="3">
        <f t="shared" si="6"/>
        <v>8.65</v>
      </c>
      <c r="AH86" s="3">
        <f t="shared" si="7"/>
        <v>8.75</v>
      </c>
      <c r="AI86" s="4">
        <f t="shared" si="8"/>
        <v>48.85</v>
      </c>
    </row>
    <row r="87" hidden="1">
      <c r="A87" s="1" t="s">
        <v>268</v>
      </c>
      <c r="B87" s="1" t="s">
        <v>269</v>
      </c>
      <c r="C87" s="2" t="s">
        <v>6</v>
      </c>
      <c r="D87" s="2" t="s">
        <v>270</v>
      </c>
      <c r="E87" s="2">
        <f>VLOOKUP(B87,'DSAI-Vikrant'!$B$2:$F$44,5)</f>
        <v>48</v>
      </c>
      <c r="F87" s="2">
        <v>29.0</v>
      </c>
      <c r="G87" s="2">
        <f t="shared" si="1"/>
        <v>38.5</v>
      </c>
      <c r="H87" s="2">
        <v>15.0</v>
      </c>
      <c r="I87" s="2">
        <v>13.0</v>
      </c>
      <c r="J87" s="2">
        <v>35.5</v>
      </c>
      <c r="K87" s="3">
        <f t="shared" si="2"/>
        <v>10.94444444</v>
      </c>
      <c r="L87" s="2">
        <v>90.0</v>
      </c>
      <c r="M87" s="2">
        <v>200.0</v>
      </c>
      <c r="O87" s="3">
        <f t="shared" si="3"/>
        <v>200</v>
      </c>
      <c r="P87" s="2">
        <v>92.0</v>
      </c>
      <c r="Q87" s="2">
        <f t="shared" si="4"/>
        <v>14.1</v>
      </c>
      <c r="R87" s="2">
        <v>7.0</v>
      </c>
      <c r="S87" s="2">
        <v>9.0</v>
      </c>
      <c r="T87" s="2">
        <v>11.0</v>
      </c>
      <c r="U87" s="2">
        <v>7.0</v>
      </c>
      <c r="V87" s="2">
        <v>15.0</v>
      </c>
      <c r="W87" s="2">
        <v>15.0</v>
      </c>
      <c r="X87" s="2">
        <v>20.0</v>
      </c>
      <c r="Y87" s="2">
        <v>30.0</v>
      </c>
      <c r="Z87" s="2">
        <v>30.0</v>
      </c>
      <c r="AA87" s="2">
        <v>29.0</v>
      </c>
      <c r="AB87" s="2">
        <v>27.0</v>
      </c>
      <c r="AC87" s="2">
        <f t="shared" si="5"/>
        <v>10</v>
      </c>
      <c r="AD87" s="2">
        <v>10.0</v>
      </c>
      <c r="AE87" s="2">
        <v>335.0</v>
      </c>
      <c r="AF87" s="2">
        <v>1.0</v>
      </c>
      <c r="AG87" s="3">
        <f t="shared" si="6"/>
        <v>10</v>
      </c>
      <c r="AH87" s="3">
        <f t="shared" si="7"/>
        <v>8.625</v>
      </c>
      <c r="AI87" s="4">
        <f t="shared" si="8"/>
        <v>82.16944444</v>
      </c>
    </row>
    <row r="88" hidden="1">
      <c r="A88" s="1" t="s">
        <v>271</v>
      </c>
      <c r="B88" s="1" t="s">
        <v>272</v>
      </c>
      <c r="C88" s="2" t="s">
        <v>6</v>
      </c>
      <c r="D88" s="2" t="s">
        <v>273</v>
      </c>
      <c r="E88" s="2">
        <f>VLOOKUP(B88,'DSAI-Vikrant'!$B$2:$F$44,5)</f>
        <v>46</v>
      </c>
      <c r="F88" s="2">
        <v>37.0</v>
      </c>
      <c r="G88" s="2">
        <f t="shared" si="1"/>
        <v>41.5</v>
      </c>
      <c r="H88" s="2">
        <v>18.0</v>
      </c>
      <c r="I88" s="2">
        <v>17.5</v>
      </c>
      <c r="J88" s="2">
        <v>17.0</v>
      </c>
      <c r="K88" s="3">
        <f t="shared" si="2"/>
        <v>10.76388889</v>
      </c>
      <c r="L88" s="2">
        <v>100.0</v>
      </c>
      <c r="M88" s="2">
        <v>200.0</v>
      </c>
      <c r="O88" s="3">
        <f t="shared" si="3"/>
        <v>200</v>
      </c>
      <c r="P88" s="2">
        <v>88.0</v>
      </c>
      <c r="Q88" s="2">
        <f t="shared" si="4"/>
        <v>14.4</v>
      </c>
      <c r="R88" s="2">
        <v>4.0</v>
      </c>
      <c r="S88" s="2">
        <v>7.0</v>
      </c>
      <c r="T88" s="2">
        <v>13.0</v>
      </c>
      <c r="U88" s="2">
        <v>13.0</v>
      </c>
      <c r="V88" s="2">
        <v>13.0</v>
      </c>
      <c r="W88" s="2">
        <v>15.0</v>
      </c>
      <c r="X88" s="2">
        <v>20.0</v>
      </c>
      <c r="Y88" s="2">
        <v>30.0</v>
      </c>
      <c r="Z88" s="2">
        <v>27.0</v>
      </c>
      <c r="AA88" s="2">
        <v>29.0</v>
      </c>
      <c r="AB88" s="2">
        <v>28.0</v>
      </c>
      <c r="AC88" s="2">
        <f t="shared" si="5"/>
        <v>9.95</v>
      </c>
      <c r="AD88" s="2">
        <v>25.0</v>
      </c>
      <c r="AE88" s="2">
        <v>320.0</v>
      </c>
      <c r="AF88" s="2">
        <v>1.0</v>
      </c>
      <c r="AG88" s="3">
        <f t="shared" si="6"/>
        <v>9.95</v>
      </c>
      <c r="AH88" s="3">
        <f t="shared" si="7"/>
        <v>8.625</v>
      </c>
      <c r="AI88" s="4">
        <f t="shared" si="8"/>
        <v>85.23888889</v>
      </c>
    </row>
    <row r="89" hidden="1">
      <c r="A89" s="1" t="s">
        <v>274</v>
      </c>
      <c r="B89" s="1" t="s">
        <v>275</v>
      </c>
      <c r="C89" s="2" t="s">
        <v>2</v>
      </c>
      <c r="D89" s="2" t="s">
        <v>276</v>
      </c>
      <c r="E89" s="2">
        <f>VLOOKUP(B89,'DSAI-Vikrant'!$B$2:$F$44,5)</f>
        <v>42</v>
      </c>
      <c r="F89" s="2">
        <v>40.0</v>
      </c>
      <c r="G89" s="2">
        <f t="shared" si="1"/>
        <v>41</v>
      </c>
      <c r="H89" s="2">
        <v>8.5</v>
      </c>
      <c r="I89" s="2">
        <v>16.5</v>
      </c>
      <c r="J89" s="2">
        <v>29.0</v>
      </c>
      <c r="K89" s="3">
        <f t="shared" si="2"/>
        <v>9.472222222</v>
      </c>
      <c r="L89" s="2">
        <v>100.0</v>
      </c>
      <c r="M89" s="2">
        <v>200.0</v>
      </c>
      <c r="O89" s="3">
        <f t="shared" si="3"/>
        <v>200</v>
      </c>
      <c r="P89" s="2">
        <v>90.0</v>
      </c>
      <c r="Q89" s="2">
        <f t="shared" si="4"/>
        <v>14.5</v>
      </c>
      <c r="S89" s="2">
        <v>8.0</v>
      </c>
      <c r="T89" s="2">
        <v>12.0</v>
      </c>
      <c r="U89" s="2">
        <v>7.0</v>
      </c>
      <c r="V89" s="2">
        <v>15.0</v>
      </c>
      <c r="W89" s="2">
        <v>14.0</v>
      </c>
      <c r="X89" s="2">
        <v>20.0</v>
      </c>
      <c r="Y89" s="2">
        <v>30.0</v>
      </c>
      <c r="Z89" s="2">
        <v>29.0</v>
      </c>
      <c r="AA89" s="2">
        <v>27.0</v>
      </c>
      <c r="AB89" s="2">
        <v>29.0</v>
      </c>
      <c r="AC89" s="2">
        <f t="shared" si="5"/>
        <v>9.55</v>
      </c>
      <c r="AD89" s="2">
        <v>20.0</v>
      </c>
      <c r="AE89" s="2">
        <v>45.0</v>
      </c>
      <c r="AF89" s="2">
        <v>1.0</v>
      </c>
      <c r="AG89" s="3">
        <f t="shared" si="6"/>
        <v>9.55</v>
      </c>
      <c r="AH89" s="3">
        <f t="shared" si="7"/>
        <v>1.625</v>
      </c>
      <c r="AI89" s="4">
        <f t="shared" si="8"/>
        <v>76.14722222</v>
      </c>
    </row>
    <row r="90" hidden="1">
      <c r="A90" s="1" t="s">
        <v>277</v>
      </c>
      <c r="B90" s="1" t="s">
        <v>278</v>
      </c>
      <c r="C90" s="2" t="s">
        <v>32</v>
      </c>
      <c r="D90" s="2" t="s">
        <v>279</v>
      </c>
      <c r="E90" s="2">
        <f>VLOOKUP(B90,'DSAI-Vikrant'!$B$2:$F$44,5)</f>
        <v>31</v>
      </c>
      <c r="F90" s="2">
        <v>21.0</v>
      </c>
      <c r="G90" s="2">
        <f t="shared" si="1"/>
        <v>26</v>
      </c>
      <c r="H90" s="2">
        <v>5.0</v>
      </c>
      <c r="I90" s="2">
        <v>3.5</v>
      </c>
      <c r="J90" s="2">
        <v>22.5</v>
      </c>
      <c r="K90" s="3">
        <f t="shared" si="2"/>
        <v>4.625</v>
      </c>
      <c r="L90" s="2">
        <v>70.0</v>
      </c>
      <c r="M90" s="2">
        <v>185.0</v>
      </c>
      <c r="O90" s="3">
        <f t="shared" si="3"/>
        <v>185</v>
      </c>
      <c r="P90" s="2">
        <v>92.0</v>
      </c>
      <c r="Q90" s="2">
        <f t="shared" si="4"/>
        <v>12.725</v>
      </c>
      <c r="R90" s="2">
        <v>3.0</v>
      </c>
      <c r="S90" s="2">
        <v>5.0</v>
      </c>
      <c r="T90" s="2">
        <v>0.0</v>
      </c>
      <c r="U90" s="2">
        <v>3.0</v>
      </c>
      <c r="V90" s="2">
        <v>11.0</v>
      </c>
      <c r="W90" s="2">
        <v>15.0</v>
      </c>
      <c r="X90" s="2">
        <v>8.5</v>
      </c>
      <c r="Y90" s="2">
        <v>28.0</v>
      </c>
      <c r="Z90" s="2">
        <v>30.0</v>
      </c>
      <c r="AA90" s="2">
        <v>28.0</v>
      </c>
      <c r="AB90" s="2">
        <v>27.0</v>
      </c>
      <c r="AC90" s="2">
        <f t="shared" si="5"/>
        <v>7.925</v>
      </c>
      <c r="AD90" s="2">
        <v>50.0</v>
      </c>
      <c r="AE90" s="2">
        <v>330.0</v>
      </c>
      <c r="AF90" s="2">
        <v>1.0</v>
      </c>
      <c r="AG90" s="3">
        <f t="shared" si="6"/>
        <v>7.925</v>
      </c>
      <c r="AH90" s="3">
        <f t="shared" si="7"/>
        <v>9.5</v>
      </c>
      <c r="AI90" s="4">
        <f t="shared" si="8"/>
        <v>60.775</v>
      </c>
    </row>
    <row r="91" hidden="1">
      <c r="A91" s="1" t="s">
        <v>280</v>
      </c>
      <c r="B91" s="1" t="s">
        <v>281</v>
      </c>
      <c r="C91" s="2" t="s">
        <v>2</v>
      </c>
      <c r="D91" s="2" t="s">
        <v>282</v>
      </c>
      <c r="E91" s="2">
        <f>VLOOKUP(B91,'DSAI-Vikrant'!$B$2:$F$44,5)</f>
        <v>48</v>
      </c>
      <c r="F91" s="2">
        <v>26.0</v>
      </c>
      <c r="G91" s="2">
        <f t="shared" si="1"/>
        <v>37</v>
      </c>
      <c r="H91" s="2">
        <v>11.0</v>
      </c>
      <c r="I91" s="2">
        <v>16.5</v>
      </c>
      <c r="J91" s="2">
        <v>33.0</v>
      </c>
      <c r="K91" s="3">
        <f t="shared" si="2"/>
        <v>10.54166667</v>
      </c>
      <c r="L91" s="2">
        <v>95.0</v>
      </c>
      <c r="M91" s="2">
        <v>196.0</v>
      </c>
      <c r="O91" s="3">
        <f t="shared" si="3"/>
        <v>196</v>
      </c>
      <c r="P91" s="2">
        <v>91.0</v>
      </c>
      <c r="Q91" s="2">
        <f t="shared" si="4"/>
        <v>14.2</v>
      </c>
      <c r="R91" s="2">
        <v>7.0</v>
      </c>
      <c r="S91" s="2">
        <v>7.0</v>
      </c>
      <c r="T91" s="2">
        <v>9.0</v>
      </c>
      <c r="U91" s="2">
        <v>8.0</v>
      </c>
      <c r="V91" s="2">
        <v>15.0</v>
      </c>
      <c r="W91" s="2">
        <v>15.0</v>
      </c>
      <c r="X91" s="2">
        <v>15.0</v>
      </c>
      <c r="Y91" s="2">
        <v>29.0</v>
      </c>
      <c r="Z91" s="2">
        <v>22.0</v>
      </c>
      <c r="AA91" s="2">
        <v>29.0</v>
      </c>
      <c r="AB91" s="2">
        <v>28.0</v>
      </c>
      <c r="AC91" s="2">
        <f t="shared" si="5"/>
        <v>9.2</v>
      </c>
      <c r="AD91" s="2">
        <v>30.0</v>
      </c>
      <c r="AE91" s="2">
        <v>310.0</v>
      </c>
      <c r="AF91" s="2">
        <v>1.0</v>
      </c>
      <c r="AG91" s="3">
        <f t="shared" si="6"/>
        <v>9.2</v>
      </c>
      <c r="AH91" s="3">
        <f t="shared" si="7"/>
        <v>8.5</v>
      </c>
      <c r="AI91" s="4">
        <f t="shared" si="8"/>
        <v>79.44166667</v>
      </c>
    </row>
    <row r="92" hidden="1">
      <c r="A92" s="1" t="s">
        <v>283</v>
      </c>
      <c r="B92" s="1" t="s">
        <v>284</v>
      </c>
      <c r="C92" s="2" t="s">
        <v>6</v>
      </c>
      <c r="D92" s="2" t="s">
        <v>285</v>
      </c>
      <c r="E92" s="2">
        <f>VLOOKUP(B92,'DSAI-Vikrant'!$B$2:$F$44,5)</f>
        <v>43</v>
      </c>
      <c r="F92" s="2">
        <v>35.0</v>
      </c>
      <c r="G92" s="2">
        <f t="shared" si="1"/>
        <v>39</v>
      </c>
      <c r="H92" s="2">
        <v>15.0</v>
      </c>
      <c r="I92" s="2">
        <v>18.5</v>
      </c>
      <c r="J92" s="2">
        <v>36.0</v>
      </c>
      <c r="K92" s="3">
        <f t="shared" si="2"/>
        <v>12.375</v>
      </c>
      <c r="L92" s="2">
        <v>90.0</v>
      </c>
      <c r="M92" s="2">
        <v>192.0</v>
      </c>
      <c r="O92" s="3">
        <f t="shared" si="3"/>
        <v>192</v>
      </c>
      <c r="P92" s="2">
        <v>93.0</v>
      </c>
      <c r="Q92" s="2">
        <f t="shared" si="4"/>
        <v>13.95</v>
      </c>
      <c r="R92" s="2">
        <v>7.0</v>
      </c>
      <c r="S92" s="2">
        <v>7.0</v>
      </c>
      <c r="T92" s="2">
        <v>0.0</v>
      </c>
      <c r="U92" s="2">
        <v>8.0</v>
      </c>
      <c r="V92" s="2">
        <v>13.0</v>
      </c>
      <c r="W92" s="2">
        <v>15.0</v>
      </c>
      <c r="X92" s="2">
        <v>20.0</v>
      </c>
      <c r="Y92" s="2">
        <v>29.0</v>
      </c>
      <c r="Z92" s="2">
        <v>26.0</v>
      </c>
      <c r="AA92" s="2">
        <v>29.0</v>
      </c>
      <c r="AB92" s="2">
        <v>29.0</v>
      </c>
      <c r="AC92" s="2">
        <f t="shared" si="5"/>
        <v>9.15</v>
      </c>
      <c r="AD92" s="2">
        <v>50.0</v>
      </c>
      <c r="AE92" s="2">
        <v>330.0</v>
      </c>
      <c r="AF92" s="2">
        <v>1.0</v>
      </c>
      <c r="AG92" s="3">
        <f t="shared" si="6"/>
        <v>9.15</v>
      </c>
      <c r="AH92" s="3">
        <f t="shared" si="7"/>
        <v>9.5</v>
      </c>
      <c r="AI92" s="4">
        <f t="shared" si="8"/>
        <v>83.975</v>
      </c>
    </row>
    <row r="93" hidden="1">
      <c r="A93" s="1" t="s">
        <v>286</v>
      </c>
      <c r="B93" s="1" t="s">
        <v>287</v>
      </c>
      <c r="C93" s="2" t="s">
        <v>6</v>
      </c>
      <c r="D93" s="2" t="s">
        <v>288</v>
      </c>
      <c r="E93" s="2">
        <f>VLOOKUP(B93,'DSAI-Vikrant'!$B$2:$F$44,5)</f>
        <v>52</v>
      </c>
      <c r="F93" s="2">
        <v>27.0</v>
      </c>
      <c r="G93" s="2">
        <f t="shared" si="1"/>
        <v>39.5</v>
      </c>
      <c r="H93" s="2">
        <v>14.0</v>
      </c>
      <c r="I93" s="2">
        <v>14.0</v>
      </c>
      <c r="J93" s="2">
        <v>20.5</v>
      </c>
      <c r="K93" s="3">
        <f t="shared" si="2"/>
        <v>9.277777778</v>
      </c>
      <c r="L93" s="2">
        <v>95.0</v>
      </c>
      <c r="M93" s="2">
        <v>199.0</v>
      </c>
      <c r="O93" s="3">
        <f t="shared" si="3"/>
        <v>199</v>
      </c>
      <c r="P93" s="2">
        <v>95.0</v>
      </c>
      <c r="Q93" s="2">
        <f t="shared" si="4"/>
        <v>14.475</v>
      </c>
      <c r="R93" s="2">
        <v>7.0</v>
      </c>
      <c r="S93" s="2">
        <v>3.0</v>
      </c>
      <c r="T93" s="2">
        <v>8.0</v>
      </c>
      <c r="U93" s="2">
        <v>0.0</v>
      </c>
      <c r="V93" s="2">
        <v>15.0</v>
      </c>
      <c r="W93" s="2">
        <v>15.0</v>
      </c>
      <c r="X93" s="2">
        <v>20.0</v>
      </c>
      <c r="Y93" s="2">
        <v>30.0</v>
      </c>
      <c r="Z93" s="2">
        <v>28.0</v>
      </c>
      <c r="AA93" s="2">
        <v>28.0</v>
      </c>
      <c r="AB93" s="2">
        <v>28.0</v>
      </c>
      <c r="AC93" s="2">
        <f t="shared" si="5"/>
        <v>9.1</v>
      </c>
      <c r="AD93" s="2">
        <v>10.0</v>
      </c>
      <c r="AE93" s="2">
        <v>335.0</v>
      </c>
      <c r="AF93" s="2">
        <v>1.0</v>
      </c>
      <c r="AG93" s="3">
        <f t="shared" si="6"/>
        <v>9.1</v>
      </c>
      <c r="AH93" s="3">
        <f t="shared" si="7"/>
        <v>8.625</v>
      </c>
      <c r="AI93" s="4">
        <f t="shared" si="8"/>
        <v>80.97777778</v>
      </c>
    </row>
    <row r="94" hidden="1">
      <c r="A94" s="1" t="s">
        <v>289</v>
      </c>
      <c r="B94" s="1" t="s">
        <v>290</v>
      </c>
      <c r="C94" s="2" t="s">
        <v>6</v>
      </c>
      <c r="D94" s="2" t="s">
        <v>291</v>
      </c>
      <c r="E94" s="2">
        <f>VLOOKUP(B94,'DSAI-Vikrant'!$B$2:$F$44,5)</f>
        <v>43</v>
      </c>
      <c r="F94" s="2">
        <v>35.0</v>
      </c>
      <c r="G94" s="2">
        <f t="shared" si="1"/>
        <v>39</v>
      </c>
      <c r="H94" s="2">
        <v>14.5</v>
      </c>
      <c r="I94" s="2">
        <v>19.0</v>
      </c>
      <c r="J94" s="2">
        <v>34.0</v>
      </c>
      <c r="K94" s="3">
        <f t="shared" si="2"/>
        <v>12.15277778</v>
      </c>
      <c r="L94" s="2">
        <v>80.0</v>
      </c>
      <c r="M94" s="2">
        <v>192.0</v>
      </c>
      <c r="O94" s="3">
        <f t="shared" si="3"/>
        <v>192</v>
      </c>
      <c r="P94" s="2">
        <v>86.0</v>
      </c>
      <c r="Q94" s="2">
        <f t="shared" si="4"/>
        <v>13.1</v>
      </c>
      <c r="R94" s="2">
        <v>6.0</v>
      </c>
      <c r="S94" s="2">
        <v>6.0</v>
      </c>
      <c r="T94" s="2">
        <v>12.0</v>
      </c>
      <c r="U94" s="2">
        <v>8.0</v>
      </c>
      <c r="V94" s="2">
        <v>13.0</v>
      </c>
      <c r="W94" s="2">
        <v>13.0</v>
      </c>
      <c r="X94" s="2">
        <v>20.0</v>
      </c>
      <c r="Y94" s="2">
        <v>26.0</v>
      </c>
      <c r="Z94" s="2">
        <v>23.0</v>
      </c>
      <c r="AA94" s="2">
        <v>29.0</v>
      </c>
      <c r="AB94" s="2">
        <v>28.0</v>
      </c>
      <c r="AC94" s="2">
        <f t="shared" si="5"/>
        <v>9.2</v>
      </c>
      <c r="AD94" s="2">
        <v>40.0</v>
      </c>
      <c r="AE94" s="2">
        <v>330.0</v>
      </c>
      <c r="AF94" s="2">
        <v>1.0</v>
      </c>
      <c r="AG94" s="3">
        <f t="shared" si="6"/>
        <v>9.2</v>
      </c>
      <c r="AH94" s="3">
        <f t="shared" si="7"/>
        <v>9.25</v>
      </c>
      <c r="AI94" s="4">
        <f t="shared" si="8"/>
        <v>82.70277778</v>
      </c>
    </row>
    <row r="95" hidden="1">
      <c r="A95" s="1" t="s">
        <v>292</v>
      </c>
      <c r="B95" s="1" t="s">
        <v>293</v>
      </c>
      <c r="C95" s="2" t="s">
        <v>25</v>
      </c>
      <c r="D95" s="2" t="s">
        <v>292</v>
      </c>
      <c r="E95" s="2">
        <f>VLOOKUP(B95,'DSAI-Vikrant'!$B$2:$F$44,5)</f>
        <v>35</v>
      </c>
      <c r="F95" s="2">
        <v>19.0</v>
      </c>
      <c r="G95" s="2">
        <f t="shared" si="1"/>
        <v>27</v>
      </c>
      <c r="H95" s="2">
        <v>10.0</v>
      </c>
      <c r="I95" s="2">
        <v>11.5</v>
      </c>
      <c r="J95" s="2">
        <v>29.0</v>
      </c>
      <c r="K95" s="3">
        <f t="shared" si="2"/>
        <v>8.597222222</v>
      </c>
      <c r="L95" s="2">
        <v>85.0</v>
      </c>
      <c r="M95" s="2">
        <v>180.0</v>
      </c>
      <c r="O95" s="3">
        <f t="shared" si="3"/>
        <v>180</v>
      </c>
      <c r="P95" s="2">
        <v>87.0</v>
      </c>
      <c r="Q95" s="2">
        <f t="shared" si="4"/>
        <v>13.1</v>
      </c>
      <c r="R95" s="2">
        <v>7.0</v>
      </c>
      <c r="S95" s="2">
        <v>2.0</v>
      </c>
      <c r="T95" s="2">
        <v>13.0</v>
      </c>
      <c r="U95" s="2">
        <v>8.0</v>
      </c>
      <c r="V95" s="2">
        <v>15.0</v>
      </c>
      <c r="W95" s="2">
        <v>15.0</v>
      </c>
      <c r="X95" s="2">
        <v>18.0</v>
      </c>
      <c r="Y95" s="2">
        <v>21.0</v>
      </c>
      <c r="Z95" s="2">
        <v>24.0</v>
      </c>
      <c r="AA95" s="2">
        <v>28.0</v>
      </c>
      <c r="AB95" s="2">
        <v>28.0</v>
      </c>
      <c r="AC95" s="2">
        <f t="shared" si="5"/>
        <v>8.95</v>
      </c>
      <c r="AD95" s="2">
        <v>30.0</v>
      </c>
      <c r="AE95" s="2">
        <v>300.0</v>
      </c>
      <c r="AF95" s="2">
        <v>1.0</v>
      </c>
      <c r="AG95" s="3">
        <f t="shared" si="6"/>
        <v>8.95</v>
      </c>
      <c r="AH95" s="3">
        <f t="shared" si="7"/>
        <v>8.25</v>
      </c>
      <c r="AI95" s="4">
        <f t="shared" si="8"/>
        <v>65.89722222</v>
      </c>
    </row>
    <row r="96" hidden="1">
      <c r="A96" s="1" t="s">
        <v>294</v>
      </c>
      <c r="B96" s="1" t="s">
        <v>295</v>
      </c>
      <c r="C96" s="2" t="s">
        <v>32</v>
      </c>
      <c r="D96" s="2" t="s">
        <v>296</v>
      </c>
      <c r="E96" s="2">
        <f>VLOOKUP(B96,'DSAI-Vikrant'!$B$2:$F$44,5)</f>
        <v>35</v>
      </c>
      <c r="F96" s="2">
        <v>17.0</v>
      </c>
      <c r="G96" s="2">
        <f t="shared" si="1"/>
        <v>26</v>
      </c>
      <c r="H96" s="2">
        <v>3.0</v>
      </c>
      <c r="I96" s="2">
        <v>10.5</v>
      </c>
      <c r="J96" s="2">
        <v>21.0</v>
      </c>
      <c r="K96" s="3">
        <f t="shared" si="2"/>
        <v>5.708333333</v>
      </c>
      <c r="L96" s="2">
        <v>90.0</v>
      </c>
      <c r="M96" s="2">
        <v>0.0</v>
      </c>
      <c r="N96" s="2">
        <v>165.0</v>
      </c>
      <c r="O96" s="3">
        <f t="shared" si="3"/>
        <v>165</v>
      </c>
      <c r="P96" s="2">
        <v>85.0</v>
      </c>
      <c r="Q96" s="2">
        <f t="shared" si="4"/>
        <v>12.875</v>
      </c>
      <c r="R96" s="2">
        <v>7.0</v>
      </c>
      <c r="S96" s="2">
        <v>3.0</v>
      </c>
      <c r="T96" s="2">
        <v>7.0</v>
      </c>
      <c r="U96" s="2">
        <v>6.0</v>
      </c>
      <c r="V96" s="2">
        <v>14.0</v>
      </c>
      <c r="W96" s="2">
        <v>12.0</v>
      </c>
      <c r="X96" s="2">
        <v>15.0</v>
      </c>
      <c r="Y96" s="2">
        <v>28.0</v>
      </c>
      <c r="Z96" s="2">
        <v>30.0</v>
      </c>
      <c r="AA96" s="2">
        <v>30.0</v>
      </c>
      <c r="AC96" s="2">
        <f t="shared" si="5"/>
        <v>7.6</v>
      </c>
      <c r="AD96" s="2">
        <v>50.0</v>
      </c>
      <c r="AE96" s="2">
        <v>340.0</v>
      </c>
      <c r="AF96" s="2">
        <v>1.0</v>
      </c>
      <c r="AG96" s="3">
        <f t="shared" si="6"/>
        <v>7.6</v>
      </c>
      <c r="AH96" s="3">
        <f t="shared" si="7"/>
        <v>9.75</v>
      </c>
      <c r="AI96" s="4">
        <f t="shared" si="8"/>
        <v>61.93333333</v>
      </c>
    </row>
    <row r="97" hidden="1">
      <c r="A97" s="1" t="s">
        <v>297</v>
      </c>
      <c r="B97" s="1" t="s">
        <v>298</v>
      </c>
      <c r="C97" s="2" t="s">
        <v>222</v>
      </c>
      <c r="D97" s="2" t="s">
        <v>299</v>
      </c>
      <c r="E97" s="2">
        <f>VLOOKUP(B97,'DSAI-Vikrant'!$B$2:$F$44,5)</f>
        <v>15</v>
      </c>
      <c r="F97" s="2">
        <v>18.0</v>
      </c>
      <c r="G97" s="2">
        <f t="shared" si="1"/>
        <v>16.5</v>
      </c>
      <c r="H97" s="2">
        <v>7.0</v>
      </c>
      <c r="I97" s="2">
        <v>0.0</v>
      </c>
      <c r="J97" s="2">
        <v>5.5</v>
      </c>
      <c r="K97" s="3">
        <f t="shared" si="2"/>
        <v>2.361111111</v>
      </c>
      <c r="L97" s="2">
        <v>30.0</v>
      </c>
      <c r="M97" s="2">
        <v>165.0</v>
      </c>
      <c r="O97" s="3">
        <f t="shared" si="3"/>
        <v>165</v>
      </c>
      <c r="P97" s="2">
        <v>0.0</v>
      </c>
      <c r="Q97" s="2">
        <f t="shared" si="4"/>
        <v>5.625</v>
      </c>
      <c r="S97" s="2">
        <v>4.0</v>
      </c>
      <c r="T97" s="2">
        <v>8.0</v>
      </c>
      <c r="U97" s="2">
        <v>4.0</v>
      </c>
      <c r="V97" s="2">
        <v>15.0</v>
      </c>
      <c r="W97" s="2">
        <v>15.0</v>
      </c>
      <c r="X97" s="2">
        <v>15.0</v>
      </c>
      <c r="Y97" s="2">
        <v>0.0</v>
      </c>
      <c r="Z97" s="2">
        <v>0.0</v>
      </c>
      <c r="AA97" s="2">
        <v>30.0</v>
      </c>
      <c r="AB97" s="2">
        <v>26.0</v>
      </c>
      <c r="AC97" s="2">
        <f t="shared" si="5"/>
        <v>5.85</v>
      </c>
      <c r="AD97" s="2">
        <v>10.0</v>
      </c>
      <c r="AE97" s="2">
        <v>310.0</v>
      </c>
      <c r="AF97" s="2">
        <v>1.0</v>
      </c>
      <c r="AG97" s="3">
        <f t="shared" si="6"/>
        <v>5.85</v>
      </c>
      <c r="AH97" s="3">
        <f t="shared" si="7"/>
        <v>8</v>
      </c>
      <c r="AI97" s="4">
        <f t="shared" si="8"/>
        <v>38.33611111</v>
      </c>
    </row>
    <row r="98" hidden="1">
      <c r="A98" s="1" t="s">
        <v>300</v>
      </c>
      <c r="B98" s="1" t="s">
        <v>301</v>
      </c>
      <c r="C98" s="2" t="s">
        <v>2</v>
      </c>
      <c r="D98" s="2" t="s">
        <v>302</v>
      </c>
      <c r="E98" s="2">
        <f>VLOOKUP(B98,'DSAI-Vikrant'!$B$2:$F$44,5)</f>
        <v>44</v>
      </c>
      <c r="F98" s="2">
        <v>34.0</v>
      </c>
      <c r="G98" s="2">
        <f t="shared" si="1"/>
        <v>39</v>
      </c>
      <c r="H98" s="2">
        <v>10.0</v>
      </c>
      <c r="I98" s="2">
        <v>12.5</v>
      </c>
      <c r="J98" s="2">
        <v>17.5</v>
      </c>
      <c r="K98" s="3">
        <f t="shared" si="2"/>
        <v>7.569444444</v>
      </c>
      <c r="L98" s="2">
        <v>90.0</v>
      </c>
      <c r="M98" s="2">
        <v>174.0</v>
      </c>
      <c r="O98" s="3">
        <f t="shared" si="3"/>
        <v>174</v>
      </c>
      <c r="P98" s="2">
        <v>90.0</v>
      </c>
      <c r="Q98" s="2">
        <f t="shared" si="4"/>
        <v>13.35</v>
      </c>
      <c r="R98" s="2">
        <v>6.0</v>
      </c>
      <c r="S98" s="2">
        <v>9.0</v>
      </c>
      <c r="T98" s="2">
        <v>7.0</v>
      </c>
      <c r="U98" s="2">
        <v>7.0</v>
      </c>
      <c r="V98" s="2">
        <v>15.0</v>
      </c>
      <c r="W98" s="2">
        <v>15.0</v>
      </c>
      <c r="X98" s="2">
        <v>20.0</v>
      </c>
      <c r="Y98" s="2">
        <v>28.0</v>
      </c>
      <c r="Z98" s="2">
        <v>29.0</v>
      </c>
      <c r="AA98" s="2">
        <v>29.0</v>
      </c>
      <c r="AB98" s="2">
        <v>29.0</v>
      </c>
      <c r="AC98" s="2">
        <f t="shared" si="5"/>
        <v>9.7</v>
      </c>
      <c r="AD98" s="2">
        <v>50.0</v>
      </c>
      <c r="AE98" s="2">
        <v>335.0</v>
      </c>
      <c r="AF98" s="2">
        <v>1.0</v>
      </c>
      <c r="AG98" s="3">
        <f t="shared" si="6"/>
        <v>9.7</v>
      </c>
      <c r="AH98" s="3">
        <f t="shared" si="7"/>
        <v>9.625</v>
      </c>
      <c r="AI98" s="4">
        <f t="shared" si="8"/>
        <v>79.24444444</v>
      </c>
    </row>
    <row r="99" hidden="1">
      <c r="A99" s="1" t="s">
        <v>303</v>
      </c>
      <c r="B99" s="1" t="s">
        <v>304</v>
      </c>
      <c r="C99" s="2" t="s">
        <v>2</v>
      </c>
      <c r="D99" s="2" t="s">
        <v>305</v>
      </c>
      <c r="E99" s="2">
        <f>VLOOKUP(B99,'DSAI-Vikrant'!$B$2:$F$44,5)</f>
        <v>45</v>
      </c>
      <c r="F99" s="2">
        <v>29.0</v>
      </c>
      <c r="G99" s="2">
        <f t="shared" si="1"/>
        <v>37</v>
      </c>
      <c r="H99" s="2">
        <v>13.0</v>
      </c>
      <c r="I99" s="2">
        <v>14.0</v>
      </c>
      <c r="J99" s="2">
        <v>32.0</v>
      </c>
      <c r="K99" s="3">
        <f t="shared" si="2"/>
        <v>10.30555556</v>
      </c>
      <c r="L99" s="2">
        <v>95.0</v>
      </c>
      <c r="M99" s="2">
        <v>137.0</v>
      </c>
      <c r="O99" s="3">
        <f t="shared" si="3"/>
        <v>137</v>
      </c>
      <c r="P99" s="2">
        <v>86.0</v>
      </c>
      <c r="Q99" s="2">
        <f t="shared" si="4"/>
        <v>12.475</v>
      </c>
      <c r="R99" s="2">
        <v>7.0</v>
      </c>
      <c r="S99" s="2">
        <v>6.0</v>
      </c>
      <c r="T99" s="2">
        <v>14.0</v>
      </c>
      <c r="U99" s="2">
        <v>12.0</v>
      </c>
      <c r="V99" s="2">
        <v>14.0</v>
      </c>
      <c r="W99" s="2">
        <v>15.0</v>
      </c>
      <c r="X99" s="2">
        <v>14.0</v>
      </c>
      <c r="Y99" s="2">
        <v>30.0</v>
      </c>
      <c r="Z99" s="2">
        <v>22.0</v>
      </c>
      <c r="AA99" s="2">
        <v>28.0</v>
      </c>
      <c r="AB99" s="2">
        <v>28.0</v>
      </c>
      <c r="AC99" s="2">
        <f t="shared" si="5"/>
        <v>9.5</v>
      </c>
      <c r="AD99" s="2">
        <v>20.0</v>
      </c>
      <c r="AE99" s="2">
        <v>330.0</v>
      </c>
      <c r="AF99" s="2">
        <v>1.0</v>
      </c>
      <c r="AG99" s="3">
        <f t="shared" si="6"/>
        <v>9.5</v>
      </c>
      <c r="AH99" s="3">
        <f t="shared" si="7"/>
        <v>8.75</v>
      </c>
      <c r="AI99" s="4">
        <f t="shared" si="8"/>
        <v>78.03055556</v>
      </c>
    </row>
    <row r="100" hidden="1">
      <c r="A100" s="1" t="s">
        <v>306</v>
      </c>
      <c r="B100" s="1" t="s">
        <v>307</v>
      </c>
      <c r="C100" s="2" t="s">
        <v>6</v>
      </c>
      <c r="D100" s="2" t="s">
        <v>308</v>
      </c>
      <c r="E100" s="2">
        <f>VLOOKUP(B100,'DSAI-Vikrant'!$B$2:$F$44,5)</f>
        <v>48</v>
      </c>
      <c r="F100" s="2">
        <v>37.0</v>
      </c>
      <c r="G100" s="2">
        <f t="shared" si="1"/>
        <v>42.5</v>
      </c>
      <c r="H100" s="2">
        <v>16.0</v>
      </c>
      <c r="I100" s="2">
        <v>14.5</v>
      </c>
      <c r="J100" s="2">
        <v>33.5</v>
      </c>
      <c r="K100" s="3">
        <f t="shared" si="2"/>
        <v>11.34722222</v>
      </c>
      <c r="L100" s="2">
        <v>85.0</v>
      </c>
      <c r="M100" s="2">
        <v>194.0</v>
      </c>
      <c r="O100" s="3">
        <f t="shared" si="3"/>
        <v>194</v>
      </c>
      <c r="P100" s="2">
        <v>88.0</v>
      </c>
      <c r="Q100" s="2">
        <f t="shared" si="4"/>
        <v>13.5</v>
      </c>
      <c r="R100" s="2">
        <v>7.0</v>
      </c>
      <c r="S100" s="2">
        <v>7.0</v>
      </c>
      <c r="T100" s="2">
        <v>13.0</v>
      </c>
      <c r="U100" s="2">
        <v>12.0</v>
      </c>
      <c r="V100" s="2">
        <v>13.0</v>
      </c>
      <c r="W100" s="2">
        <v>12.0</v>
      </c>
      <c r="X100" s="2">
        <v>19.0</v>
      </c>
      <c r="Y100" s="2">
        <v>29.0</v>
      </c>
      <c r="Z100" s="2">
        <v>26.0</v>
      </c>
      <c r="AA100" s="2">
        <v>29.0</v>
      </c>
      <c r="AB100" s="2">
        <v>29.0</v>
      </c>
      <c r="AC100" s="2">
        <f t="shared" si="5"/>
        <v>9.8</v>
      </c>
      <c r="AD100" s="2">
        <v>50.0</v>
      </c>
      <c r="AE100" s="2">
        <v>330.0</v>
      </c>
      <c r="AF100" s="2">
        <v>1.0</v>
      </c>
      <c r="AG100" s="3">
        <f t="shared" si="6"/>
        <v>9.8</v>
      </c>
      <c r="AH100" s="3">
        <f t="shared" si="7"/>
        <v>9.5</v>
      </c>
      <c r="AI100" s="4">
        <f t="shared" si="8"/>
        <v>86.64722222</v>
      </c>
    </row>
    <row r="101" hidden="1">
      <c r="A101" s="1" t="s">
        <v>309</v>
      </c>
      <c r="B101" s="1" t="s">
        <v>310</v>
      </c>
      <c r="C101" s="2" t="s">
        <v>59</v>
      </c>
      <c r="D101" s="2" t="s">
        <v>311</v>
      </c>
      <c r="E101" s="2">
        <f>VLOOKUP(B101,'DSAI-Vikrant'!$B$2:$F$44,5)</f>
        <v>30</v>
      </c>
      <c r="F101" s="2">
        <v>3.0</v>
      </c>
      <c r="G101" s="2">
        <f t="shared" si="1"/>
        <v>16.5</v>
      </c>
      <c r="I101" s="2">
        <v>11.0</v>
      </c>
      <c r="J101" s="2">
        <v>10.0</v>
      </c>
      <c r="K101" s="3">
        <f t="shared" si="2"/>
        <v>3.861111111</v>
      </c>
      <c r="L101" s="2">
        <v>100.0</v>
      </c>
      <c r="M101" s="2">
        <v>100.0</v>
      </c>
      <c r="O101" s="3">
        <f t="shared" si="3"/>
        <v>100</v>
      </c>
      <c r="P101" s="2">
        <v>80.0</v>
      </c>
      <c r="Q101" s="2">
        <f t="shared" si="4"/>
        <v>11.5</v>
      </c>
      <c r="R101" s="2">
        <v>7.0</v>
      </c>
      <c r="S101" s="2">
        <v>4.0</v>
      </c>
      <c r="T101" s="2">
        <v>8.0</v>
      </c>
      <c r="U101" s="2">
        <v>7.0</v>
      </c>
      <c r="V101" s="2">
        <v>15.0</v>
      </c>
      <c r="W101" s="2">
        <v>15.0</v>
      </c>
      <c r="X101" s="2">
        <v>19.0</v>
      </c>
      <c r="Y101" s="2">
        <v>0.0</v>
      </c>
      <c r="Z101" s="2">
        <v>0.0</v>
      </c>
      <c r="AA101" s="2">
        <v>30.0</v>
      </c>
      <c r="AB101" s="2">
        <v>28.0</v>
      </c>
      <c r="AC101" s="2">
        <f t="shared" si="5"/>
        <v>6.65</v>
      </c>
      <c r="AD101" s="2">
        <v>30.0</v>
      </c>
      <c r="AE101" s="2">
        <v>335.0</v>
      </c>
      <c r="AF101" s="2">
        <v>1.0</v>
      </c>
      <c r="AG101" s="3">
        <f t="shared" si="6"/>
        <v>6.65</v>
      </c>
      <c r="AH101" s="3">
        <f t="shared" si="7"/>
        <v>9.125</v>
      </c>
      <c r="AI101" s="4">
        <f t="shared" si="8"/>
        <v>47.63611111</v>
      </c>
    </row>
    <row r="102" hidden="1">
      <c r="A102" s="1" t="s">
        <v>312</v>
      </c>
      <c r="B102" s="1" t="s">
        <v>313</v>
      </c>
      <c r="C102" s="2" t="s">
        <v>55</v>
      </c>
      <c r="D102" s="2" t="s">
        <v>314</v>
      </c>
      <c r="E102" s="2">
        <f>VLOOKUP(B102,'DSAI-Vikrant'!$B$2:$F$44,5)</f>
        <v>18</v>
      </c>
      <c r="F102" s="2">
        <v>22.0</v>
      </c>
      <c r="G102" s="2">
        <f t="shared" si="1"/>
        <v>20</v>
      </c>
      <c r="H102" s="2">
        <v>8.0</v>
      </c>
      <c r="I102" s="2">
        <v>7.0</v>
      </c>
      <c r="J102" s="2">
        <v>6.0</v>
      </c>
      <c r="K102" s="3">
        <f t="shared" si="2"/>
        <v>4.416666667</v>
      </c>
      <c r="L102" s="2">
        <v>75.0</v>
      </c>
      <c r="M102" s="2">
        <v>0.0</v>
      </c>
      <c r="N102" s="2">
        <v>175.0</v>
      </c>
      <c r="O102" s="3">
        <f t="shared" si="3"/>
        <v>175</v>
      </c>
      <c r="P102" s="2">
        <v>87.0</v>
      </c>
      <c r="Q102" s="2">
        <f t="shared" si="4"/>
        <v>12.475</v>
      </c>
      <c r="R102" s="2">
        <v>7.0</v>
      </c>
      <c r="T102" s="2">
        <v>8.0</v>
      </c>
      <c r="U102" s="2">
        <v>0.0</v>
      </c>
      <c r="V102" s="2">
        <v>14.0</v>
      </c>
      <c r="W102" s="2">
        <v>14.0</v>
      </c>
      <c r="X102" s="2">
        <v>20.0</v>
      </c>
      <c r="Y102" s="2">
        <v>0.0</v>
      </c>
      <c r="Z102" s="2">
        <v>0.0</v>
      </c>
      <c r="AA102" s="2">
        <v>28.0</v>
      </c>
      <c r="AB102" s="2">
        <v>30.0</v>
      </c>
      <c r="AC102" s="2">
        <f t="shared" si="5"/>
        <v>6.05</v>
      </c>
      <c r="AD102" s="2">
        <v>30.0</v>
      </c>
      <c r="AE102" s="2">
        <v>320.0</v>
      </c>
      <c r="AF102" s="2">
        <v>1.0</v>
      </c>
      <c r="AG102" s="3">
        <f t="shared" si="6"/>
        <v>6.05</v>
      </c>
      <c r="AH102" s="3">
        <f t="shared" si="7"/>
        <v>8.75</v>
      </c>
      <c r="AI102" s="4">
        <f t="shared" si="8"/>
        <v>51.69166667</v>
      </c>
    </row>
    <row r="103" hidden="1">
      <c r="A103" s="1" t="s">
        <v>315</v>
      </c>
      <c r="B103" s="1" t="s">
        <v>316</v>
      </c>
      <c r="C103" s="2" t="s">
        <v>2</v>
      </c>
      <c r="D103" s="2" t="s">
        <v>317</v>
      </c>
      <c r="E103" s="2">
        <f>VLOOKUP(B103,'DSAI-Vikrant'!$B$2:$F$44,5)</f>
        <v>48</v>
      </c>
      <c r="F103" s="2">
        <v>26.0</v>
      </c>
      <c r="G103" s="2">
        <f t="shared" si="1"/>
        <v>37</v>
      </c>
      <c r="H103" s="2">
        <v>10.0</v>
      </c>
      <c r="I103" s="2">
        <v>17.0</v>
      </c>
      <c r="J103" s="2">
        <v>23.0</v>
      </c>
      <c r="K103" s="3">
        <f t="shared" si="2"/>
        <v>9.305555556</v>
      </c>
      <c r="L103" s="2">
        <v>80.0</v>
      </c>
      <c r="M103" s="2">
        <v>180.0</v>
      </c>
      <c r="O103" s="3">
        <f t="shared" si="3"/>
        <v>180</v>
      </c>
      <c r="P103" s="2">
        <v>88.0</v>
      </c>
      <c r="Q103" s="2">
        <f t="shared" si="4"/>
        <v>12.9</v>
      </c>
      <c r="R103" s="2">
        <v>6.0</v>
      </c>
      <c r="S103" s="2">
        <v>7.0</v>
      </c>
      <c r="T103" s="2">
        <v>8.0</v>
      </c>
      <c r="U103" s="2">
        <v>11.0</v>
      </c>
      <c r="V103" s="2">
        <v>12.0</v>
      </c>
      <c r="W103" s="2">
        <v>13.0</v>
      </c>
      <c r="X103" s="2">
        <v>20.0</v>
      </c>
      <c r="Y103" s="2">
        <v>28.0</v>
      </c>
      <c r="Z103" s="2">
        <v>23.0</v>
      </c>
      <c r="AA103" s="2">
        <v>28.0</v>
      </c>
      <c r="AB103" s="2">
        <v>28.0</v>
      </c>
      <c r="AC103" s="2">
        <f t="shared" si="5"/>
        <v>9.2</v>
      </c>
      <c r="AD103" s="2">
        <v>40.0</v>
      </c>
      <c r="AE103" s="2">
        <v>330.0</v>
      </c>
      <c r="AF103" s="2">
        <v>1.0</v>
      </c>
      <c r="AG103" s="3">
        <f t="shared" si="6"/>
        <v>9.2</v>
      </c>
      <c r="AH103" s="3">
        <f t="shared" si="7"/>
        <v>9.25</v>
      </c>
      <c r="AI103" s="4">
        <f t="shared" si="8"/>
        <v>77.65555556</v>
      </c>
    </row>
    <row r="104" hidden="1">
      <c r="A104" s="1" t="s">
        <v>318</v>
      </c>
      <c r="B104" s="1" t="s">
        <v>319</v>
      </c>
      <c r="C104" s="2" t="s">
        <v>2</v>
      </c>
      <c r="D104" s="2" t="s">
        <v>320</v>
      </c>
      <c r="E104" s="2">
        <f>VLOOKUP(B104,'DSAI-Vikrant'!$B$2:$F$44,5)</f>
        <v>46</v>
      </c>
      <c r="F104" s="2">
        <v>26.0</v>
      </c>
      <c r="G104" s="2">
        <f t="shared" si="1"/>
        <v>36</v>
      </c>
      <c r="H104" s="2">
        <v>12.0</v>
      </c>
      <c r="I104" s="2">
        <v>12.0</v>
      </c>
      <c r="J104" s="2">
        <v>30.0</v>
      </c>
      <c r="K104" s="3">
        <f t="shared" si="2"/>
        <v>9.333333333</v>
      </c>
      <c r="L104" s="2">
        <v>85.0</v>
      </c>
      <c r="M104" s="2">
        <v>200.0</v>
      </c>
      <c r="O104" s="3">
        <f t="shared" si="3"/>
        <v>200</v>
      </c>
      <c r="P104" s="2">
        <v>90.0</v>
      </c>
      <c r="Q104" s="2">
        <f t="shared" si="4"/>
        <v>13.75</v>
      </c>
      <c r="R104" s="2">
        <v>6.0</v>
      </c>
      <c r="S104" s="2">
        <v>3.0</v>
      </c>
      <c r="T104" s="2">
        <v>12.0</v>
      </c>
      <c r="U104" s="2">
        <v>11.0</v>
      </c>
      <c r="V104" s="2">
        <v>10.0</v>
      </c>
      <c r="W104" s="2">
        <v>0.0</v>
      </c>
      <c r="X104" s="2">
        <v>14.0</v>
      </c>
      <c r="Y104" s="2">
        <v>26.0</v>
      </c>
      <c r="Z104" s="2">
        <v>28.0</v>
      </c>
      <c r="AA104" s="2">
        <v>28.0</v>
      </c>
      <c r="AB104" s="2">
        <v>28.0</v>
      </c>
      <c r="AC104" s="2">
        <f t="shared" si="5"/>
        <v>8.3</v>
      </c>
      <c r="AD104" s="2">
        <v>0.0</v>
      </c>
      <c r="AE104" s="2">
        <v>310.0</v>
      </c>
      <c r="AF104" s="2">
        <v>1.0</v>
      </c>
      <c r="AG104" s="3">
        <f t="shared" si="6"/>
        <v>8.3</v>
      </c>
      <c r="AH104" s="3">
        <f t="shared" si="7"/>
        <v>7.75</v>
      </c>
      <c r="AI104" s="4">
        <f t="shared" si="8"/>
        <v>75.13333333</v>
      </c>
    </row>
    <row r="105" hidden="1">
      <c r="A105" s="1" t="s">
        <v>321</v>
      </c>
      <c r="B105" s="1" t="s">
        <v>322</v>
      </c>
      <c r="C105" s="2" t="s">
        <v>55</v>
      </c>
      <c r="D105" s="2" t="s">
        <v>323</v>
      </c>
      <c r="E105" s="2">
        <f>VLOOKUP(B105,'DSAI-Vikrant'!$B$2:$F$44,5)</f>
        <v>27</v>
      </c>
      <c r="F105" s="2">
        <v>13.0</v>
      </c>
      <c r="G105" s="2">
        <f t="shared" si="1"/>
        <v>20</v>
      </c>
      <c r="H105" s="2">
        <v>10.0</v>
      </c>
      <c r="I105" s="2">
        <v>5.0</v>
      </c>
      <c r="J105" s="2">
        <v>15.5</v>
      </c>
      <c r="K105" s="3">
        <f t="shared" si="2"/>
        <v>5.472222222</v>
      </c>
      <c r="L105" s="2">
        <v>80.0</v>
      </c>
      <c r="M105" s="2">
        <v>0.0</v>
      </c>
      <c r="N105" s="2">
        <v>175.0</v>
      </c>
      <c r="O105" s="3">
        <f t="shared" si="3"/>
        <v>175</v>
      </c>
      <c r="P105" s="2">
        <v>92.0</v>
      </c>
      <c r="Q105" s="2">
        <f t="shared" si="4"/>
        <v>12.975</v>
      </c>
      <c r="R105" s="2">
        <v>5.0</v>
      </c>
      <c r="S105" s="2">
        <v>4.0</v>
      </c>
      <c r="T105" s="2">
        <v>7.0</v>
      </c>
      <c r="U105" s="2">
        <v>11.0</v>
      </c>
      <c r="V105" s="2">
        <v>14.0</v>
      </c>
      <c r="W105" s="2">
        <v>13.0</v>
      </c>
      <c r="X105" s="2">
        <v>14.0</v>
      </c>
      <c r="Y105" s="2">
        <v>29.0</v>
      </c>
      <c r="Z105" s="2">
        <v>25.0</v>
      </c>
      <c r="AA105" s="2">
        <v>28.0</v>
      </c>
      <c r="AB105" s="2">
        <v>28.0</v>
      </c>
      <c r="AC105" s="2">
        <f t="shared" si="5"/>
        <v>8.9</v>
      </c>
      <c r="AD105" s="2">
        <v>50.0</v>
      </c>
      <c r="AE105" s="2">
        <v>330.0</v>
      </c>
      <c r="AF105" s="2">
        <v>1.0</v>
      </c>
      <c r="AG105" s="3">
        <f t="shared" si="6"/>
        <v>8.9</v>
      </c>
      <c r="AH105" s="3">
        <f t="shared" si="7"/>
        <v>9.5</v>
      </c>
      <c r="AI105" s="4">
        <f t="shared" si="8"/>
        <v>56.84722222</v>
      </c>
    </row>
    <row r="106" hidden="1">
      <c r="A106" s="1" t="s">
        <v>324</v>
      </c>
      <c r="B106" s="1" t="s">
        <v>325</v>
      </c>
      <c r="C106" s="2" t="s">
        <v>25</v>
      </c>
      <c r="D106" s="2" t="s">
        <v>326</v>
      </c>
      <c r="E106" s="2">
        <f>VLOOKUP(B106,'DSAI-Vikrant'!$B$2:$F$44,5)</f>
        <v>39</v>
      </c>
      <c r="F106" s="2">
        <v>18.0</v>
      </c>
      <c r="G106" s="2">
        <f t="shared" si="1"/>
        <v>28.5</v>
      </c>
      <c r="H106" s="2">
        <v>7.0</v>
      </c>
      <c r="I106" s="2">
        <v>10.5</v>
      </c>
      <c r="J106" s="2">
        <v>17.5</v>
      </c>
      <c r="K106" s="3">
        <f t="shared" si="2"/>
        <v>6.319444444</v>
      </c>
      <c r="L106" s="2">
        <v>90.0</v>
      </c>
      <c r="M106" s="2">
        <v>175.0</v>
      </c>
      <c r="O106" s="3">
        <f t="shared" si="3"/>
        <v>175</v>
      </c>
      <c r="P106" s="2">
        <v>89.0</v>
      </c>
      <c r="Q106" s="2">
        <f t="shared" si="4"/>
        <v>13.325</v>
      </c>
      <c r="S106" s="2">
        <v>3.0</v>
      </c>
      <c r="T106" s="2">
        <v>8.0</v>
      </c>
      <c r="U106" s="2">
        <v>7.0</v>
      </c>
      <c r="V106" s="2">
        <v>12.0</v>
      </c>
      <c r="W106" s="2">
        <v>13.0</v>
      </c>
      <c r="X106" s="2">
        <v>19.0</v>
      </c>
      <c r="Y106" s="2">
        <v>22.0</v>
      </c>
      <c r="Z106" s="2">
        <v>23.0</v>
      </c>
      <c r="AA106" s="2">
        <v>28.0</v>
      </c>
      <c r="AB106" s="2">
        <v>29.0</v>
      </c>
      <c r="AC106" s="2">
        <f t="shared" si="5"/>
        <v>8.2</v>
      </c>
      <c r="AD106" s="2">
        <v>50.0</v>
      </c>
      <c r="AE106" s="2">
        <v>325.0</v>
      </c>
      <c r="AF106" s="2">
        <v>1.0</v>
      </c>
      <c r="AG106" s="3">
        <f t="shared" si="6"/>
        <v>8.2</v>
      </c>
      <c r="AH106" s="3">
        <f t="shared" si="7"/>
        <v>9.375</v>
      </c>
      <c r="AI106" s="4">
        <f t="shared" si="8"/>
        <v>65.71944444</v>
      </c>
    </row>
    <row r="107" hidden="1">
      <c r="A107" s="1" t="s">
        <v>327</v>
      </c>
      <c r="B107" s="1" t="s">
        <v>328</v>
      </c>
      <c r="C107" s="2" t="s">
        <v>25</v>
      </c>
      <c r="D107" s="2" t="s">
        <v>329</v>
      </c>
      <c r="E107" s="2">
        <f>VLOOKUP(B107,'DSAI-Vikrant'!$B$2:$F$44,5)</f>
        <v>45</v>
      </c>
      <c r="F107" s="2">
        <v>20.0</v>
      </c>
      <c r="G107" s="2">
        <f t="shared" si="1"/>
        <v>32.5</v>
      </c>
      <c r="H107" s="2">
        <v>4.0</v>
      </c>
      <c r="I107" s="2">
        <v>8.5</v>
      </c>
      <c r="J107" s="2">
        <v>20.5</v>
      </c>
      <c r="K107" s="3">
        <f t="shared" si="2"/>
        <v>5.402777778</v>
      </c>
      <c r="L107" s="2">
        <v>70.0</v>
      </c>
      <c r="M107" s="2">
        <v>185.0</v>
      </c>
      <c r="O107" s="3">
        <f t="shared" si="3"/>
        <v>185</v>
      </c>
      <c r="P107" s="2">
        <v>91.0</v>
      </c>
      <c r="Q107" s="2">
        <f t="shared" si="4"/>
        <v>12.675</v>
      </c>
      <c r="R107" s="2">
        <v>6.0</v>
      </c>
      <c r="S107" s="2">
        <v>8.0</v>
      </c>
      <c r="T107" s="2">
        <v>9.0</v>
      </c>
      <c r="U107" s="2">
        <v>7.0</v>
      </c>
      <c r="W107" s="2">
        <v>15.0</v>
      </c>
      <c r="X107" s="2">
        <v>18.0</v>
      </c>
      <c r="Y107" s="2">
        <v>29.0</v>
      </c>
      <c r="Z107" s="2">
        <v>20.0</v>
      </c>
      <c r="AA107" s="2">
        <v>29.0</v>
      </c>
      <c r="AB107" s="2">
        <v>28.0</v>
      </c>
      <c r="AC107" s="2">
        <f t="shared" si="5"/>
        <v>8.45</v>
      </c>
      <c r="AD107" s="2">
        <v>50.0</v>
      </c>
      <c r="AE107" s="2">
        <v>325.0</v>
      </c>
      <c r="AF107" s="2">
        <v>1.0</v>
      </c>
      <c r="AG107" s="3">
        <f t="shared" si="6"/>
        <v>8.45</v>
      </c>
      <c r="AH107" s="3">
        <f t="shared" si="7"/>
        <v>9.375</v>
      </c>
      <c r="AI107" s="4">
        <f t="shared" si="8"/>
        <v>68.40277778</v>
      </c>
    </row>
    <row r="108" hidden="1">
      <c r="A108" s="1" t="s">
        <v>330</v>
      </c>
      <c r="B108" s="1" t="s">
        <v>331</v>
      </c>
      <c r="C108" s="2" t="s">
        <v>25</v>
      </c>
      <c r="D108" s="2" t="s">
        <v>332</v>
      </c>
      <c r="E108" s="2">
        <f>VLOOKUP(B108,'EC-Nitin'!$B$2:$F$46,5)</f>
        <v>32</v>
      </c>
      <c r="F108" s="2">
        <v>22.0</v>
      </c>
      <c r="G108" s="2">
        <f t="shared" si="1"/>
        <v>27</v>
      </c>
      <c r="H108" s="2">
        <v>11.0</v>
      </c>
      <c r="I108" s="2">
        <v>8.0</v>
      </c>
      <c r="J108" s="2">
        <v>20.0</v>
      </c>
      <c r="K108" s="3">
        <f t="shared" si="2"/>
        <v>6.972222222</v>
      </c>
      <c r="L108" s="2">
        <v>99.0</v>
      </c>
      <c r="M108" s="2">
        <v>180.0</v>
      </c>
      <c r="O108" s="3">
        <f t="shared" si="3"/>
        <v>180</v>
      </c>
      <c r="P108" s="2">
        <v>99.0</v>
      </c>
      <c r="Q108" s="2">
        <f t="shared" si="4"/>
        <v>14.4</v>
      </c>
      <c r="R108" s="2">
        <v>7.0</v>
      </c>
      <c r="S108" s="2">
        <v>2.0</v>
      </c>
      <c r="T108" s="2">
        <v>14.0</v>
      </c>
      <c r="U108" s="2">
        <v>13.0</v>
      </c>
      <c r="V108" s="2">
        <v>14.0</v>
      </c>
      <c r="W108" s="2">
        <v>14.0</v>
      </c>
      <c r="X108" s="2">
        <v>18.0</v>
      </c>
      <c r="Y108" s="2">
        <v>30.0</v>
      </c>
      <c r="Z108" s="2">
        <v>30.0</v>
      </c>
      <c r="AA108" s="2">
        <v>30.0</v>
      </c>
      <c r="AB108" s="2">
        <v>30.0</v>
      </c>
      <c r="AC108" s="2">
        <f t="shared" si="5"/>
        <v>10.1</v>
      </c>
      <c r="AD108" s="2">
        <v>50.0</v>
      </c>
      <c r="AE108" s="2">
        <v>350.0</v>
      </c>
      <c r="AF108" s="2">
        <v>1.0</v>
      </c>
      <c r="AG108" s="3">
        <f t="shared" si="6"/>
        <v>10.1</v>
      </c>
      <c r="AH108" s="3">
        <f t="shared" si="7"/>
        <v>10</v>
      </c>
      <c r="AI108" s="4">
        <f t="shared" si="8"/>
        <v>68.47222222</v>
      </c>
    </row>
    <row r="109" hidden="1">
      <c r="A109" s="1" t="s">
        <v>333</v>
      </c>
      <c r="B109" s="1" t="s">
        <v>334</v>
      </c>
      <c r="C109" s="2" t="s">
        <v>6</v>
      </c>
      <c r="D109" s="2" t="s">
        <v>335</v>
      </c>
      <c r="E109" s="2">
        <f>VLOOKUP(B109,'EC-Nitin'!$B$2:$F$46,5)</f>
        <v>45</v>
      </c>
      <c r="F109" s="2">
        <v>27.0</v>
      </c>
      <c r="G109" s="2">
        <f t="shared" si="1"/>
        <v>36</v>
      </c>
      <c r="H109" s="2">
        <v>13.0</v>
      </c>
      <c r="I109" s="2">
        <v>15.0</v>
      </c>
      <c r="J109" s="2">
        <v>33.0</v>
      </c>
      <c r="K109" s="3">
        <f t="shared" si="2"/>
        <v>10.66666667</v>
      </c>
      <c r="L109" s="2">
        <v>100.0</v>
      </c>
      <c r="M109" s="2">
        <v>165.0</v>
      </c>
      <c r="N109" s="2">
        <v>200.0</v>
      </c>
      <c r="O109" s="3">
        <f t="shared" si="3"/>
        <v>200</v>
      </c>
      <c r="P109" s="2">
        <v>100.0</v>
      </c>
      <c r="Q109" s="2">
        <f t="shared" si="4"/>
        <v>15</v>
      </c>
      <c r="R109" s="2">
        <v>7.0</v>
      </c>
      <c r="S109" s="2">
        <v>5.0</v>
      </c>
      <c r="T109" s="2">
        <v>15.0</v>
      </c>
      <c r="U109" s="2">
        <v>15.0</v>
      </c>
      <c r="V109" s="2">
        <v>12.0</v>
      </c>
      <c r="W109" s="2">
        <v>14.0</v>
      </c>
      <c r="X109" s="2">
        <v>20.0</v>
      </c>
      <c r="Y109" s="2">
        <v>30.0</v>
      </c>
      <c r="Z109" s="2">
        <v>30.0</v>
      </c>
      <c r="AA109" s="2">
        <v>30.0</v>
      </c>
      <c r="AB109" s="2">
        <v>30.0</v>
      </c>
      <c r="AC109" s="2">
        <f t="shared" si="5"/>
        <v>10.4</v>
      </c>
      <c r="AD109" s="2">
        <v>50.0</v>
      </c>
      <c r="AE109" s="2">
        <v>350.0</v>
      </c>
      <c r="AF109" s="2">
        <v>1.0</v>
      </c>
      <c r="AG109" s="3">
        <f t="shared" si="6"/>
        <v>10.4</v>
      </c>
      <c r="AH109" s="3">
        <f t="shared" si="7"/>
        <v>10</v>
      </c>
      <c r="AI109" s="4">
        <f t="shared" si="8"/>
        <v>82.06666667</v>
      </c>
    </row>
    <row r="110" hidden="1">
      <c r="A110" s="1" t="s">
        <v>336</v>
      </c>
      <c r="B110" s="1" t="s">
        <v>337</v>
      </c>
      <c r="C110" s="2" t="s">
        <v>6</v>
      </c>
      <c r="D110" s="2" t="s">
        <v>338</v>
      </c>
      <c r="E110" s="2">
        <f>VLOOKUP(B110,'EC-Nitin'!$B$2:$F$46,5)</f>
        <v>47</v>
      </c>
      <c r="F110" s="2">
        <v>27.0</v>
      </c>
      <c r="G110" s="2">
        <f t="shared" si="1"/>
        <v>37</v>
      </c>
      <c r="H110" s="2">
        <v>11.0</v>
      </c>
      <c r="I110" s="2">
        <v>17.0</v>
      </c>
      <c r="J110" s="2">
        <v>37.0</v>
      </c>
      <c r="K110" s="3">
        <f t="shared" si="2"/>
        <v>11.11111111</v>
      </c>
      <c r="L110" s="2">
        <v>100.0</v>
      </c>
      <c r="M110" s="2">
        <v>170.0</v>
      </c>
      <c r="N110" s="2">
        <v>195.0</v>
      </c>
      <c r="O110" s="3">
        <f t="shared" si="3"/>
        <v>195</v>
      </c>
      <c r="P110" s="2">
        <v>100.0</v>
      </c>
      <c r="Q110" s="2">
        <f t="shared" si="4"/>
        <v>14.875</v>
      </c>
      <c r="R110" s="2">
        <v>7.0</v>
      </c>
      <c r="S110" s="2">
        <v>3.0</v>
      </c>
      <c r="T110" s="2">
        <v>15.0</v>
      </c>
      <c r="U110" s="2">
        <v>14.0</v>
      </c>
      <c r="V110" s="2">
        <v>12.0</v>
      </c>
      <c r="W110" s="2">
        <v>13.0</v>
      </c>
      <c r="X110" s="2">
        <v>16.0</v>
      </c>
      <c r="Y110" s="2">
        <v>30.0</v>
      </c>
      <c r="Z110" s="2">
        <v>30.0</v>
      </c>
      <c r="AA110" s="2">
        <v>30.0</v>
      </c>
      <c r="AB110" s="2">
        <v>30.0</v>
      </c>
      <c r="AC110" s="2">
        <f t="shared" si="5"/>
        <v>10</v>
      </c>
      <c r="AD110" s="2">
        <v>35.0</v>
      </c>
      <c r="AE110" s="2">
        <v>350.0</v>
      </c>
      <c r="AF110" s="2">
        <v>1.0</v>
      </c>
      <c r="AG110" s="3">
        <f t="shared" si="6"/>
        <v>10</v>
      </c>
      <c r="AH110" s="3">
        <f t="shared" si="7"/>
        <v>9.625</v>
      </c>
      <c r="AI110" s="4">
        <f t="shared" si="8"/>
        <v>82.61111111</v>
      </c>
    </row>
    <row r="111" hidden="1">
      <c r="A111" s="1" t="s">
        <v>339</v>
      </c>
      <c r="B111" s="1" t="s">
        <v>340</v>
      </c>
      <c r="C111" s="2" t="s">
        <v>2</v>
      </c>
      <c r="D111" s="2" t="s">
        <v>341</v>
      </c>
      <c r="E111" s="2">
        <f>VLOOKUP(B111,'EC-Nitin'!$B$2:$F$46,5)</f>
        <v>43</v>
      </c>
      <c r="F111" s="2">
        <v>25.0</v>
      </c>
      <c r="G111" s="2">
        <f t="shared" si="1"/>
        <v>34</v>
      </c>
      <c r="H111" s="2">
        <v>11.5</v>
      </c>
      <c r="I111" s="2">
        <v>6.0</v>
      </c>
      <c r="J111" s="2">
        <v>-1.0</v>
      </c>
      <c r="K111" s="3">
        <f t="shared" si="2"/>
        <v>4.263888889</v>
      </c>
      <c r="L111" s="2">
        <v>100.0</v>
      </c>
      <c r="M111" s="2">
        <v>200.0</v>
      </c>
      <c r="O111" s="3">
        <f t="shared" si="3"/>
        <v>200</v>
      </c>
      <c r="P111" s="2">
        <v>100.0</v>
      </c>
      <c r="Q111" s="2">
        <f t="shared" si="4"/>
        <v>15</v>
      </c>
      <c r="R111" s="2">
        <v>7.0</v>
      </c>
      <c r="S111" s="2">
        <v>6.0</v>
      </c>
      <c r="T111" s="2">
        <v>15.0</v>
      </c>
      <c r="U111" s="2">
        <v>15.0</v>
      </c>
      <c r="V111" s="2">
        <v>12.0</v>
      </c>
      <c r="W111" s="2">
        <v>15.0</v>
      </c>
      <c r="X111" s="2">
        <v>16.0</v>
      </c>
      <c r="Y111" s="2">
        <v>30.0</v>
      </c>
      <c r="Z111" s="2">
        <v>30.0</v>
      </c>
      <c r="AA111" s="2">
        <v>30.0</v>
      </c>
      <c r="AB111" s="2">
        <v>30.0</v>
      </c>
      <c r="AC111" s="2">
        <f t="shared" si="5"/>
        <v>10.3</v>
      </c>
      <c r="AD111" s="2">
        <v>50.0</v>
      </c>
      <c r="AE111" s="2">
        <v>350.0</v>
      </c>
      <c r="AF111" s="2">
        <v>1.0</v>
      </c>
      <c r="AG111" s="3">
        <f t="shared" si="6"/>
        <v>10.3</v>
      </c>
      <c r="AH111" s="3">
        <f t="shared" si="7"/>
        <v>10</v>
      </c>
      <c r="AI111" s="4">
        <f t="shared" si="8"/>
        <v>73.56388889</v>
      </c>
    </row>
    <row r="112" hidden="1">
      <c r="A112" s="1" t="s">
        <v>342</v>
      </c>
      <c r="B112" s="1" t="s">
        <v>343</v>
      </c>
      <c r="C112" s="2" t="s">
        <v>25</v>
      </c>
      <c r="D112" s="2" t="s">
        <v>344</v>
      </c>
      <c r="E112" s="2">
        <f>VLOOKUP(B112,'EC-Nitin'!$B$2:$F$46,5)</f>
        <v>41</v>
      </c>
      <c r="F112" s="2">
        <v>12.0</v>
      </c>
      <c r="G112" s="2">
        <f t="shared" si="1"/>
        <v>26.5</v>
      </c>
      <c r="H112" s="2">
        <v>5.5</v>
      </c>
      <c r="I112" s="2">
        <v>2.0</v>
      </c>
      <c r="J112" s="2">
        <v>23.0</v>
      </c>
      <c r="K112" s="3">
        <f t="shared" si="2"/>
        <v>4.430555556</v>
      </c>
      <c r="L112" s="2">
        <v>100.0</v>
      </c>
      <c r="M112" s="2">
        <v>200.0</v>
      </c>
      <c r="O112" s="3">
        <f t="shared" si="3"/>
        <v>200</v>
      </c>
      <c r="P112" s="2">
        <v>100.0</v>
      </c>
      <c r="Q112" s="2">
        <f t="shared" si="4"/>
        <v>15</v>
      </c>
      <c r="R112" s="2">
        <v>7.0</v>
      </c>
      <c r="S112" s="2">
        <v>5.0</v>
      </c>
      <c r="T112" s="2">
        <v>15.0</v>
      </c>
      <c r="U112" s="2">
        <v>13.0</v>
      </c>
      <c r="V112" s="2">
        <v>13.0</v>
      </c>
      <c r="W112" s="2">
        <v>14.0</v>
      </c>
      <c r="X112" s="2">
        <v>20.0</v>
      </c>
      <c r="Y112" s="2">
        <v>30.0</v>
      </c>
      <c r="Z112" s="2">
        <v>30.0</v>
      </c>
      <c r="AA112" s="2">
        <v>29.0</v>
      </c>
      <c r="AB112" s="2">
        <v>28.0</v>
      </c>
      <c r="AC112" s="2">
        <f t="shared" si="5"/>
        <v>10.2</v>
      </c>
      <c r="AD112" s="2">
        <v>30.0</v>
      </c>
      <c r="AE112" s="2">
        <v>350.0</v>
      </c>
      <c r="AF112" s="2">
        <v>1.0</v>
      </c>
      <c r="AG112" s="3">
        <f t="shared" si="6"/>
        <v>10.2</v>
      </c>
      <c r="AH112" s="3">
        <f t="shared" si="7"/>
        <v>9.5</v>
      </c>
      <c r="AI112" s="4">
        <f t="shared" si="8"/>
        <v>65.63055556</v>
      </c>
    </row>
    <row r="113" hidden="1">
      <c r="A113" s="1" t="s">
        <v>345</v>
      </c>
      <c r="B113" s="1" t="s">
        <v>346</v>
      </c>
      <c r="C113" s="2" t="s">
        <v>6</v>
      </c>
      <c r="D113" s="2" t="s">
        <v>347</v>
      </c>
      <c r="E113" s="2">
        <f>VLOOKUP(B113,'EC-Nitin'!$B$2:$F$46,5)</f>
        <v>46</v>
      </c>
      <c r="F113" s="2">
        <v>32.0</v>
      </c>
      <c r="G113" s="2">
        <f t="shared" si="1"/>
        <v>39</v>
      </c>
      <c r="H113" s="2">
        <v>10.0</v>
      </c>
      <c r="I113" s="2">
        <v>20.0</v>
      </c>
      <c r="J113" s="2">
        <v>34.0</v>
      </c>
      <c r="K113" s="3">
        <f t="shared" si="2"/>
        <v>11.27777778</v>
      </c>
      <c r="L113" s="2">
        <v>100.0</v>
      </c>
      <c r="M113" s="2">
        <v>180.0</v>
      </c>
      <c r="O113" s="3">
        <f t="shared" si="3"/>
        <v>180</v>
      </c>
      <c r="P113" s="2">
        <v>100.0</v>
      </c>
      <c r="Q113" s="2">
        <f t="shared" si="4"/>
        <v>14.5</v>
      </c>
      <c r="R113" s="2">
        <v>7.0</v>
      </c>
      <c r="S113" s="2">
        <v>6.0</v>
      </c>
      <c r="T113" s="2">
        <v>15.0</v>
      </c>
      <c r="U113" s="2">
        <v>15.0</v>
      </c>
      <c r="V113" s="2">
        <v>14.0</v>
      </c>
      <c r="W113" s="2">
        <v>14.0</v>
      </c>
      <c r="X113" s="2">
        <v>20.0</v>
      </c>
      <c r="Y113" s="2">
        <v>30.0</v>
      </c>
      <c r="Z113" s="2">
        <v>30.0</v>
      </c>
      <c r="AA113" s="2">
        <v>30.0</v>
      </c>
      <c r="AB113" s="2">
        <v>30.0</v>
      </c>
      <c r="AC113" s="2">
        <f t="shared" si="5"/>
        <v>10.55</v>
      </c>
      <c r="AD113" s="2">
        <v>35.0</v>
      </c>
      <c r="AE113" s="2">
        <v>350.0</v>
      </c>
      <c r="AF113" s="2">
        <v>1.0</v>
      </c>
      <c r="AG113" s="3">
        <f t="shared" si="6"/>
        <v>10.55</v>
      </c>
      <c r="AH113" s="3">
        <f t="shared" si="7"/>
        <v>9.625</v>
      </c>
      <c r="AI113" s="4">
        <f t="shared" si="8"/>
        <v>84.95277778</v>
      </c>
    </row>
    <row r="114" hidden="1">
      <c r="A114" s="1" t="s">
        <v>348</v>
      </c>
      <c r="B114" s="1" t="s">
        <v>349</v>
      </c>
      <c r="C114" s="2" t="s">
        <v>25</v>
      </c>
      <c r="D114" s="2" t="s">
        <v>350</v>
      </c>
      <c r="E114" s="2">
        <f>VLOOKUP(B114,'EC-Nitin'!$B$2:$F$46,5)</f>
        <v>32</v>
      </c>
      <c r="F114" s="2">
        <v>24.0</v>
      </c>
      <c r="G114" s="2">
        <f t="shared" si="1"/>
        <v>28</v>
      </c>
      <c r="H114" s="2">
        <v>3.5</v>
      </c>
      <c r="I114" s="2">
        <v>10.0</v>
      </c>
      <c r="J114" s="2">
        <v>23.0</v>
      </c>
      <c r="K114" s="3">
        <f t="shared" si="2"/>
        <v>5.930555556</v>
      </c>
      <c r="L114" s="2">
        <v>100.0</v>
      </c>
      <c r="M114" s="2">
        <v>200.0</v>
      </c>
      <c r="O114" s="3">
        <f t="shared" si="3"/>
        <v>200</v>
      </c>
      <c r="P114" s="2">
        <v>100.0</v>
      </c>
      <c r="Q114" s="2">
        <f t="shared" si="4"/>
        <v>15</v>
      </c>
      <c r="R114" s="2">
        <v>7.0</v>
      </c>
      <c r="S114" s="2">
        <v>8.0</v>
      </c>
      <c r="T114" s="2">
        <v>15.0</v>
      </c>
      <c r="U114" s="2">
        <v>14.0</v>
      </c>
      <c r="V114" s="2">
        <v>14.0</v>
      </c>
      <c r="W114" s="2">
        <v>14.0</v>
      </c>
      <c r="X114" s="2">
        <v>20.0</v>
      </c>
      <c r="Y114" s="2">
        <v>30.0</v>
      </c>
      <c r="Z114" s="2">
        <v>30.0</v>
      </c>
      <c r="AA114" s="2">
        <v>29.0</v>
      </c>
      <c r="AB114" s="2">
        <v>30.0</v>
      </c>
      <c r="AC114" s="2">
        <f t="shared" si="5"/>
        <v>10.55</v>
      </c>
      <c r="AD114" s="2">
        <v>50.0</v>
      </c>
      <c r="AE114" s="2">
        <v>350.0</v>
      </c>
      <c r="AF114" s="2">
        <v>1.0</v>
      </c>
      <c r="AG114" s="3">
        <f t="shared" si="6"/>
        <v>10.55</v>
      </c>
      <c r="AH114" s="3">
        <f t="shared" si="7"/>
        <v>10</v>
      </c>
      <c r="AI114" s="4">
        <f t="shared" si="8"/>
        <v>69.48055556</v>
      </c>
    </row>
    <row r="115" hidden="1">
      <c r="A115" s="1" t="s">
        <v>351</v>
      </c>
      <c r="B115" s="1" t="s">
        <v>352</v>
      </c>
      <c r="C115" s="2" t="s">
        <v>6</v>
      </c>
      <c r="D115" s="2" t="s">
        <v>353</v>
      </c>
      <c r="E115" s="2">
        <f>VLOOKUP(B115,'EC-Nitin'!$B$2:$F$46,5)</f>
        <v>44</v>
      </c>
      <c r="F115" s="2">
        <v>32.0</v>
      </c>
      <c r="G115" s="2">
        <f t="shared" si="1"/>
        <v>38</v>
      </c>
      <c r="H115" s="2">
        <v>3.0</v>
      </c>
      <c r="I115" s="2">
        <v>18.0</v>
      </c>
      <c r="J115" s="2">
        <v>34.0</v>
      </c>
      <c r="K115" s="3">
        <f t="shared" si="2"/>
        <v>9.027777778</v>
      </c>
      <c r="L115" s="2">
        <v>100.0</v>
      </c>
      <c r="M115" s="2">
        <v>200.0</v>
      </c>
      <c r="O115" s="3">
        <f t="shared" si="3"/>
        <v>200</v>
      </c>
      <c r="P115" s="2">
        <v>100.0</v>
      </c>
      <c r="Q115" s="2">
        <f t="shared" si="4"/>
        <v>15</v>
      </c>
      <c r="R115" s="2">
        <v>7.0</v>
      </c>
      <c r="S115" s="2">
        <v>4.0</v>
      </c>
      <c r="T115" s="2">
        <v>15.0</v>
      </c>
      <c r="U115" s="2">
        <v>13.0</v>
      </c>
      <c r="V115" s="2">
        <v>14.0</v>
      </c>
      <c r="W115" s="2">
        <v>14.0</v>
      </c>
      <c r="X115" s="2">
        <v>20.0</v>
      </c>
      <c r="Y115" s="2">
        <v>30.0</v>
      </c>
      <c r="Z115" s="2">
        <v>30.0</v>
      </c>
      <c r="AA115" s="2">
        <v>30.0</v>
      </c>
      <c r="AB115" s="2">
        <v>30.0</v>
      </c>
      <c r="AC115" s="2">
        <f t="shared" si="5"/>
        <v>10.35</v>
      </c>
      <c r="AD115" s="2">
        <v>50.0</v>
      </c>
      <c r="AE115" s="2">
        <v>350.0</v>
      </c>
      <c r="AF115" s="2">
        <v>1.0</v>
      </c>
      <c r="AG115" s="3">
        <f t="shared" si="6"/>
        <v>10.35</v>
      </c>
      <c r="AH115" s="3">
        <f t="shared" si="7"/>
        <v>10</v>
      </c>
      <c r="AI115" s="4">
        <f t="shared" si="8"/>
        <v>82.37777778</v>
      </c>
    </row>
    <row r="116" hidden="1">
      <c r="A116" s="1" t="s">
        <v>354</v>
      </c>
      <c r="B116" s="1" t="s">
        <v>355</v>
      </c>
      <c r="C116" s="2" t="s">
        <v>6</v>
      </c>
      <c r="D116" s="2" t="s">
        <v>356</v>
      </c>
      <c r="E116" s="2">
        <f>VLOOKUP(B116,'EC-Nitin'!$B$2:$F$46,5)</f>
        <v>49</v>
      </c>
      <c r="F116" s="2">
        <v>33.0</v>
      </c>
      <c r="G116" s="2">
        <f t="shared" si="1"/>
        <v>41</v>
      </c>
      <c r="H116" s="2">
        <v>9.0</v>
      </c>
      <c r="I116" s="2">
        <v>16.0</v>
      </c>
      <c r="J116" s="2">
        <v>37.0</v>
      </c>
      <c r="K116" s="3">
        <f t="shared" si="2"/>
        <v>10.36111111</v>
      </c>
      <c r="L116" s="2">
        <v>100.0</v>
      </c>
      <c r="M116" s="2">
        <v>200.0</v>
      </c>
      <c r="O116" s="3">
        <f t="shared" si="3"/>
        <v>200</v>
      </c>
      <c r="P116" s="2">
        <v>100.0</v>
      </c>
      <c r="Q116" s="2">
        <f t="shared" si="4"/>
        <v>15</v>
      </c>
      <c r="R116" s="2">
        <v>6.0</v>
      </c>
      <c r="S116" s="2">
        <v>4.0</v>
      </c>
      <c r="T116" s="2">
        <v>15.0</v>
      </c>
      <c r="U116" s="2">
        <v>14.0</v>
      </c>
      <c r="V116" s="2">
        <v>14.0</v>
      </c>
      <c r="W116" s="2">
        <v>14.0</v>
      </c>
      <c r="X116" s="2">
        <v>20.0</v>
      </c>
      <c r="Y116" s="2">
        <v>30.0</v>
      </c>
      <c r="Z116" s="2">
        <v>30.0</v>
      </c>
      <c r="AA116" s="2">
        <v>30.0</v>
      </c>
      <c r="AB116" s="2">
        <v>30.0</v>
      </c>
      <c r="AC116" s="2">
        <f t="shared" si="5"/>
        <v>10.35</v>
      </c>
      <c r="AD116" s="2">
        <v>50.0</v>
      </c>
      <c r="AE116" s="2">
        <v>350.0</v>
      </c>
      <c r="AF116" s="2">
        <v>1.0</v>
      </c>
      <c r="AG116" s="3">
        <f t="shared" si="6"/>
        <v>10.35</v>
      </c>
      <c r="AH116" s="3">
        <f t="shared" si="7"/>
        <v>10</v>
      </c>
      <c r="AI116" s="4">
        <f t="shared" si="8"/>
        <v>86.71111111</v>
      </c>
    </row>
    <row r="117">
      <c r="A117" s="1" t="s">
        <v>357</v>
      </c>
      <c r="B117" s="1" t="s">
        <v>358</v>
      </c>
      <c r="C117" s="2" t="s">
        <v>96</v>
      </c>
      <c r="D117" s="2" t="s">
        <v>359</v>
      </c>
      <c r="E117" s="2">
        <f>VLOOKUP(B117,'EC-Nitin'!$B$2:$F$46,5)</f>
        <v>13</v>
      </c>
      <c r="F117" s="2">
        <v>10.0</v>
      </c>
      <c r="G117" s="2">
        <f t="shared" si="1"/>
        <v>11.5</v>
      </c>
      <c r="H117" s="2">
        <v>9.0</v>
      </c>
      <c r="I117" s="2">
        <v>10.0</v>
      </c>
      <c r="J117" s="2">
        <v>17.0</v>
      </c>
      <c r="K117" s="3">
        <f t="shared" si="2"/>
        <v>6.638888889</v>
      </c>
      <c r="L117" s="2">
        <v>80.0</v>
      </c>
      <c r="M117" s="2">
        <v>100.0</v>
      </c>
      <c r="O117" s="3">
        <f t="shared" si="3"/>
        <v>100</v>
      </c>
      <c r="P117" s="2">
        <v>90.0</v>
      </c>
      <c r="Q117" s="2">
        <f t="shared" si="4"/>
        <v>11</v>
      </c>
      <c r="S117" s="2">
        <v>7.0</v>
      </c>
      <c r="T117" s="2">
        <v>13.0</v>
      </c>
      <c r="U117" s="2">
        <v>11.0</v>
      </c>
      <c r="V117" s="2">
        <v>14.0</v>
      </c>
      <c r="W117" s="2">
        <v>14.0</v>
      </c>
      <c r="X117" s="2">
        <v>20.0</v>
      </c>
      <c r="Y117" s="2">
        <v>30.0</v>
      </c>
      <c r="Z117" s="2">
        <v>30.0</v>
      </c>
      <c r="AA117" s="2">
        <v>29.0</v>
      </c>
      <c r="AB117" s="2">
        <v>28.0</v>
      </c>
      <c r="AC117" s="2">
        <f t="shared" si="5"/>
        <v>9.8</v>
      </c>
      <c r="AD117" s="2">
        <v>50.0</v>
      </c>
      <c r="AE117" s="2">
        <v>330.0</v>
      </c>
      <c r="AF117" s="2">
        <v>1.0</v>
      </c>
      <c r="AG117" s="3">
        <f t="shared" si="6"/>
        <v>9.8</v>
      </c>
      <c r="AH117" s="3">
        <f t="shared" si="7"/>
        <v>9.5</v>
      </c>
      <c r="AI117" s="4">
        <f t="shared" si="8"/>
        <v>48.43888889</v>
      </c>
      <c r="AJ117" s="2" t="s">
        <v>187</v>
      </c>
    </row>
    <row r="118" hidden="1">
      <c r="A118" s="1" t="s">
        <v>360</v>
      </c>
      <c r="B118" s="1" t="s">
        <v>361</v>
      </c>
      <c r="C118" s="2" t="s">
        <v>59</v>
      </c>
      <c r="D118" s="2" t="s">
        <v>362</v>
      </c>
      <c r="E118" s="2">
        <f>VLOOKUP(B118,'EC-Nitin'!$B$2:$F$46,5)</f>
        <v>20</v>
      </c>
      <c r="F118" s="2">
        <v>7.0</v>
      </c>
      <c r="G118" s="2">
        <f t="shared" si="1"/>
        <v>13.5</v>
      </c>
      <c r="H118" s="2">
        <v>10.0</v>
      </c>
      <c r="I118" s="2">
        <v>15.0</v>
      </c>
      <c r="J118" s="2">
        <v>22.0</v>
      </c>
      <c r="K118" s="3">
        <f t="shared" si="2"/>
        <v>8.694444444</v>
      </c>
      <c r="L118" s="2">
        <v>90.0</v>
      </c>
      <c r="M118" s="2">
        <v>180.0</v>
      </c>
      <c r="O118" s="3">
        <f t="shared" si="3"/>
        <v>180</v>
      </c>
      <c r="Q118" s="2">
        <f t="shared" si="4"/>
        <v>9</v>
      </c>
      <c r="R118" s="2">
        <v>6.0</v>
      </c>
      <c r="S118" s="2">
        <v>5.0</v>
      </c>
      <c r="T118" s="2">
        <v>14.0</v>
      </c>
      <c r="U118" s="2">
        <v>13.0</v>
      </c>
      <c r="V118" s="2">
        <v>14.0</v>
      </c>
      <c r="W118" s="2">
        <v>13.0</v>
      </c>
      <c r="X118" s="2">
        <v>18.0</v>
      </c>
      <c r="Y118" s="2">
        <v>30.0</v>
      </c>
      <c r="Z118" s="2">
        <v>30.0</v>
      </c>
      <c r="AA118" s="2">
        <v>28.0</v>
      </c>
      <c r="AB118" s="2">
        <v>28.0</v>
      </c>
      <c r="AC118" s="2">
        <f t="shared" si="5"/>
        <v>9.95</v>
      </c>
      <c r="AD118" s="2">
        <v>30.0</v>
      </c>
      <c r="AE118" s="2">
        <v>330.0</v>
      </c>
      <c r="AF118" s="2">
        <v>1.0</v>
      </c>
      <c r="AG118" s="3">
        <f t="shared" si="6"/>
        <v>9.95</v>
      </c>
      <c r="AH118" s="3">
        <f t="shared" si="7"/>
        <v>9</v>
      </c>
      <c r="AI118" s="4">
        <f t="shared" si="8"/>
        <v>50.14444444</v>
      </c>
    </row>
    <row r="119" hidden="1">
      <c r="A119" s="1" t="s">
        <v>363</v>
      </c>
      <c r="B119" s="1" t="s">
        <v>364</v>
      </c>
      <c r="C119" s="2" t="s">
        <v>25</v>
      </c>
      <c r="D119" s="2" t="s">
        <v>365</v>
      </c>
      <c r="E119" s="2">
        <f>VLOOKUP(B119,'EC-Nitin'!$B$2:$F$46,5)</f>
        <v>44</v>
      </c>
      <c r="F119" s="2">
        <v>13.0</v>
      </c>
      <c r="G119" s="2">
        <f t="shared" si="1"/>
        <v>28.5</v>
      </c>
      <c r="H119" s="2">
        <v>10.0</v>
      </c>
      <c r="I119" s="2">
        <v>10.0</v>
      </c>
      <c r="J119" s="2">
        <v>22.0</v>
      </c>
      <c r="K119" s="3">
        <f t="shared" si="2"/>
        <v>7.444444444</v>
      </c>
      <c r="L119" s="2">
        <v>95.0</v>
      </c>
      <c r="M119" s="2">
        <v>100.0</v>
      </c>
      <c r="O119" s="3">
        <f t="shared" si="3"/>
        <v>100</v>
      </c>
      <c r="P119" s="2">
        <v>96.0</v>
      </c>
      <c r="Q119" s="2">
        <f t="shared" si="4"/>
        <v>12.05</v>
      </c>
      <c r="R119" s="2">
        <v>5.0</v>
      </c>
      <c r="S119" s="2">
        <v>3.0</v>
      </c>
      <c r="T119" s="2">
        <v>13.0</v>
      </c>
      <c r="U119" s="2">
        <v>12.0</v>
      </c>
      <c r="V119" s="2">
        <v>13.0</v>
      </c>
      <c r="W119" s="2">
        <v>12.0</v>
      </c>
      <c r="X119" s="2">
        <v>17.0</v>
      </c>
      <c r="Y119" s="2">
        <v>30.0</v>
      </c>
      <c r="Z119" s="2">
        <v>25.0</v>
      </c>
      <c r="AA119" s="2">
        <v>30.0</v>
      </c>
      <c r="AB119" s="2">
        <v>28.0</v>
      </c>
      <c r="AC119" s="2">
        <f t="shared" si="5"/>
        <v>9.4</v>
      </c>
      <c r="AD119" s="2">
        <v>50.0</v>
      </c>
      <c r="AE119" s="2">
        <v>330.0</v>
      </c>
      <c r="AF119" s="2">
        <v>1.0</v>
      </c>
      <c r="AG119" s="3">
        <f t="shared" si="6"/>
        <v>9.4</v>
      </c>
      <c r="AH119" s="3">
        <f t="shared" si="7"/>
        <v>9.5</v>
      </c>
      <c r="AI119" s="4">
        <f t="shared" si="8"/>
        <v>66.89444444</v>
      </c>
    </row>
    <row r="120" hidden="1">
      <c r="A120" s="1" t="s">
        <v>366</v>
      </c>
      <c r="B120" s="1" t="s">
        <v>367</v>
      </c>
      <c r="C120" s="2" t="s">
        <v>6</v>
      </c>
      <c r="D120" s="2" t="s">
        <v>368</v>
      </c>
      <c r="E120" s="2">
        <f>VLOOKUP(B120,'EC-Nitin'!$B$2:$F$46,5)</f>
        <v>52</v>
      </c>
      <c r="F120" s="2">
        <v>33.0</v>
      </c>
      <c r="G120" s="2">
        <f t="shared" si="1"/>
        <v>42.5</v>
      </c>
      <c r="H120" s="2">
        <v>15.0</v>
      </c>
      <c r="I120" s="2">
        <v>10.0</v>
      </c>
      <c r="J120" s="2">
        <v>39.0</v>
      </c>
      <c r="K120" s="3">
        <f t="shared" si="2"/>
        <v>10.58333333</v>
      </c>
      <c r="L120" s="2">
        <v>100.0</v>
      </c>
      <c r="M120" s="2">
        <v>190.0</v>
      </c>
      <c r="O120" s="3">
        <f t="shared" si="3"/>
        <v>190</v>
      </c>
      <c r="P120" s="2">
        <v>100.0</v>
      </c>
      <c r="Q120" s="2">
        <f t="shared" si="4"/>
        <v>14.75</v>
      </c>
      <c r="R120" s="2">
        <v>7.0</v>
      </c>
      <c r="S120" s="2">
        <v>8.0</v>
      </c>
      <c r="T120" s="2">
        <v>15.0</v>
      </c>
      <c r="U120" s="2">
        <v>13.0</v>
      </c>
      <c r="V120" s="2">
        <v>14.0</v>
      </c>
      <c r="W120" s="2">
        <v>14.0</v>
      </c>
      <c r="X120" s="2">
        <v>20.0</v>
      </c>
      <c r="Y120" s="2">
        <v>30.0</v>
      </c>
      <c r="Z120" s="2">
        <v>30.0</v>
      </c>
      <c r="AA120" s="2">
        <v>29.0</v>
      </c>
      <c r="AB120" s="2">
        <v>30.0</v>
      </c>
      <c r="AC120" s="2">
        <f t="shared" si="5"/>
        <v>10.5</v>
      </c>
      <c r="AD120" s="2">
        <v>50.0</v>
      </c>
      <c r="AE120" s="2">
        <v>350.0</v>
      </c>
      <c r="AF120" s="2">
        <v>1.0</v>
      </c>
      <c r="AG120" s="3">
        <f t="shared" si="6"/>
        <v>10.5</v>
      </c>
      <c r="AH120" s="3">
        <f t="shared" si="7"/>
        <v>10</v>
      </c>
      <c r="AI120" s="4">
        <f t="shared" si="8"/>
        <v>88.33333333</v>
      </c>
    </row>
    <row r="121" hidden="1">
      <c r="A121" s="1" t="s">
        <v>369</v>
      </c>
      <c r="B121" s="1" t="s">
        <v>370</v>
      </c>
      <c r="C121" s="2" t="s">
        <v>6</v>
      </c>
      <c r="D121" s="2" t="s">
        <v>371</v>
      </c>
      <c r="E121" s="2">
        <f>VLOOKUP(B121,'EC-Nitin'!$B$2:$F$46,5)</f>
        <v>44</v>
      </c>
      <c r="F121" s="2">
        <v>35.0</v>
      </c>
      <c r="G121" s="2">
        <f t="shared" si="1"/>
        <v>39.5</v>
      </c>
      <c r="H121" s="2">
        <v>12.0</v>
      </c>
      <c r="I121" s="2">
        <v>10.0</v>
      </c>
      <c r="J121" s="2">
        <v>42.0</v>
      </c>
      <c r="K121" s="3">
        <f t="shared" si="2"/>
        <v>10.16666667</v>
      </c>
      <c r="L121" s="2">
        <v>100.0</v>
      </c>
      <c r="M121" s="2">
        <v>200.0</v>
      </c>
      <c r="O121" s="3">
        <f t="shared" si="3"/>
        <v>200</v>
      </c>
      <c r="P121" s="2">
        <v>100.0</v>
      </c>
      <c r="Q121" s="2">
        <f t="shared" si="4"/>
        <v>15</v>
      </c>
      <c r="R121" s="2">
        <v>7.0</v>
      </c>
      <c r="S121" s="2">
        <v>8.0</v>
      </c>
      <c r="T121" s="2">
        <v>15.0</v>
      </c>
      <c r="U121" s="2">
        <v>14.0</v>
      </c>
      <c r="V121" s="2">
        <v>15.0</v>
      </c>
      <c r="W121" s="2">
        <v>14.0</v>
      </c>
      <c r="X121" s="2">
        <v>20.0</v>
      </c>
      <c r="Y121" s="2">
        <v>30.0</v>
      </c>
      <c r="Z121" s="2">
        <v>30.0</v>
      </c>
      <c r="AA121" s="2">
        <v>30.0</v>
      </c>
      <c r="AB121" s="2">
        <v>29.0</v>
      </c>
      <c r="AC121" s="2">
        <f t="shared" si="5"/>
        <v>10.6</v>
      </c>
      <c r="AD121" s="2">
        <v>50.0</v>
      </c>
      <c r="AE121" s="2">
        <v>350.0</v>
      </c>
      <c r="AF121" s="2">
        <v>1.0</v>
      </c>
      <c r="AG121" s="3">
        <f t="shared" si="6"/>
        <v>10.6</v>
      </c>
      <c r="AH121" s="3">
        <f t="shared" si="7"/>
        <v>10</v>
      </c>
      <c r="AI121" s="4">
        <f t="shared" si="8"/>
        <v>85.26666667</v>
      </c>
    </row>
    <row r="122" hidden="1">
      <c r="A122" s="1" t="s">
        <v>372</v>
      </c>
      <c r="B122" s="1" t="s">
        <v>373</v>
      </c>
      <c r="C122" s="2" t="s">
        <v>6</v>
      </c>
      <c r="D122" s="2" t="s">
        <v>374</v>
      </c>
      <c r="E122" s="2">
        <f>VLOOKUP(B122,'EC-Nitin'!$B$2:$F$46,5)</f>
        <v>47</v>
      </c>
      <c r="F122" s="2">
        <v>36.0</v>
      </c>
      <c r="G122" s="2">
        <f t="shared" si="1"/>
        <v>41.5</v>
      </c>
      <c r="H122" s="2">
        <v>10.0</v>
      </c>
      <c r="I122" s="2">
        <v>19.0</v>
      </c>
      <c r="J122" s="2">
        <v>35.0</v>
      </c>
      <c r="K122" s="3">
        <f t="shared" si="2"/>
        <v>11.13888889</v>
      </c>
      <c r="L122" s="2">
        <v>99.0</v>
      </c>
      <c r="M122" s="2">
        <v>175.0</v>
      </c>
      <c r="N122" s="2">
        <v>200.0</v>
      </c>
      <c r="O122" s="3">
        <f t="shared" si="3"/>
        <v>200</v>
      </c>
      <c r="P122" s="2">
        <v>99.0</v>
      </c>
      <c r="Q122" s="2">
        <f t="shared" si="4"/>
        <v>14.9</v>
      </c>
      <c r="R122" s="2">
        <v>6.0</v>
      </c>
      <c r="S122" s="2">
        <v>3.0</v>
      </c>
      <c r="T122" s="2">
        <v>14.0</v>
      </c>
      <c r="U122" s="2">
        <v>15.0</v>
      </c>
      <c r="V122" s="2">
        <v>14.0</v>
      </c>
      <c r="W122" s="2">
        <v>14.0</v>
      </c>
      <c r="X122" s="2">
        <v>17.0</v>
      </c>
      <c r="Y122" s="2">
        <v>30.0</v>
      </c>
      <c r="Z122" s="2">
        <v>30.0</v>
      </c>
      <c r="AA122" s="2">
        <v>30.0</v>
      </c>
      <c r="AB122" s="2">
        <v>30.0</v>
      </c>
      <c r="AC122" s="2">
        <f t="shared" si="5"/>
        <v>10.15</v>
      </c>
      <c r="AD122" s="2">
        <v>50.0</v>
      </c>
      <c r="AE122" s="2">
        <v>350.0</v>
      </c>
      <c r="AF122" s="2">
        <v>1.0</v>
      </c>
      <c r="AG122" s="3">
        <f t="shared" si="6"/>
        <v>10.15</v>
      </c>
      <c r="AH122" s="3">
        <f t="shared" si="7"/>
        <v>10</v>
      </c>
      <c r="AI122" s="4">
        <f t="shared" si="8"/>
        <v>87.68888889</v>
      </c>
    </row>
    <row r="123" hidden="1">
      <c r="A123" s="6" t="s">
        <v>375</v>
      </c>
      <c r="B123" s="1" t="s">
        <v>376</v>
      </c>
      <c r="C123" s="2" t="s">
        <v>187</v>
      </c>
      <c r="D123" s="2" t="s">
        <v>377</v>
      </c>
      <c r="E123" s="2">
        <f>VLOOKUP(B123,'EC-Nitin'!$B$2:$F$46,5)</f>
        <v>0</v>
      </c>
      <c r="G123" s="2">
        <f t="shared" si="1"/>
        <v>0</v>
      </c>
      <c r="J123" s="2">
        <v>-1.0</v>
      </c>
      <c r="K123" s="3">
        <f t="shared" si="2"/>
        <v>-0.1111111111</v>
      </c>
      <c r="O123" s="3">
        <f t="shared" si="3"/>
        <v>0</v>
      </c>
      <c r="Q123" s="2">
        <f t="shared" si="4"/>
        <v>0</v>
      </c>
      <c r="W123" s="2">
        <v>14.0</v>
      </c>
      <c r="AA123" s="2">
        <v>30.0</v>
      </c>
      <c r="AC123" s="2">
        <f t="shared" si="5"/>
        <v>2.2</v>
      </c>
      <c r="AF123" s="2">
        <v>0.5</v>
      </c>
      <c r="AG123" s="3">
        <f t="shared" si="6"/>
        <v>1.1</v>
      </c>
      <c r="AH123" s="3">
        <f t="shared" si="7"/>
        <v>0</v>
      </c>
      <c r="AI123" s="4">
        <f t="shared" si="8"/>
        <v>0.9888888889</v>
      </c>
    </row>
    <row r="124" hidden="1">
      <c r="A124" s="1" t="s">
        <v>378</v>
      </c>
      <c r="B124" s="1" t="s">
        <v>379</v>
      </c>
      <c r="C124" s="2" t="s">
        <v>6</v>
      </c>
      <c r="D124" s="2" t="s">
        <v>380</v>
      </c>
      <c r="E124" s="2">
        <f>VLOOKUP(B124,'EC-Nitin'!$B$2:$F$46,5)</f>
        <v>41</v>
      </c>
      <c r="F124" s="2">
        <v>28.0</v>
      </c>
      <c r="G124" s="2">
        <f t="shared" si="1"/>
        <v>34.5</v>
      </c>
      <c r="H124" s="2">
        <v>16.0</v>
      </c>
      <c r="I124" s="2">
        <v>10.0</v>
      </c>
      <c r="J124" s="2">
        <v>32.0</v>
      </c>
      <c r="K124" s="3">
        <f t="shared" si="2"/>
        <v>10.05555556</v>
      </c>
      <c r="L124" s="2">
        <v>100.0</v>
      </c>
      <c r="M124" s="2">
        <v>190.0</v>
      </c>
      <c r="O124" s="3">
        <f t="shared" si="3"/>
        <v>190</v>
      </c>
      <c r="P124" s="2">
        <v>100.0</v>
      </c>
      <c r="Q124" s="2">
        <f t="shared" si="4"/>
        <v>14.75</v>
      </c>
      <c r="R124" s="2">
        <v>6.0</v>
      </c>
      <c r="S124" s="2">
        <v>8.0</v>
      </c>
      <c r="T124" s="2">
        <v>15.0</v>
      </c>
      <c r="U124" s="2">
        <v>12.0</v>
      </c>
      <c r="V124" s="2">
        <v>15.0</v>
      </c>
      <c r="W124" s="2">
        <v>14.0</v>
      </c>
      <c r="X124" s="2">
        <v>20.0</v>
      </c>
      <c r="Y124" s="2">
        <v>30.0</v>
      </c>
      <c r="Z124" s="2">
        <v>30.0</v>
      </c>
      <c r="AA124" s="2">
        <v>30.0</v>
      </c>
      <c r="AB124" s="2">
        <v>30.0</v>
      </c>
      <c r="AC124" s="2">
        <f t="shared" si="5"/>
        <v>10.5</v>
      </c>
      <c r="AD124" s="2">
        <v>50.0</v>
      </c>
      <c r="AE124" s="2">
        <v>350.0</v>
      </c>
      <c r="AF124" s="2">
        <v>1.0</v>
      </c>
      <c r="AG124" s="3">
        <f t="shared" si="6"/>
        <v>10.5</v>
      </c>
      <c r="AH124" s="3">
        <f t="shared" si="7"/>
        <v>10</v>
      </c>
      <c r="AI124" s="4">
        <f t="shared" si="8"/>
        <v>79.80555556</v>
      </c>
    </row>
    <row r="125" hidden="1">
      <c r="A125" s="1" t="s">
        <v>381</v>
      </c>
      <c r="B125" s="1" t="s">
        <v>382</v>
      </c>
      <c r="C125" s="2" t="s">
        <v>2</v>
      </c>
      <c r="D125" s="2" t="s">
        <v>383</v>
      </c>
      <c r="E125" s="2">
        <f>VLOOKUP(B125,'EC-Nitin'!$B$2:$F$46,5)</f>
        <v>37</v>
      </c>
      <c r="F125" s="2">
        <v>27.0</v>
      </c>
      <c r="G125" s="2">
        <f t="shared" si="1"/>
        <v>32</v>
      </c>
      <c r="H125" s="2">
        <v>7.0</v>
      </c>
      <c r="I125" s="2">
        <v>16.0</v>
      </c>
      <c r="J125" s="2">
        <v>32.0</v>
      </c>
      <c r="K125" s="3">
        <f t="shared" si="2"/>
        <v>9.305555556</v>
      </c>
      <c r="L125" s="2">
        <v>99.0</v>
      </c>
      <c r="M125" s="2">
        <v>170.0</v>
      </c>
      <c r="O125" s="3">
        <f t="shared" si="3"/>
        <v>170</v>
      </c>
      <c r="P125" s="2">
        <v>99.0</v>
      </c>
      <c r="Q125" s="2">
        <f t="shared" si="4"/>
        <v>14.15</v>
      </c>
      <c r="R125" s="2">
        <v>7.0</v>
      </c>
      <c r="S125" s="2">
        <v>4.0</v>
      </c>
      <c r="T125" s="2">
        <v>14.0</v>
      </c>
      <c r="U125" s="2">
        <v>15.0</v>
      </c>
      <c r="V125" s="2">
        <v>14.0</v>
      </c>
      <c r="W125" s="2">
        <v>14.0</v>
      </c>
      <c r="X125" s="2">
        <v>20.0</v>
      </c>
      <c r="Y125" s="2">
        <v>30.0</v>
      </c>
      <c r="Z125" s="2">
        <v>30.0</v>
      </c>
      <c r="AA125" s="2">
        <v>30.0</v>
      </c>
      <c r="AC125" s="2">
        <f t="shared" si="5"/>
        <v>8.9</v>
      </c>
      <c r="AD125" s="2">
        <v>50.0</v>
      </c>
      <c r="AE125" s="2">
        <v>350.0</v>
      </c>
      <c r="AF125" s="2">
        <v>1.0</v>
      </c>
      <c r="AG125" s="3">
        <f t="shared" si="6"/>
        <v>8.9</v>
      </c>
      <c r="AH125" s="3">
        <f t="shared" si="7"/>
        <v>10</v>
      </c>
      <c r="AI125" s="4">
        <f t="shared" si="8"/>
        <v>74.35555556</v>
      </c>
    </row>
    <row r="126" hidden="1">
      <c r="A126" s="1" t="s">
        <v>384</v>
      </c>
      <c r="B126" s="1" t="s">
        <v>385</v>
      </c>
      <c r="C126" s="2" t="s">
        <v>42</v>
      </c>
      <c r="D126" s="2" t="s">
        <v>386</v>
      </c>
      <c r="E126" s="2">
        <f>VLOOKUP(B126,'EC-Nitin'!$B$2:$F$46,5)</f>
        <v>54</v>
      </c>
      <c r="F126" s="2">
        <v>37.0</v>
      </c>
      <c r="G126" s="2">
        <f t="shared" si="1"/>
        <v>45.5</v>
      </c>
      <c r="H126" s="2">
        <v>16.0</v>
      </c>
      <c r="I126" s="2">
        <v>19.0</v>
      </c>
      <c r="J126" s="2">
        <v>33.0</v>
      </c>
      <c r="K126" s="3">
        <f t="shared" si="2"/>
        <v>12.41666667</v>
      </c>
      <c r="L126" s="2">
        <v>100.0</v>
      </c>
      <c r="M126" s="2">
        <v>200.0</v>
      </c>
      <c r="O126" s="3">
        <f t="shared" si="3"/>
        <v>200</v>
      </c>
      <c r="P126" s="2">
        <v>100.0</v>
      </c>
      <c r="Q126" s="2">
        <f t="shared" si="4"/>
        <v>15</v>
      </c>
      <c r="R126" s="2">
        <v>7.0</v>
      </c>
      <c r="S126" s="2">
        <v>7.0</v>
      </c>
      <c r="T126" s="2">
        <v>15.0</v>
      </c>
      <c r="U126" s="2">
        <v>13.0</v>
      </c>
      <c r="V126" s="2">
        <v>13.0</v>
      </c>
      <c r="W126" s="2">
        <v>12.0</v>
      </c>
      <c r="X126" s="2">
        <v>20.0</v>
      </c>
      <c r="Y126" s="2">
        <v>30.0</v>
      </c>
      <c r="Z126" s="2">
        <v>30.0</v>
      </c>
      <c r="AA126" s="2">
        <v>30.0</v>
      </c>
      <c r="AB126" s="2">
        <v>30.0</v>
      </c>
      <c r="AC126" s="2">
        <f t="shared" si="5"/>
        <v>10.35</v>
      </c>
      <c r="AD126" s="2">
        <v>40.0</v>
      </c>
      <c r="AE126" s="2">
        <v>350.0</v>
      </c>
      <c r="AF126" s="2">
        <v>1.0</v>
      </c>
      <c r="AG126" s="3">
        <f t="shared" si="6"/>
        <v>10.35</v>
      </c>
      <c r="AH126" s="3">
        <f t="shared" si="7"/>
        <v>9.75</v>
      </c>
      <c r="AI126" s="4">
        <f t="shared" si="8"/>
        <v>93.01666667</v>
      </c>
    </row>
    <row r="127" hidden="1">
      <c r="A127" s="1" t="s">
        <v>387</v>
      </c>
      <c r="B127" s="1" t="s">
        <v>388</v>
      </c>
      <c r="C127" s="2" t="s">
        <v>6</v>
      </c>
      <c r="D127" s="2" t="s">
        <v>389</v>
      </c>
      <c r="E127" s="2">
        <f>VLOOKUP(B127,'EC-Nitin'!$B$2:$F$46,5)</f>
        <v>41</v>
      </c>
      <c r="F127" s="2">
        <v>36.0</v>
      </c>
      <c r="G127" s="2">
        <f t="shared" si="1"/>
        <v>38.5</v>
      </c>
      <c r="H127" s="2">
        <v>7.0</v>
      </c>
      <c r="I127" s="2">
        <v>16.0</v>
      </c>
      <c r="J127" s="2">
        <v>34.0</v>
      </c>
      <c r="K127" s="3">
        <f t="shared" si="2"/>
        <v>9.527777778</v>
      </c>
      <c r="L127" s="2">
        <v>90.0</v>
      </c>
      <c r="M127" s="2">
        <v>185.0</v>
      </c>
      <c r="O127" s="3">
        <f t="shared" si="3"/>
        <v>185</v>
      </c>
      <c r="P127" s="2">
        <v>95.0</v>
      </c>
      <c r="Q127" s="2">
        <f t="shared" si="4"/>
        <v>13.875</v>
      </c>
      <c r="R127" s="2">
        <v>7.0</v>
      </c>
      <c r="S127" s="2">
        <v>9.0</v>
      </c>
      <c r="T127" s="2">
        <v>13.0</v>
      </c>
      <c r="U127" s="2">
        <v>15.0</v>
      </c>
      <c r="V127" s="2">
        <v>11.0</v>
      </c>
      <c r="W127" s="2">
        <v>10.0</v>
      </c>
      <c r="X127" s="2">
        <v>20.0</v>
      </c>
      <c r="Y127" s="2">
        <v>30.0</v>
      </c>
      <c r="Z127" s="2">
        <v>30.0</v>
      </c>
      <c r="AA127" s="2">
        <v>30.0</v>
      </c>
      <c r="AB127" s="2">
        <v>30.0</v>
      </c>
      <c r="AC127" s="2">
        <f t="shared" si="5"/>
        <v>10.25</v>
      </c>
      <c r="AD127" s="2">
        <v>30.0</v>
      </c>
      <c r="AE127" s="2">
        <v>350.0</v>
      </c>
      <c r="AF127" s="2">
        <v>1.0</v>
      </c>
      <c r="AG127" s="3">
        <f t="shared" si="6"/>
        <v>10.25</v>
      </c>
      <c r="AH127" s="3">
        <f t="shared" si="7"/>
        <v>9.5</v>
      </c>
      <c r="AI127" s="4">
        <f t="shared" si="8"/>
        <v>81.65277778</v>
      </c>
    </row>
    <row r="128" hidden="1">
      <c r="A128" s="1" t="s">
        <v>390</v>
      </c>
      <c r="B128" s="1" t="s">
        <v>391</v>
      </c>
      <c r="C128" s="2" t="s">
        <v>6</v>
      </c>
      <c r="D128" s="2" t="s">
        <v>392</v>
      </c>
      <c r="E128" s="2">
        <f>VLOOKUP(B128,'EC-Nitin'!$B$2:$F$46,5)</f>
        <v>47</v>
      </c>
      <c r="F128" s="2">
        <v>36.0</v>
      </c>
      <c r="G128" s="2">
        <f t="shared" si="1"/>
        <v>41.5</v>
      </c>
      <c r="H128" s="2">
        <v>12.0</v>
      </c>
      <c r="I128" s="2">
        <v>10.0</v>
      </c>
      <c r="J128" s="2">
        <v>45.0</v>
      </c>
      <c r="K128" s="3">
        <f t="shared" si="2"/>
        <v>10.5</v>
      </c>
      <c r="L128" s="2">
        <v>100.0</v>
      </c>
      <c r="M128" s="2">
        <v>200.0</v>
      </c>
      <c r="O128" s="3">
        <f t="shared" si="3"/>
        <v>200</v>
      </c>
      <c r="P128" s="2">
        <v>100.0</v>
      </c>
      <c r="Q128" s="2">
        <f t="shared" si="4"/>
        <v>15</v>
      </c>
      <c r="R128" s="2">
        <v>7.0</v>
      </c>
      <c r="S128" s="2">
        <v>9.0</v>
      </c>
      <c r="T128" s="2">
        <v>15.0</v>
      </c>
      <c r="U128" s="2">
        <v>14.0</v>
      </c>
      <c r="V128" s="2">
        <v>15.0</v>
      </c>
      <c r="W128" s="2">
        <v>15.0</v>
      </c>
      <c r="X128" s="2">
        <v>19.0</v>
      </c>
      <c r="Y128" s="2">
        <v>30.0</v>
      </c>
      <c r="Z128" s="2">
        <v>30.0</v>
      </c>
      <c r="AA128" s="2">
        <v>30.0</v>
      </c>
      <c r="AB128" s="2">
        <v>30.0</v>
      </c>
      <c r="AC128" s="2">
        <f t="shared" si="5"/>
        <v>10.7</v>
      </c>
      <c r="AD128" s="2">
        <v>50.0</v>
      </c>
      <c r="AE128" s="2">
        <v>350.0</v>
      </c>
      <c r="AF128" s="2">
        <v>1.0</v>
      </c>
      <c r="AG128" s="3">
        <f t="shared" si="6"/>
        <v>10.7</v>
      </c>
      <c r="AH128" s="3">
        <f t="shared" si="7"/>
        <v>10</v>
      </c>
      <c r="AI128" s="4">
        <f t="shared" si="8"/>
        <v>87.7</v>
      </c>
    </row>
    <row r="129" hidden="1">
      <c r="A129" s="1" t="s">
        <v>393</v>
      </c>
      <c r="B129" s="1" t="s">
        <v>394</v>
      </c>
      <c r="C129" s="2" t="s">
        <v>55</v>
      </c>
      <c r="D129" s="2" t="s">
        <v>395</v>
      </c>
      <c r="E129" s="2">
        <f>VLOOKUP(B129,'EC-Nitin'!$B$2:$F$46,5)</f>
        <v>24</v>
      </c>
      <c r="F129" s="2">
        <v>5.0</v>
      </c>
      <c r="G129" s="2">
        <f t="shared" si="1"/>
        <v>14.5</v>
      </c>
      <c r="H129" s="2">
        <v>4.0</v>
      </c>
      <c r="I129" s="2">
        <v>7.0</v>
      </c>
      <c r="J129" s="2">
        <v>20.0</v>
      </c>
      <c r="K129" s="3">
        <f t="shared" si="2"/>
        <v>4.972222222</v>
      </c>
      <c r="L129" s="2">
        <v>90.0</v>
      </c>
      <c r="M129" s="2">
        <v>170.0</v>
      </c>
      <c r="N129" s="2">
        <v>200.0</v>
      </c>
      <c r="O129" s="3">
        <f t="shared" si="3"/>
        <v>200</v>
      </c>
      <c r="P129" s="2">
        <v>95.0</v>
      </c>
      <c r="Q129" s="2">
        <f t="shared" si="4"/>
        <v>14.25</v>
      </c>
      <c r="R129" s="2">
        <v>7.0</v>
      </c>
      <c r="S129" s="2">
        <v>7.0</v>
      </c>
      <c r="T129" s="2">
        <v>13.0</v>
      </c>
      <c r="U129" s="2">
        <v>13.0</v>
      </c>
      <c r="V129" s="2">
        <v>14.0</v>
      </c>
      <c r="W129" s="2">
        <v>14.0</v>
      </c>
      <c r="X129" s="2">
        <v>20.0</v>
      </c>
      <c r="Y129" s="2">
        <v>30.0</v>
      </c>
      <c r="Z129" s="2">
        <v>30.0</v>
      </c>
      <c r="AA129" s="2">
        <v>29.0</v>
      </c>
      <c r="AB129" s="2">
        <v>28.0</v>
      </c>
      <c r="AC129" s="2">
        <f t="shared" si="5"/>
        <v>10.25</v>
      </c>
      <c r="AD129" s="2">
        <v>40.0</v>
      </c>
      <c r="AE129" s="2">
        <v>350.0</v>
      </c>
      <c r="AF129" s="2">
        <v>1.0</v>
      </c>
      <c r="AG129" s="3">
        <f t="shared" si="6"/>
        <v>10.25</v>
      </c>
      <c r="AH129" s="3">
        <f t="shared" si="7"/>
        <v>9.75</v>
      </c>
      <c r="AI129" s="4">
        <f t="shared" si="8"/>
        <v>53.72222222</v>
      </c>
    </row>
    <row r="130" hidden="1">
      <c r="A130" s="1" t="s">
        <v>396</v>
      </c>
      <c r="B130" s="1" t="s">
        <v>397</v>
      </c>
      <c r="C130" s="2" t="s">
        <v>32</v>
      </c>
      <c r="D130" s="2" t="s">
        <v>398</v>
      </c>
      <c r="E130" s="2">
        <f>VLOOKUP(B130,'EC-Nitin'!$B$2:$F$46,5)</f>
        <v>34</v>
      </c>
      <c r="F130" s="2">
        <v>10.0</v>
      </c>
      <c r="G130" s="2">
        <f t="shared" si="1"/>
        <v>22</v>
      </c>
      <c r="H130" s="2">
        <v>4.0</v>
      </c>
      <c r="I130" s="2">
        <v>17.5</v>
      </c>
      <c r="J130" s="2">
        <v>19.0</v>
      </c>
      <c r="K130" s="3">
        <f t="shared" si="2"/>
        <v>7.486111111</v>
      </c>
      <c r="L130" s="2">
        <v>100.0</v>
      </c>
      <c r="M130" s="2">
        <v>185.0</v>
      </c>
      <c r="O130" s="3">
        <f t="shared" si="3"/>
        <v>185</v>
      </c>
      <c r="P130" s="2">
        <v>95.0</v>
      </c>
      <c r="Q130" s="2">
        <f t="shared" si="4"/>
        <v>14.375</v>
      </c>
      <c r="S130" s="2">
        <v>5.0</v>
      </c>
      <c r="T130" s="2">
        <v>0.0</v>
      </c>
      <c r="U130" s="2">
        <v>5.0</v>
      </c>
      <c r="V130" s="2">
        <v>0.0</v>
      </c>
      <c r="W130" s="2">
        <v>0.0</v>
      </c>
      <c r="X130" s="2">
        <v>0.0</v>
      </c>
      <c r="Y130" s="2">
        <v>13.0</v>
      </c>
      <c r="Z130" s="2">
        <v>30.0</v>
      </c>
      <c r="AA130" s="2">
        <v>28.0</v>
      </c>
      <c r="AC130" s="2">
        <f t="shared" si="5"/>
        <v>4.05</v>
      </c>
      <c r="AD130" s="2">
        <v>49.0</v>
      </c>
      <c r="AE130" s="2">
        <v>346.0</v>
      </c>
      <c r="AF130" s="2">
        <v>1.0</v>
      </c>
      <c r="AG130" s="3">
        <f t="shared" si="6"/>
        <v>4.05</v>
      </c>
      <c r="AH130" s="3">
        <f t="shared" si="7"/>
        <v>9.875</v>
      </c>
      <c r="AI130" s="4">
        <f t="shared" si="8"/>
        <v>57.78611111</v>
      </c>
    </row>
    <row r="131" hidden="1">
      <c r="A131" s="1" t="s">
        <v>399</v>
      </c>
      <c r="B131" s="1" t="s">
        <v>400</v>
      </c>
      <c r="C131" s="2" t="s">
        <v>2</v>
      </c>
      <c r="D131" s="2" t="s">
        <v>401</v>
      </c>
      <c r="E131" s="2">
        <f>VLOOKUP(B131,'EC-Nitin'!$B$2:$F$46,5)</f>
        <v>45</v>
      </c>
      <c r="F131" s="2">
        <v>32.0</v>
      </c>
      <c r="G131" s="2">
        <f t="shared" si="1"/>
        <v>38.5</v>
      </c>
      <c r="H131" s="2">
        <v>6.0</v>
      </c>
      <c r="I131" s="2">
        <v>10.0</v>
      </c>
      <c r="J131" s="2">
        <v>39.0</v>
      </c>
      <c r="K131" s="3">
        <f t="shared" si="2"/>
        <v>8.333333333</v>
      </c>
      <c r="L131" s="2">
        <v>85.0</v>
      </c>
      <c r="M131" s="2">
        <v>160.0</v>
      </c>
      <c r="O131" s="3">
        <f t="shared" si="3"/>
        <v>160</v>
      </c>
      <c r="P131" s="2">
        <v>94.0</v>
      </c>
      <c r="Q131" s="2">
        <f t="shared" si="4"/>
        <v>12.95</v>
      </c>
      <c r="R131" s="2">
        <v>7.0</v>
      </c>
      <c r="S131" s="2">
        <v>2.0</v>
      </c>
      <c r="T131" s="2">
        <v>12.0</v>
      </c>
      <c r="U131" s="2">
        <v>14.0</v>
      </c>
      <c r="V131" s="2">
        <v>15.0</v>
      </c>
      <c r="W131" s="2">
        <v>13.0</v>
      </c>
      <c r="X131" s="2">
        <v>19.0</v>
      </c>
      <c r="Y131" s="2">
        <v>30.0</v>
      </c>
      <c r="Z131" s="2">
        <v>26.0</v>
      </c>
      <c r="AA131" s="2">
        <v>29.0</v>
      </c>
      <c r="AB131" s="2">
        <v>28.0</v>
      </c>
      <c r="AC131" s="2">
        <f t="shared" si="5"/>
        <v>9.75</v>
      </c>
      <c r="AD131" s="2">
        <v>50.0</v>
      </c>
      <c r="AE131" s="2">
        <v>342.0</v>
      </c>
      <c r="AF131" s="2">
        <v>0.5</v>
      </c>
      <c r="AG131" s="3">
        <f t="shared" si="6"/>
        <v>4.875</v>
      </c>
      <c r="AH131" s="3">
        <f t="shared" si="7"/>
        <v>9.8</v>
      </c>
      <c r="AI131" s="4">
        <f t="shared" si="8"/>
        <v>74.45833333</v>
      </c>
    </row>
    <row r="132" hidden="1">
      <c r="A132" s="1" t="s">
        <v>402</v>
      </c>
      <c r="B132" s="1" t="s">
        <v>403</v>
      </c>
      <c r="C132" s="2" t="s">
        <v>32</v>
      </c>
      <c r="D132" s="2" t="s">
        <v>404</v>
      </c>
      <c r="E132" s="2">
        <f>VLOOKUP(B132,'EC-Nitin'!$B$2:$F$46,5)</f>
        <v>34</v>
      </c>
      <c r="F132" s="2">
        <v>12.0</v>
      </c>
      <c r="G132" s="2">
        <f t="shared" si="1"/>
        <v>23</v>
      </c>
      <c r="H132" s="2">
        <v>2.0</v>
      </c>
      <c r="I132" s="2">
        <v>10.0</v>
      </c>
      <c r="J132" s="2">
        <v>31.0</v>
      </c>
      <c r="K132" s="3">
        <f t="shared" si="2"/>
        <v>6.444444444</v>
      </c>
      <c r="L132" s="2">
        <v>95.0</v>
      </c>
      <c r="M132" s="2">
        <v>185.0</v>
      </c>
      <c r="O132" s="3">
        <f t="shared" si="3"/>
        <v>185</v>
      </c>
      <c r="P132" s="2">
        <v>97.0</v>
      </c>
      <c r="Q132" s="2">
        <f t="shared" si="4"/>
        <v>14.225</v>
      </c>
      <c r="R132" s="2">
        <v>6.0</v>
      </c>
      <c r="S132" s="2">
        <v>2.0</v>
      </c>
      <c r="T132" s="2">
        <v>9.0</v>
      </c>
      <c r="U132" s="2">
        <v>10.0</v>
      </c>
      <c r="V132" s="2">
        <v>12.0</v>
      </c>
      <c r="W132" s="2">
        <v>5.0</v>
      </c>
      <c r="X132" s="2">
        <v>16.0</v>
      </c>
      <c r="Y132" s="2">
        <v>30.0</v>
      </c>
      <c r="Z132" s="2">
        <v>27.0</v>
      </c>
      <c r="AA132" s="2">
        <v>29.0</v>
      </c>
      <c r="AB132" s="2">
        <v>28.0</v>
      </c>
      <c r="AC132" s="2">
        <f t="shared" si="5"/>
        <v>8.7</v>
      </c>
      <c r="AD132" s="2">
        <v>48.0</v>
      </c>
      <c r="AE132" s="2">
        <v>343.0</v>
      </c>
      <c r="AF132" s="2">
        <v>1.0</v>
      </c>
      <c r="AG132" s="3">
        <f t="shared" si="6"/>
        <v>8.7</v>
      </c>
      <c r="AH132" s="3">
        <f t="shared" si="7"/>
        <v>9.775</v>
      </c>
      <c r="AI132" s="4">
        <f t="shared" si="8"/>
        <v>62.14444444</v>
      </c>
    </row>
    <row r="133" hidden="1">
      <c r="A133" s="1" t="s">
        <v>405</v>
      </c>
      <c r="B133" s="1" t="s">
        <v>406</v>
      </c>
      <c r="C133" s="2" t="s">
        <v>42</v>
      </c>
      <c r="D133" s="2" t="s">
        <v>407</v>
      </c>
      <c r="E133" s="2">
        <f>VLOOKUP(B133,'EC-Nitin'!$B$2:$F$46,5)</f>
        <v>51</v>
      </c>
      <c r="F133" s="2">
        <v>39.0</v>
      </c>
      <c r="G133" s="2">
        <f t="shared" si="1"/>
        <v>45</v>
      </c>
      <c r="H133" s="2">
        <v>19.0</v>
      </c>
      <c r="I133" s="2">
        <v>20.0</v>
      </c>
      <c r="J133" s="2">
        <v>39.0</v>
      </c>
      <c r="K133" s="3">
        <f t="shared" si="2"/>
        <v>14.08333333</v>
      </c>
      <c r="L133" s="2">
        <v>90.0</v>
      </c>
      <c r="M133" s="2">
        <v>200.0</v>
      </c>
      <c r="O133" s="3">
        <f t="shared" si="3"/>
        <v>200</v>
      </c>
      <c r="P133" s="2">
        <v>100.0</v>
      </c>
      <c r="Q133" s="2">
        <f t="shared" si="4"/>
        <v>14.5</v>
      </c>
      <c r="R133" s="2">
        <v>7.0</v>
      </c>
      <c r="S133" s="2">
        <v>10.0</v>
      </c>
      <c r="T133" s="2">
        <v>15.0</v>
      </c>
      <c r="V133" s="2">
        <v>15.0</v>
      </c>
      <c r="W133" s="2">
        <v>15.0</v>
      </c>
      <c r="X133" s="2">
        <v>20.0</v>
      </c>
      <c r="Y133" s="2">
        <v>30.0</v>
      </c>
      <c r="Z133" s="2">
        <v>27.0</v>
      </c>
      <c r="AA133" s="2">
        <v>30.0</v>
      </c>
      <c r="AB133" s="2">
        <v>30.0</v>
      </c>
      <c r="AC133" s="2">
        <f t="shared" si="5"/>
        <v>9.95</v>
      </c>
      <c r="AD133" s="2">
        <v>20.0</v>
      </c>
      <c r="AE133" s="2">
        <v>346.0</v>
      </c>
      <c r="AF133" s="2">
        <v>1.0</v>
      </c>
      <c r="AG133" s="3">
        <f t="shared" si="6"/>
        <v>9.95</v>
      </c>
      <c r="AH133" s="3">
        <f t="shared" si="7"/>
        <v>9.15</v>
      </c>
      <c r="AI133" s="4">
        <f t="shared" si="8"/>
        <v>92.68333333</v>
      </c>
    </row>
    <row r="134" hidden="1">
      <c r="A134" s="1" t="s">
        <v>408</v>
      </c>
      <c r="B134" s="1" t="s">
        <v>409</v>
      </c>
      <c r="C134" s="2" t="s">
        <v>6</v>
      </c>
      <c r="D134" s="2" t="s">
        <v>410</v>
      </c>
      <c r="E134" s="2">
        <f>VLOOKUP(B134,'EC-Nitin'!$B$2:$F$46,5)</f>
        <v>48</v>
      </c>
      <c r="F134" s="2">
        <v>30.0</v>
      </c>
      <c r="G134" s="2">
        <f t="shared" si="1"/>
        <v>39</v>
      </c>
      <c r="H134" s="2">
        <v>9.0</v>
      </c>
      <c r="I134" s="2">
        <v>19.0</v>
      </c>
      <c r="J134" s="2">
        <v>33.0</v>
      </c>
      <c r="K134" s="3">
        <f t="shared" si="2"/>
        <v>10.66666667</v>
      </c>
      <c r="L134" s="2">
        <v>90.0</v>
      </c>
      <c r="M134" s="2">
        <v>200.0</v>
      </c>
      <c r="O134" s="3">
        <f t="shared" si="3"/>
        <v>200</v>
      </c>
      <c r="P134" s="2">
        <v>98.0</v>
      </c>
      <c r="Q134" s="2">
        <f t="shared" si="4"/>
        <v>14.4</v>
      </c>
      <c r="R134" s="2">
        <v>7.0</v>
      </c>
      <c r="S134" s="2">
        <v>9.0</v>
      </c>
      <c r="T134" s="2">
        <v>5.0</v>
      </c>
      <c r="U134" s="2">
        <v>14.0</v>
      </c>
      <c r="V134" s="2">
        <v>12.0</v>
      </c>
      <c r="W134" s="2">
        <v>14.0</v>
      </c>
      <c r="X134" s="2">
        <v>20.0</v>
      </c>
      <c r="Y134" s="2">
        <v>30.0</v>
      </c>
      <c r="Z134" s="2">
        <v>21.0</v>
      </c>
      <c r="AA134" s="2">
        <v>30.0</v>
      </c>
      <c r="AB134" s="2">
        <v>30.0</v>
      </c>
      <c r="AC134" s="2">
        <f t="shared" si="5"/>
        <v>9.6</v>
      </c>
      <c r="AD134" s="2">
        <v>50.0</v>
      </c>
      <c r="AE134" s="2">
        <v>346.0</v>
      </c>
      <c r="AF134" s="2">
        <v>1.0</v>
      </c>
      <c r="AG134" s="3">
        <f t="shared" si="6"/>
        <v>9.6</v>
      </c>
      <c r="AH134" s="3">
        <f t="shared" si="7"/>
        <v>9.9</v>
      </c>
      <c r="AI134" s="4">
        <f t="shared" si="8"/>
        <v>83.56666667</v>
      </c>
    </row>
    <row r="135" hidden="1">
      <c r="A135" s="1" t="s">
        <v>411</v>
      </c>
      <c r="B135" s="1" t="s">
        <v>412</v>
      </c>
      <c r="C135" s="2" t="s">
        <v>2</v>
      </c>
      <c r="D135" s="2" t="s">
        <v>413</v>
      </c>
      <c r="E135" s="2">
        <f>VLOOKUP(B135,'EC-Nitin'!$B$2:$F$46,5)</f>
        <v>42</v>
      </c>
      <c r="F135" s="2">
        <v>25.0</v>
      </c>
      <c r="G135" s="2">
        <f t="shared" si="1"/>
        <v>33.5</v>
      </c>
      <c r="H135" s="2">
        <v>8.0</v>
      </c>
      <c r="I135" s="2">
        <v>16.0</v>
      </c>
      <c r="J135" s="2">
        <v>41.0</v>
      </c>
      <c r="K135" s="3">
        <f t="shared" si="2"/>
        <v>10.55555556</v>
      </c>
      <c r="L135" s="2">
        <v>80.0</v>
      </c>
      <c r="M135" s="2">
        <v>185.0</v>
      </c>
      <c r="N135" s="2">
        <v>165.0</v>
      </c>
      <c r="O135" s="3">
        <f t="shared" si="3"/>
        <v>185</v>
      </c>
      <c r="P135" s="2">
        <v>99.0</v>
      </c>
      <c r="Q135" s="2">
        <f t="shared" si="4"/>
        <v>13.575</v>
      </c>
      <c r="R135" s="2">
        <v>6.0</v>
      </c>
      <c r="S135" s="2">
        <v>5.0</v>
      </c>
      <c r="T135" s="2">
        <v>12.0</v>
      </c>
      <c r="U135" s="2">
        <v>13.0</v>
      </c>
      <c r="V135" s="2">
        <v>10.0</v>
      </c>
      <c r="W135" s="2">
        <v>11.0</v>
      </c>
      <c r="X135" s="2">
        <v>16.0</v>
      </c>
      <c r="Y135" s="2">
        <v>27.0</v>
      </c>
      <c r="Z135" s="2">
        <v>18.0</v>
      </c>
      <c r="AA135" s="2">
        <v>29.0</v>
      </c>
      <c r="AC135" s="2">
        <f t="shared" si="5"/>
        <v>7.35</v>
      </c>
      <c r="AD135" s="2">
        <v>45.0</v>
      </c>
      <c r="AE135" s="2">
        <v>346.0</v>
      </c>
      <c r="AF135" s="2">
        <v>1.0</v>
      </c>
      <c r="AG135" s="3">
        <f t="shared" si="6"/>
        <v>7.35</v>
      </c>
      <c r="AH135" s="3">
        <f t="shared" si="7"/>
        <v>9.775</v>
      </c>
      <c r="AI135" s="4">
        <f t="shared" si="8"/>
        <v>74.75555556</v>
      </c>
    </row>
    <row r="136" hidden="1">
      <c r="A136" s="1" t="s">
        <v>414</v>
      </c>
      <c r="B136" s="1" t="s">
        <v>415</v>
      </c>
      <c r="C136" s="2" t="s">
        <v>2</v>
      </c>
      <c r="D136" s="2" t="s">
        <v>416</v>
      </c>
      <c r="E136" s="2">
        <f>VLOOKUP(B136,'EC-Nitin'!$B$2:$F$46,5)</f>
        <v>45</v>
      </c>
      <c r="F136" s="2">
        <v>18.0</v>
      </c>
      <c r="G136" s="2">
        <f t="shared" si="1"/>
        <v>31.5</v>
      </c>
      <c r="H136" s="2">
        <v>8.0</v>
      </c>
      <c r="I136" s="2">
        <v>15.0</v>
      </c>
      <c r="J136" s="2">
        <v>34.0</v>
      </c>
      <c r="K136" s="3">
        <f t="shared" si="2"/>
        <v>9.527777778</v>
      </c>
      <c r="L136" s="2">
        <v>90.0</v>
      </c>
      <c r="M136" s="2">
        <v>200.0</v>
      </c>
      <c r="N136" s="2">
        <v>165.0</v>
      </c>
      <c r="O136" s="3">
        <f t="shared" si="3"/>
        <v>200</v>
      </c>
      <c r="P136" s="2">
        <v>100.0</v>
      </c>
      <c r="Q136" s="2">
        <f t="shared" si="4"/>
        <v>14.5</v>
      </c>
      <c r="R136" s="2">
        <v>5.0</v>
      </c>
      <c r="S136" s="2">
        <v>4.0</v>
      </c>
      <c r="T136" s="2">
        <v>15.0</v>
      </c>
      <c r="U136" s="2">
        <v>14.0</v>
      </c>
      <c r="V136" s="2">
        <v>15.0</v>
      </c>
      <c r="W136" s="2">
        <v>10.0</v>
      </c>
      <c r="X136" s="2">
        <v>16.0</v>
      </c>
      <c r="Y136" s="2">
        <v>27.0</v>
      </c>
      <c r="Z136" s="2">
        <v>27.0</v>
      </c>
      <c r="AA136" s="2">
        <v>30.0</v>
      </c>
      <c r="AB136" s="2">
        <v>30.0</v>
      </c>
      <c r="AC136" s="2">
        <f t="shared" si="5"/>
        <v>9.65</v>
      </c>
      <c r="AD136" s="2">
        <v>46.0</v>
      </c>
      <c r="AE136" s="2">
        <v>348.0</v>
      </c>
      <c r="AF136" s="2">
        <v>1.0</v>
      </c>
      <c r="AG136" s="3">
        <f t="shared" si="6"/>
        <v>9.65</v>
      </c>
      <c r="AH136" s="3">
        <f t="shared" si="7"/>
        <v>9.85</v>
      </c>
      <c r="AI136" s="4">
        <f t="shared" si="8"/>
        <v>75.02777778</v>
      </c>
    </row>
    <row r="137" hidden="1">
      <c r="A137" s="1" t="s">
        <v>417</v>
      </c>
      <c r="B137" s="1" t="s">
        <v>418</v>
      </c>
      <c r="C137" s="2" t="s">
        <v>32</v>
      </c>
      <c r="D137" s="2" t="s">
        <v>419</v>
      </c>
      <c r="E137" s="2">
        <f>VLOOKUP(B137,'EC-Nitin'!$B$2:$F$46,5)</f>
        <v>36</v>
      </c>
      <c r="F137" s="2">
        <v>27.0</v>
      </c>
      <c r="G137" s="2">
        <f t="shared" si="1"/>
        <v>31.5</v>
      </c>
      <c r="J137" s="2">
        <v>22.0</v>
      </c>
      <c r="K137" s="3">
        <f t="shared" si="2"/>
        <v>2.444444444</v>
      </c>
      <c r="L137" s="2">
        <v>85.0</v>
      </c>
      <c r="M137" s="2">
        <v>165.0</v>
      </c>
      <c r="O137" s="3">
        <f t="shared" si="3"/>
        <v>165</v>
      </c>
      <c r="P137" s="2">
        <v>94.0</v>
      </c>
      <c r="Q137" s="2">
        <f t="shared" si="4"/>
        <v>13.075</v>
      </c>
      <c r="R137" s="2">
        <v>7.0</v>
      </c>
      <c r="S137" s="2">
        <v>6.0</v>
      </c>
      <c r="T137" s="2">
        <v>6.0</v>
      </c>
      <c r="U137" s="2">
        <v>5.0</v>
      </c>
      <c r="V137" s="2">
        <v>0.0</v>
      </c>
      <c r="W137" s="2">
        <v>6.0</v>
      </c>
      <c r="X137" s="2">
        <v>9.0</v>
      </c>
      <c r="Y137" s="2">
        <v>27.0</v>
      </c>
      <c r="Z137" s="2">
        <v>27.0</v>
      </c>
      <c r="AA137" s="2">
        <v>29.0</v>
      </c>
      <c r="AC137" s="2">
        <f t="shared" si="5"/>
        <v>6.1</v>
      </c>
      <c r="AE137" s="2">
        <v>325.0</v>
      </c>
      <c r="AF137" s="2">
        <v>1.0</v>
      </c>
      <c r="AG137" s="3">
        <f t="shared" si="6"/>
        <v>6.1</v>
      </c>
      <c r="AH137" s="3">
        <f t="shared" si="7"/>
        <v>8.125</v>
      </c>
      <c r="AI137" s="4">
        <f t="shared" si="8"/>
        <v>61.24444444</v>
      </c>
    </row>
    <row r="138" hidden="1">
      <c r="A138" s="1" t="s">
        <v>420</v>
      </c>
      <c r="B138" s="1" t="s">
        <v>421</v>
      </c>
      <c r="C138" s="2" t="s">
        <v>42</v>
      </c>
      <c r="D138" s="2" t="s">
        <v>422</v>
      </c>
      <c r="E138" s="2">
        <f>VLOOKUP(B138,'EC-Nitin'!$B$2:$F$46,5)</f>
        <v>49</v>
      </c>
      <c r="F138" s="2">
        <v>36.0</v>
      </c>
      <c r="G138" s="2">
        <f t="shared" si="1"/>
        <v>42.5</v>
      </c>
      <c r="H138" s="2">
        <v>16.0</v>
      </c>
      <c r="I138" s="2">
        <v>17.0</v>
      </c>
      <c r="J138" s="2">
        <v>39.0</v>
      </c>
      <c r="K138" s="3">
        <f t="shared" si="2"/>
        <v>12.58333333</v>
      </c>
      <c r="L138" s="2">
        <v>100.0</v>
      </c>
      <c r="M138" s="2">
        <v>200.0</v>
      </c>
      <c r="O138" s="3">
        <f t="shared" si="3"/>
        <v>200</v>
      </c>
      <c r="P138" s="2">
        <v>99.0</v>
      </c>
      <c r="Q138" s="2">
        <f t="shared" si="4"/>
        <v>14.95</v>
      </c>
      <c r="R138" s="2">
        <v>7.0</v>
      </c>
      <c r="S138" s="2">
        <v>9.0</v>
      </c>
      <c r="T138" s="2">
        <v>12.0</v>
      </c>
      <c r="U138" s="2">
        <v>14.0</v>
      </c>
      <c r="V138" s="2">
        <v>15.0</v>
      </c>
      <c r="W138" s="2">
        <v>14.0</v>
      </c>
      <c r="X138" s="2">
        <v>20.0</v>
      </c>
      <c r="Y138" s="2">
        <v>30.0</v>
      </c>
      <c r="Z138" s="2">
        <v>27.0</v>
      </c>
      <c r="AA138" s="2">
        <v>30.0</v>
      </c>
      <c r="AB138" s="2">
        <v>30.0</v>
      </c>
      <c r="AC138" s="2">
        <f t="shared" si="5"/>
        <v>10.4</v>
      </c>
      <c r="AD138" s="2">
        <v>40.0</v>
      </c>
      <c r="AE138" s="2">
        <v>343.0</v>
      </c>
      <c r="AF138" s="2">
        <v>1.0</v>
      </c>
      <c r="AG138" s="3">
        <f t="shared" si="6"/>
        <v>10.4</v>
      </c>
      <c r="AH138" s="3">
        <f t="shared" si="7"/>
        <v>9.575</v>
      </c>
      <c r="AI138" s="4">
        <f t="shared" si="8"/>
        <v>90.00833333</v>
      </c>
    </row>
    <row r="139" hidden="1">
      <c r="A139" s="1" t="s">
        <v>423</v>
      </c>
      <c r="B139" s="1" t="s">
        <v>424</v>
      </c>
      <c r="C139" s="2" t="s">
        <v>6</v>
      </c>
      <c r="D139" s="2" t="s">
        <v>425</v>
      </c>
      <c r="E139" s="2">
        <f>VLOOKUP(B139,'EC-Nitin'!$B$2:$F$46,5)</f>
        <v>48</v>
      </c>
      <c r="F139" s="2">
        <v>33.0</v>
      </c>
      <c r="G139" s="2">
        <f t="shared" si="1"/>
        <v>40.5</v>
      </c>
      <c r="H139" s="2">
        <v>7.0</v>
      </c>
      <c r="I139" s="2">
        <v>18.0</v>
      </c>
      <c r="J139" s="2">
        <v>36.0</v>
      </c>
      <c r="K139" s="3">
        <f t="shared" si="2"/>
        <v>10.25</v>
      </c>
      <c r="L139" s="2">
        <v>100.0</v>
      </c>
      <c r="M139" s="2">
        <v>185.0</v>
      </c>
      <c r="O139" s="3">
        <f t="shared" si="3"/>
        <v>185</v>
      </c>
      <c r="P139" s="2">
        <v>95.0</v>
      </c>
      <c r="Q139" s="2">
        <f t="shared" si="4"/>
        <v>14.375</v>
      </c>
      <c r="R139" s="2">
        <v>7.0</v>
      </c>
      <c r="T139" s="2">
        <v>9.0</v>
      </c>
      <c r="U139" s="2">
        <v>10.0</v>
      </c>
      <c r="V139" s="2">
        <v>7.0</v>
      </c>
      <c r="W139" s="2">
        <v>14.0</v>
      </c>
      <c r="X139" s="2">
        <v>7.0</v>
      </c>
      <c r="Y139" s="2">
        <v>30.0</v>
      </c>
      <c r="Z139" s="2">
        <v>27.0</v>
      </c>
      <c r="AA139" s="2">
        <v>29.0</v>
      </c>
      <c r="AB139" s="2">
        <v>27.0</v>
      </c>
      <c r="AC139" s="2">
        <f t="shared" si="5"/>
        <v>8.35</v>
      </c>
      <c r="AD139" s="2">
        <v>25.0</v>
      </c>
      <c r="AE139" s="2">
        <v>345.0</v>
      </c>
      <c r="AF139" s="2">
        <v>1.0</v>
      </c>
      <c r="AG139" s="3">
        <f t="shared" si="6"/>
        <v>8.35</v>
      </c>
      <c r="AH139" s="3">
        <f t="shared" si="7"/>
        <v>9.25</v>
      </c>
      <c r="AI139" s="4">
        <f t="shared" si="8"/>
        <v>82.725</v>
      </c>
    </row>
    <row r="140" hidden="1">
      <c r="A140" s="1" t="s">
        <v>426</v>
      </c>
      <c r="B140" s="1" t="s">
        <v>427</v>
      </c>
      <c r="C140" s="2" t="s">
        <v>6</v>
      </c>
      <c r="D140" s="2" t="s">
        <v>428</v>
      </c>
      <c r="E140" s="2">
        <f>VLOOKUP(B140,'EC-Nitin'!$B$2:$F$46,5)</f>
        <v>47</v>
      </c>
      <c r="F140" s="2">
        <v>36.0</v>
      </c>
      <c r="G140" s="2">
        <f t="shared" si="1"/>
        <v>41.5</v>
      </c>
      <c r="H140" s="2">
        <v>9.0</v>
      </c>
      <c r="J140" s="2">
        <v>37.0</v>
      </c>
      <c r="K140" s="3">
        <f t="shared" si="2"/>
        <v>6.361111111</v>
      </c>
      <c r="L140" s="2">
        <v>85.0</v>
      </c>
      <c r="M140" s="2">
        <v>200.0</v>
      </c>
      <c r="O140" s="3">
        <f t="shared" si="3"/>
        <v>200</v>
      </c>
      <c r="P140" s="2">
        <v>96.0</v>
      </c>
      <c r="Q140" s="2">
        <f t="shared" si="4"/>
        <v>14.05</v>
      </c>
      <c r="R140" s="2">
        <v>7.0</v>
      </c>
      <c r="S140" s="2">
        <v>7.0</v>
      </c>
      <c r="T140" s="2">
        <v>15.0</v>
      </c>
      <c r="U140" s="2">
        <v>12.0</v>
      </c>
      <c r="V140" s="2">
        <v>15.0</v>
      </c>
      <c r="W140" s="2">
        <v>14.0</v>
      </c>
      <c r="X140" s="2">
        <v>20.0</v>
      </c>
      <c r="Y140" s="2">
        <v>30.0</v>
      </c>
      <c r="Z140" s="2">
        <v>30.0</v>
      </c>
      <c r="AA140" s="2">
        <v>30.0</v>
      </c>
      <c r="AB140" s="2">
        <v>30.0</v>
      </c>
      <c r="AC140" s="2">
        <f t="shared" si="5"/>
        <v>10.5</v>
      </c>
      <c r="AD140" s="2">
        <v>48.0</v>
      </c>
      <c r="AE140" s="2">
        <v>343.0</v>
      </c>
      <c r="AF140" s="2">
        <v>1.0</v>
      </c>
      <c r="AG140" s="3">
        <f t="shared" si="6"/>
        <v>10.5</v>
      </c>
      <c r="AH140" s="3">
        <f t="shared" si="7"/>
        <v>9.775</v>
      </c>
      <c r="AI140" s="4">
        <f t="shared" si="8"/>
        <v>82.18611111</v>
      </c>
    </row>
    <row r="141" hidden="1">
      <c r="A141" s="1" t="s">
        <v>429</v>
      </c>
      <c r="B141" s="1" t="s">
        <v>430</v>
      </c>
      <c r="C141" s="2" t="s">
        <v>2</v>
      </c>
      <c r="D141" s="2" t="s">
        <v>431</v>
      </c>
      <c r="E141" s="2">
        <f>VLOOKUP(B141,'EC-Nitin'!$B$2:$F$46,5)</f>
        <v>41</v>
      </c>
      <c r="F141" s="2">
        <v>31.0</v>
      </c>
      <c r="G141" s="2">
        <f t="shared" si="1"/>
        <v>36</v>
      </c>
      <c r="H141" s="2">
        <v>11.0</v>
      </c>
      <c r="I141" s="2">
        <v>15.0</v>
      </c>
      <c r="J141" s="2">
        <v>32.0</v>
      </c>
      <c r="K141" s="3">
        <f t="shared" si="2"/>
        <v>10.05555556</v>
      </c>
      <c r="L141" s="2">
        <v>85.0</v>
      </c>
      <c r="M141" s="2">
        <v>175.0</v>
      </c>
      <c r="O141" s="3">
        <f t="shared" si="3"/>
        <v>175</v>
      </c>
      <c r="P141" s="2">
        <v>98.0</v>
      </c>
      <c r="Q141" s="2">
        <f t="shared" si="4"/>
        <v>13.525</v>
      </c>
      <c r="R141" s="2">
        <v>7.0</v>
      </c>
      <c r="S141" s="2">
        <v>6.0</v>
      </c>
      <c r="T141" s="2">
        <v>7.0</v>
      </c>
      <c r="U141" s="2">
        <v>6.0</v>
      </c>
      <c r="V141" s="2">
        <v>15.0</v>
      </c>
      <c r="W141" s="2">
        <v>13.0</v>
      </c>
      <c r="X141" s="2">
        <v>15.0</v>
      </c>
      <c r="Y141" s="2">
        <v>30.0</v>
      </c>
      <c r="Z141" s="2">
        <v>27.0</v>
      </c>
      <c r="AA141" s="2">
        <v>29.0</v>
      </c>
      <c r="AB141" s="2">
        <v>27.0</v>
      </c>
      <c r="AC141" s="2">
        <f t="shared" si="5"/>
        <v>9.1</v>
      </c>
      <c r="AD141" s="2">
        <v>50.0</v>
      </c>
      <c r="AE141" s="2">
        <v>346.0</v>
      </c>
      <c r="AF141" s="2">
        <v>1.0</v>
      </c>
      <c r="AG141" s="3">
        <f t="shared" si="6"/>
        <v>9.1</v>
      </c>
      <c r="AH141" s="3">
        <f t="shared" si="7"/>
        <v>9.9</v>
      </c>
      <c r="AI141" s="4">
        <f t="shared" si="8"/>
        <v>78.58055556</v>
      </c>
    </row>
    <row r="142" hidden="1">
      <c r="A142" s="1" t="s">
        <v>432</v>
      </c>
      <c r="B142" s="1" t="s">
        <v>433</v>
      </c>
      <c r="C142" s="2" t="s">
        <v>6</v>
      </c>
      <c r="D142" s="2" t="s">
        <v>434</v>
      </c>
      <c r="E142" s="2">
        <f>VLOOKUP(B142,'EC-Nitin'!$B$2:$F$46,5)</f>
        <v>46</v>
      </c>
      <c r="F142" s="2">
        <v>29.0</v>
      </c>
      <c r="G142" s="2">
        <f t="shared" si="1"/>
        <v>37.5</v>
      </c>
      <c r="H142" s="2">
        <v>10.0</v>
      </c>
      <c r="I142" s="2">
        <v>14.5</v>
      </c>
      <c r="J142" s="2">
        <v>43.0</v>
      </c>
      <c r="K142" s="3">
        <f t="shared" si="2"/>
        <v>10.90277778</v>
      </c>
      <c r="L142" s="2">
        <v>80.0</v>
      </c>
      <c r="M142" s="2">
        <v>180.0</v>
      </c>
      <c r="O142" s="3">
        <f t="shared" si="3"/>
        <v>180</v>
      </c>
      <c r="P142" s="2">
        <v>98.0</v>
      </c>
      <c r="Q142" s="2">
        <f t="shared" si="4"/>
        <v>13.4</v>
      </c>
      <c r="R142" s="2">
        <v>6.0</v>
      </c>
      <c r="S142" s="2">
        <v>5.0</v>
      </c>
      <c r="T142" s="2">
        <v>10.0</v>
      </c>
      <c r="U142" s="2">
        <v>10.0</v>
      </c>
      <c r="V142" s="2">
        <v>15.0</v>
      </c>
      <c r="W142" s="2">
        <v>14.0</v>
      </c>
      <c r="X142" s="2">
        <v>20.0</v>
      </c>
      <c r="Y142" s="2">
        <v>30.0</v>
      </c>
      <c r="Z142" s="2">
        <v>24.0</v>
      </c>
      <c r="AA142" s="2">
        <v>29.0</v>
      </c>
      <c r="AB142" s="2">
        <v>30.0</v>
      </c>
      <c r="AC142" s="2">
        <f t="shared" si="5"/>
        <v>9.65</v>
      </c>
      <c r="AD142" s="2">
        <v>50.0</v>
      </c>
      <c r="AE142" s="2">
        <v>345.0</v>
      </c>
      <c r="AF142" s="2">
        <v>1.0</v>
      </c>
      <c r="AG142" s="3">
        <f t="shared" si="6"/>
        <v>9.65</v>
      </c>
      <c r="AH142" s="3">
        <f t="shared" si="7"/>
        <v>9.875</v>
      </c>
      <c r="AI142" s="4">
        <f t="shared" si="8"/>
        <v>81.32777778</v>
      </c>
    </row>
    <row r="143" hidden="1">
      <c r="A143" s="1" t="s">
        <v>435</v>
      </c>
      <c r="B143" s="1" t="s">
        <v>436</v>
      </c>
      <c r="C143" s="2" t="s">
        <v>2</v>
      </c>
      <c r="D143" s="2" t="s">
        <v>437</v>
      </c>
      <c r="E143" s="2">
        <f>VLOOKUP(B143,'EC-Nitin'!$B$2:$F$46,5)</f>
        <v>42</v>
      </c>
      <c r="F143" s="2">
        <v>24.0</v>
      </c>
      <c r="G143" s="2">
        <f t="shared" si="1"/>
        <v>33</v>
      </c>
      <c r="H143" s="2">
        <v>8.0</v>
      </c>
      <c r="I143" s="2">
        <v>14.5</v>
      </c>
      <c r="J143" s="2">
        <v>34.0</v>
      </c>
      <c r="K143" s="3">
        <f t="shared" si="2"/>
        <v>9.402777778</v>
      </c>
      <c r="L143" s="2">
        <v>90.0</v>
      </c>
      <c r="M143" s="2">
        <v>160.0</v>
      </c>
      <c r="O143" s="3">
        <f t="shared" si="3"/>
        <v>160</v>
      </c>
      <c r="P143" s="2">
        <v>99.0</v>
      </c>
      <c r="Q143" s="2">
        <f t="shared" si="4"/>
        <v>13.45</v>
      </c>
      <c r="R143" s="2">
        <v>7.0</v>
      </c>
      <c r="S143" s="2">
        <v>6.0</v>
      </c>
      <c r="T143" s="2">
        <v>14.0</v>
      </c>
      <c r="U143" s="2">
        <v>14.0</v>
      </c>
      <c r="V143" s="2">
        <v>15.0</v>
      </c>
      <c r="W143" s="2">
        <v>14.0</v>
      </c>
      <c r="X143" s="2">
        <v>18.0</v>
      </c>
      <c r="Y143" s="2">
        <v>30.0</v>
      </c>
      <c r="Z143" s="2">
        <v>30.0</v>
      </c>
      <c r="AA143" s="2">
        <v>29.0</v>
      </c>
      <c r="AB143" s="2">
        <v>29.0</v>
      </c>
      <c r="AC143" s="2">
        <f t="shared" si="5"/>
        <v>10.3</v>
      </c>
      <c r="AD143" s="2">
        <v>30.0</v>
      </c>
      <c r="AE143" s="2">
        <v>345.0</v>
      </c>
      <c r="AF143" s="2">
        <v>1.0</v>
      </c>
      <c r="AG143" s="3">
        <f t="shared" si="6"/>
        <v>10.3</v>
      </c>
      <c r="AH143" s="3">
        <f t="shared" si="7"/>
        <v>9.375</v>
      </c>
      <c r="AI143" s="4">
        <f t="shared" si="8"/>
        <v>75.52777778</v>
      </c>
    </row>
    <row r="144" hidden="1">
      <c r="A144" s="1" t="s">
        <v>438</v>
      </c>
      <c r="B144" s="1" t="s">
        <v>439</v>
      </c>
      <c r="C144" s="2" t="s">
        <v>2</v>
      </c>
      <c r="D144" s="2" t="s">
        <v>440</v>
      </c>
      <c r="E144" s="2">
        <f>VLOOKUP(B144,'EC-Nitin'!$B$2:$F$46,5)</f>
        <v>43</v>
      </c>
      <c r="F144" s="2">
        <v>32.0</v>
      </c>
      <c r="G144" s="2">
        <f t="shared" si="1"/>
        <v>37.5</v>
      </c>
      <c r="H144" s="2">
        <v>13.0</v>
      </c>
      <c r="I144" s="2">
        <v>17.5</v>
      </c>
      <c r="J144" s="2">
        <v>-1.0</v>
      </c>
      <c r="K144" s="3">
        <f t="shared" si="2"/>
        <v>7.513888889</v>
      </c>
      <c r="L144" s="2">
        <v>85.0</v>
      </c>
      <c r="M144" s="2">
        <v>200.0</v>
      </c>
      <c r="O144" s="3">
        <f t="shared" si="3"/>
        <v>200</v>
      </c>
      <c r="P144" s="2">
        <v>99.0</v>
      </c>
      <c r="Q144" s="2">
        <f t="shared" si="4"/>
        <v>14.2</v>
      </c>
      <c r="R144" s="2">
        <v>7.0</v>
      </c>
      <c r="S144" s="2">
        <v>10.0</v>
      </c>
      <c r="T144" s="2">
        <v>12.0</v>
      </c>
      <c r="V144" s="2">
        <v>14.0</v>
      </c>
      <c r="W144" s="2">
        <v>15.0</v>
      </c>
      <c r="X144" s="2">
        <v>17.0</v>
      </c>
      <c r="Y144" s="2">
        <v>30.0</v>
      </c>
      <c r="Z144" s="2">
        <v>27.0</v>
      </c>
      <c r="AA144" s="2">
        <v>30.0</v>
      </c>
      <c r="AB144" s="2">
        <v>29.0</v>
      </c>
      <c r="AC144" s="2">
        <f t="shared" si="5"/>
        <v>9.55</v>
      </c>
      <c r="AD144" s="2">
        <v>50.0</v>
      </c>
      <c r="AE144" s="2">
        <v>348.0</v>
      </c>
      <c r="AF144" s="2">
        <v>1.0</v>
      </c>
      <c r="AG144" s="3">
        <f t="shared" si="6"/>
        <v>9.55</v>
      </c>
      <c r="AH144" s="3">
        <f t="shared" si="7"/>
        <v>9.95</v>
      </c>
      <c r="AI144" s="4">
        <f t="shared" si="8"/>
        <v>78.71388889</v>
      </c>
    </row>
    <row r="145" hidden="1">
      <c r="A145" s="1" t="s">
        <v>441</v>
      </c>
      <c r="B145" s="1" t="s">
        <v>442</v>
      </c>
      <c r="C145" s="2" t="s">
        <v>2</v>
      </c>
      <c r="D145" s="2" t="s">
        <v>443</v>
      </c>
      <c r="E145" s="2">
        <f>VLOOKUP(B145,'EC-Nitin'!$B$2:$F$46,5)</f>
        <v>44</v>
      </c>
      <c r="F145" s="2">
        <v>29.0</v>
      </c>
      <c r="G145" s="2">
        <f t="shared" si="1"/>
        <v>36.5</v>
      </c>
      <c r="H145" s="2">
        <v>10.0</v>
      </c>
      <c r="I145" s="2">
        <v>16.0</v>
      </c>
      <c r="J145" s="2">
        <v>43.0</v>
      </c>
      <c r="K145" s="3">
        <f t="shared" si="2"/>
        <v>11.27777778</v>
      </c>
      <c r="L145" s="2">
        <v>95.0</v>
      </c>
      <c r="M145" s="2">
        <v>200.0</v>
      </c>
      <c r="N145" s="2">
        <v>170.0</v>
      </c>
      <c r="O145" s="3">
        <f t="shared" si="3"/>
        <v>200</v>
      </c>
      <c r="P145" s="2">
        <v>9.0</v>
      </c>
      <c r="Q145" s="2">
        <f t="shared" si="4"/>
        <v>10.2</v>
      </c>
      <c r="R145" s="2">
        <v>7.0</v>
      </c>
      <c r="S145" s="2">
        <v>6.0</v>
      </c>
      <c r="T145" s="2">
        <v>9.0</v>
      </c>
      <c r="U145" s="2">
        <v>15.0</v>
      </c>
      <c r="V145" s="2">
        <v>12.0</v>
      </c>
      <c r="W145" s="2">
        <v>10.0</v>
      </c>
      <c r="X145" s="2">
        <v>17.0</v>
      </c>
      <c r="Y145" s="2">
        <v>27.0</v>
      </c>
      <c r="Z145" s="2">
        <v>27.0</v>
      </c>
      <c r="AA145" s="2">
        <v>28.0</v>
      </c>
      <c r="AB145" s="2">
        <v>29.0</v>
      </c>
      <c r="AC145" s="2">
        <f t="shared" si="5"/>
        <v>9.35</v>
      </c>
      <c r="AD145" s="2">
        <v>50.0</v>
      </c>
      <c r="AE145" s="2">
        <v>347.0</v>
      </c>
      <c r="AF145" s="2">
        <v>1.0</v>
      </c>
      <c r="AG145" s="3">
        <f t="shared" si="6"/>
        <v>9.35</v>
      </c>
      <c r="AH145" s="3">
        <f t="shared" si="7"/>
        <v>9.925</v>
      </c>
      <c r="AI145" s="4">
        <f t="shared" si="8"/>
        <v>77.25277778</v>
      </c>
    </row>
    <row r="146" hidden="1">
      <c r="A146" s="1" t="s">
        <v>444</v>
      </c>
      <c r="B146" s="1" t="s">
        <v>445</v>
      </c>
      <c r="C146" s="2" t="s">
        <v>6</v>
      </c>
      <c r="D146" s="2" t="s">
        <v>446</v>
      </c>
      <c r="E146" s="2">
        <f>VLOOKUP(B146,'EC-Nitin'!$B$2:$F$46,5)</f>
        <v>41</v>
      </c>
      <c r="F146" s="2">
        <v>33.0</v>
      </c>
      <c r="G146" s="2">
        <f t="shared" si="1"/>
        <v>37</v>
      </c>
      <c r="H146" s="2">
        <v>14.0</v>
      </c>
      <c r="I146" s="2">
        <v>20.0</v>
      </c>
      <c r="J146" s="2">
        <v>40.0</v>
      </c>
      <c r="K146" s="3">
        <f t="shared" si="2"/>
        <v>12.94444444</v>
      </c>
      <c r="L146" s="2">
        <v>90.0</v>
      </c>
      <c r="M146" s="2">
        <v>200.0</v>
      </c>
      <c r="O146" s="3">
        <f t="shared" si="3"/>
        <v>200</v>
      </c>
      <c r="P146" s="2">
        <v>96.0</v>
      </c>
      <c r="Q146" s="2">
        <f t="shared" si="4"/>
        <v>14.3</v>
      </c>
      <c r="R146" s="2">
        <v>6.0</v>
      </c>
      <c r="S146" s="2">
        <v>7.0</v>
      </c>
      <c r="T146" s="2">
        <v>12.0</v>
      </c>
      <c r="V146" s="2">
        <v>0.0</v>
      </c>
      <c r="W146" s="2">
        <v>14.0</v>
      </c>
      <c r="X146" s="2">
        <v>20.0</v>
      </c>
      <c r="Y146" s="2">
        <v>30.0</v>
      </c>
      <c r="Z146" s="2">
        <v>27.0</v>
      </c>
      <c r="AA146" s="2">
        <v>30.0</v>
      </c>
      <c r="AB146" s="2">
        <v>30.0</v>
      </c>
      <c r="AC146" s="2">
        <f t="shared" si="5"/>
        <v>8.8</v>
      </c>
      <c r="AD146" s="2">
        <v>45.0</v>
      </c>
      <c r="AE146" s="2">
        <v>343.0</v>
      </c>
      <c r="AF146" s="2">
        <v>0.5</v>
      </c>
      <c r="AG146" s="3">
        <f t="shared" si="6"/>
        <v>4.4</v>
      </c>
      <c r="AH146" s="3">
        <f t="shared" si="7"/>
        <v>9.7</v>
      </c>
      <c r="AI146" s="4">
        <f t="shared" si="8"/>
        <v>78.34444444</v>
      </c>
    </row>
    <row r="147" hidden="1">
      <c r="A147" s="1" t="s">
        <v>447</v>
      </c>
      <c r="B147" s="1" t="s">
        <v>448</v>
      </c>
      <c r="C147" s="2" t="s">
        <v>55</v>
      </c>
      <c r="D147" s="2" t="s">
        <v>449</v>
      </c>
      <c r="E147" s="2">
        <f>VLOOKUP(B147,'EC-Nitin'!$B$2:$F$46,5)</f>
        <v>23</v>
      </c>
      <c r="F147" s="2">
        <v>21.0</v>
      </c>
      <c r="G147" s="2">
        <f t="shared" si="1"/>
        <v>22</v>
      </c>
      <c r="H147" s="2">
        <v>9.0</v>
      </c>
      <c r="J147" s="2">
        <v>40.0</v>
      </c>
      <c r="K147" s="3">
        <f t="shared" si="2"/>
        <v>6.694444444</v>
      </c>
      <c r="L147" s="2">
        <v>85.0</v>
      </c>
      <c r="M147" s="2">
        <v>170.0</v>
      </c>
      <c r="O147" s="3">
        <f t="shared" si="3"/>
        <v>170</v>
      </c>
      <c r="P147" s="2">
        <v>99.0</v>
      </c>
      <c r="Q147" s="2">
        <f t="shared" si="4"/>
        <v>13.45</v>
      </c>
      <c r="R147" s="2">
        <v>5.0</v>
      </c>
      <c r="S147" s="2">
        <v>6.0</v>
      </c>
      <c r="T147" s="2">
        <v>9.0</v>
      </c>
      <c r="U147" s="2">
        <v>10.0</v>
      </c>
      <c r="V147" s="2">
        <v>9.0</v>
      </c>
      <c r="W147" s="2">
        <v>9.0</v>
      </c>
      <c r="X147" s="2">
        <v>0.0</v>
      </c>
      <c r="Y147" s="2">
        <v>0.0</v>
      </c>
      <c r="AC147" s="2">
        <f t="shared" si="5"/>
        <v>2.4</v>
      </c>
      <c r="AD147" s="2">
        <v>49.0</v>
      </c>
      <c r="AE147" s="2">
        <v>342.0</v>
      </c>
      <c r="AF147" s="2">
        <v>0.5</v>
      </c>
      <c r="AG147" s="3">
        <f t="shared" si="6"/>
        <v>1.2</v>
      </c>
      <c r="AH147" s="3">
        <f t="shared" si="7"/>
        <v>9.775</v>
      </c>
      <c r="AI147" s="4">
        <f t="shared" si="8"/>
        <v>53.11944444</v>
      </c>
    </row>
    <row r="148" hidden="1">
      <c r="A148" s="1" t="s">
        <v>450</v>
      </c>
      <c r="B148" s="1" t="s">
        <v>451</v>
      </c>
      <c r="C148" s="2" t="s">
        <v>42</v>
      </c>
      <c r="D148" s="2" t="s">
        <v>452</v>
      </c>
      <c r="E148" s="2">
        <f>VLOOKUP(B148,'EC-Nitin'!$B$2:$F$46,5)</f>
        <v>46</v>
      </c>
      <c r="F148" s="2">
        <v>37.0</v>
      </c>
      <c r="G148" s="2">
        <f t="shared" si="1"/>
        <v>41.5</v>
      </c>
      <c r="H148" s="2">
        <v>17.0</v>
      </c>
      <c r="I148" s="2">
        <v>20.0</v>
      </c>
      <c r="J148" s="2">
        <v>42.0</v>
      </c>
      <c r="K148" s="3">
        <f t="shared" si="2"/>
        <v>13.91666667</v>
      </c>
      <c r="L148" s="2">
        <v>100.0</v>
      </c>
      <c r="M148" s="2">
        <v>200.0</v>
      </c>
      <c r="O148" s="3">
        <f t="shared" si="3"/>
        <v>200</v>
      </c>
      <c r="P148" s="2">
        <v>95.0</v>
      </c>
      <c r="Q148" s="2">
        <f t="shared" si="4"/>
        <v>14.75</v>
      </c>
      <c r="R148" s="2">
        <v>6.0</v>
      </c>
      <c r="S148" s="2">
        <v>9.0</v>
      </c>
      <c r="T148" s="2">
        <v>12.0</v>
      </c>
      <c r="U148" s="2">
        <v>10.0</v>
      </c>
      <c r="V148" s="2">
        <v>14.0</v>
      </c>
      <c r="W148" s="2">
        <v>14.0</v>
      </c>
      <c r="X148" s="2">
        <v>19.0</v>
      </c>
      <c r="Y148" s="2">
        <v>30.0</v>
      </c>
      <c r="Z148" s="2">
        <v>27.0</v>
      </c>
      <c r="AA148" s="2">
        <v>30.0</v>
      </c>
      <c r="AB148" s="2">
        <v>30.0</v>
      </c>
      <c r="AC148" s="2">
        <f t="shared" si="5"/>
        <v>10.05</v>
      </c>
      <c r="AD148" s="2">
        <v>43.0</v>
      </c>
      <c r="AE148" s="2">
        <v>343.0</v>
      </c>
      <c r="AF148" s="2">
        <v>1.0</v>
      </c>
      <c r="AG148" s="3">
        <f t="shared" si="6"/>
        <v>10.05</v>
      </c>
      <c r="AH148" s="3">
        <f t="shared" si="7"/>
        <v>9.65</v>
      </c>
      <c r="AI148" s="4">
        <f t="shared" si="8"/>
        <v>89.86666667</v>
      </c>
    </row>
    <row r="149" hidden="1">
      <c r="A149" s="1" t="s">
        <v>453</v>
      </c>
      <c r="B149" s="1" t="s">
        <v>454</v>
      </c>
      <c r="C149" s="2" t="s">
        <v>25</v>
      </c>
      <c r="D149" s="2" t="s">
        <v>455</v>
      </c>
      <c r="E149" s="2">
        <f>VLOOKUP(B149,'EC-Nitin'!$B$2:$F$46,5)</f>
        <v>34</v>
      </c>
      <c r="F149" s="2">
        <v>23.0</v>
      </c>
      <c r="G149" s="2">
        <f t="shared" si="1"/>
        <v>28.5</v>
      </c>
      <c r="H149" s="2">
        <v>10.0</v>
      </c>
      <c r="I149" s="2">
        <v>19.0</v>
      </c>
      <c r="J149" s="2">
        <v>42.0</v>
      </c>
      <c r="K149" s="3">
        <f t="shared" si="2"/>
        <v>11.91666667</v>
      </c>
      <c r="L149" s="2">
        <v>90.0</v>
      </c>
      <c r="M149" s="2">
        <v>185.0</v>
      </c>
      <c r="O149" s="3">
        <f t="shared" si="3"/>
        <v>185</v>
      </c>
      <c r="P149" s="2">
        <v>99.0</v>
      </c>
      <c r="Q149" s="2">
        <f t="shared" si="4"/>
        <v>14.075</v>
      </c>
      <c r="R149" s="2">
        <v>5.0</v>
      </c>
      <c r="S149" s="2">
        <v>3.0</v>
      </c>
      <c r="T149" s="2">
        <v>9.0</v>
      </c>
      <c r="V149" s="2">
        <v>13.0</v>
      </c>
      <c r="W149" s="2">
        <v>6.0</v>
      </c>
      <c r="X149" s="2">
        <v>19.0</v>
      </c>
      <c r="Y149" s="2">
        <v>30.0</v>
      </c>
      <c r="Z149" s="2">
        <v>27.0</v>
      </c>
      <c r="AA149" s="2">
        <v>27.0</v>
      </c>
      <c r="AB149" s="2">
        <v>28.0</v>
      </c>
      <c r="AC149" s="2">
        <f t="shared" si="5"/>
        <v>8.35</v>
      </c>
      <c r="AD149" s="2">
        <v>0.0</v>
      </c>
      <c r="AE149" s="2">
        <v>340.0</v>
      </c>
      <c r="AF149" s="2">
        <v>1.0</v>
      </c>
      <c r="AG149" s="3">
        <f t="shared" si="6"/>
        <v>8.35</v>
      </c>
      <c r="AH149" s="3">
        <f t="shared" si="7"/>
        <v>8.5</v>
      </c>
      <c r="AI149" s="4">
        <f t="shared" si="8"/>
        <v>71.34166667</v>
      </c>
    </row>
    <row r="150" hidden="1">
      <c r="A150" s="1" t="s">
        <v>456</v>
      </c>
      <c r="B150" s="1" t="s">
        <v>457</v>
      </c>
      <c r="C150" s="2" t="s">
        <v>6</v>
      </c>
      <c r="D150" s="2" t="s">
        <v>458</v>
      </c>
      <c r="E150" s="2">
        <f>VLOOKUP(B150,'EC-Nitin'!$B$2:$F$46,5)</f>
        <v>38</v>
      </c>
      <c r="F150" s="2">
        <v>37.0</v>
      </c>
      <c r="G150" s="2">
        <f t="shared" si="1"/>
        <v>37.5</v>
      </c>
      <c r="H150" s="2">
        <v>18.0</v>
      </c>
      <c r="I150" s="2">
        <v>16.5</v>
      </c>
      <c r="J150" s="2">
        <v>40.0</v>
      </c>
      <c r="K150" s="3">
        <f t="shared" si="2"/>
        <v>13.06944444</v>
      </c>
      <c r="L150" s="2">
        <v>100.0</v>
      </c>
      <c r="M150" s="2">
        <v>200.0</v>
      </c>
      <c r="O150" s="3">
        <f t="shared" si="3"/>
        <v>200</v>
      </c>
      <c r="P150" s="2">
        <v>97.0</v>
      </c>
      <c r="Q150" s="2">
        <f t="shared" si="4"/>
        <v>14.85</v>
      </c>
      <c r="R150" s="2">
        <v>7.0</v>
      </c>
      <c r="S150" s="2">
        <v>8.0</v>
      </c>
      <c r="T150" s="2">
        <v>12.0</v>
      </c>
      <c r="U150" s="2">
        <v>13.0</v>
      </c>
      <c r="V150" s="2">
        <v>14.0</v>
      </c>
      <c r="W150" s="2">
        <v>15.0</v>
      </c>
      <c r="X150" s="2">
        <v>20.0</v>
      </c>
      <c r="Y150" s="2">
        <v>30.0</v>
      </c>
      <c r="Z150" s="2">
        <v>27.0</v>
      </c>
      <c r="AA150" s="2">
        <v>30.0</v>
      </c>
      <c r="AB150" s="2">
        <v>29.0</v>
      </c>
      <c r="AC150" s="2">
        <f t="shared" si="5"/>
        <v>10.25</v>
      </c>
      <c r="AD150" s="2">
        <v>50.0</v>
      </c>
      <c r="AE150" s="2">
        <v>343.0</v>
      </c>
      <c r="AF150" s="2">
        <v>1.0</v>
      </c>
      <c r="AG150" s="3">
        <f t="shared" si="6"/>
        <v>10.25</v>
      </c>
      <c r="AH150" s="3">
        <f t="shared" si="7"/>
        <v>9.825</v>
      </c>
      <c r="AI150" s="4">
        <f t="shared" si="8"/>
        <v>85.49444444</v>
      </c>
    </row>
    <row r="151" hidden="1">
      <c r="A151" s="1" t="s">
        <v>459</v>
      </c>
      <c r="B151" s="1" t="s">
        <v>460</v>
      </c>
      <c r="C151" s="2" t="s">
        <v>6</v>
      </c>
      <c r="D151" s="2" t="s">
        <v>461</v>
      </c>
      <c r="E151" s="2">
        <f>VLOOKUP(B151,'EC-Nitin'!$B$2:$F$46,5)</f>
        <v>45</v>
      </c>
      <c r="F151" s="2">
        <v>39.0</v>
      </c>
      <c r="G151" s="2">
        <f t="shared" si="1"/>
        <v>42</v>
      </c>
      <c r="H151" s="2">
        <v>15.0</v>
      </c>
      <c r="I151" s="2">
        <v>20.0</v>
      </c>
      <c r="J151" s="2">
        <v>36.0</v>
      </c>
      <c r="K151" s="3">
        <f t="shared" si="2"/>
        <v>12.75</v>
      </c>
      <c r="L151" s="2">
        <v>85.0</v>
      </c>
      <c r="M151" s="2">
        <v>200.0</v>
      </c>
      <c r="O151" s="3">
        <f t="shared" si="3"/>
        <v>200</v>
      </c>
      <c r="P151" s="2">
        <v>98.0</v>
      </c>
      <c r="Q151" s="2">
        <f t="shared" si="4"/>
        <v>14.15</v>
      </c>
      <c r="R151" s="2">
        <v>7.0</v>
      </c>
      <c r="S151" s="2">
        <v>10.0</v>
      </c>
      <c r="T151" s="2">
        <v>15.0</v>
      </c>
      <c r="U151" s="2">
        <v>14.0</v>
      </c>
      <c r="V151" s="2">
        <v>15.0</v>
      </c>
      <c r="W151" s="2">
        <v>12.0</v>
      </c>
      <c r="X151" s="2">
        <v>20.0</v>
      </c>
      <c r="Y151" s="2">
        <v>30.0</v>
      </c>
      <c r="Z151" s="2">
        <v>26.0</v>
      </c>
      <c r="AA151" s="2">
        <v>30.0</v>
      </c>
      <c r="AB151" s="2">
        <v>30.0</v>
      </c>
      <c r="AC151" s="2">
        <f t="shared" si="5"/>
        <v>10.45</v>
      </c>
      <c r="AD151" s="2">
        <v>50.0</v>
      </c>
      <c r="AE151" s="2">
        <v>345.0</v>
      </c>
      <c r="AF151" s="2">
        <v>1.0</v>
      </c>
      <c r="AG151" s="3">
        <f t="shared" si="6"/>
        <v>10.45</v>
      </c>
      <c r="AH151" s="3">
        <f t="shared" si="7"/>
        <v>9.875</v>
      </c>
      <c r="AI151" s="4">
        <f t="shared" si="8"/>
        <v>89.225</v>
      </c>
    </row>
    <row r="152" hidden="1">
      <c r="A152" s="1" t="s">
        <v>462</v>
      </c>
      <c r="B152" s="1" t="s">
        <v>463</v>
      </c>
      <c r="C152" s="2" t="s">
        <v>6</v>
      </c>
      <c r="D152" s="2" t="s">
        <v>464</v>
      </c>
      <c r="E152" s="2">
        <f>VLOOKUP(B152,'EC-Nitin'!$B$2:$F$46,5)</f>
        <v>44</v>
      </c>
      <c r="F152" s="2">
        <v>35.0</v>
      </c>
      <c r="G152" s="2">
        <f t="shared" si="1"/>
        <v>39.5</v>
      </c>
      <c r="H152" s="2">
        <v>15.0</v>
      </c>
      <c r="I152" s="2">
        <v>17.0</v>
      </c>
      <c r="J152" s="2">
        <v>40.0</v>
      </c>
      <c r="K152" s="3">
        <f t="shared" si="2"/>
        <v>12.44444444</v>
      </c>
      <c r="L152" s="2">
        <v>95.0</v>
      </c>
      <c r="M152" s="2">
        <v>200.0</v>
      </c>
      <c r="O152" s="3">
        <f t="shared" si="3"/>
        <v>200</v>
      </c>
      <c r="P152" s="2">
        <v>100.0</v>
      </c>
      <c r="Q152" s="2">
        <f t="shared" si="4"/>
        <v>14.75</v>
      </c>
      <c r="R152" s="2">
        <v>7.0</v>
      </c>
      <c r="S152" s="2">
        <v>8.0</v>
      </c>
      <c r="T152" s="2">
        <v>15.0</v>
      </c>
      <c r="U152" s="2">
        <v>15.0</v>
      </c>
      <c r="V152" s="2">
        <v>15.0</v>
      </c>
      <c r="W152" s="2">
        <v>14.0</v>
      </c>
      <c r="X152" s="2">
        <v>20.0</v>
      </c>
      <c r="Y152" s="2">
        <v>30.0</v>
      </c>
      <c r="Z152" s="2">
        <v>24.0</v>
      </c>
      <c r="AA152" s="2">
        <v>30.0</v>
      </c>
      <c r="AB152" s="2">
        <v>30.0</v>
      </c>
      <c r="AC152" s="2">
        <f t="shared" si="5"/>
        <v>10.4</v>
      </c>
      <c r="AD152" s="2">
        <v>46.0</v>
      </c>
      <c r="AE152" s="2">
        <v>349.0</v>
      </c>
      <c r="AF152" s="2">
        <v>1.0</v>
      </c>
      <c r="AG152" s="3">
        <f t="shared" si="6"/>
        <v>10.4</v>
      </c>
      <c r="AH152" s="3">
        <f t="shared" si="7"/>
        <v>9.875</v>
      </c>
      <c r="AI152" s="4">
        <f t="shared" si="8"/>
        <v>86.96944444</v>
      </c>
    </row>
    <row r="153" hidden="1">
      <c r="A153" s="1" t="s">
        <v>465</v>
      </c>
      <c r="B153" s="1" t="s">
        <v>466</v>
      </c>
      <c r="C153" s="2" t="s">
        <v>2</v>
      </c>
      <c r="D153" s="2" t="s">
        <v>467</v>
      </c>
      <c r="E153" s="2">
        <f>VLOOKUP(B153, 'EE-Nitin'!$B$2:$F$57,5)</f>
        <v>38</v>
      </c>
      <c r="F153" s="2">
        <v>21.0</v>
      </c>
      <c r="G153" s="2">
        <f t="shared" si="1"/>
        <v>29.5</v>
      </c>
      <c r="H153" s="2">
        <v>9.0</v>
      </c>
      <c r="I153" s="2">
        <v>14.0</v>
      </c>
      <c r="J153" s="2">
        <v>35.0</v>
      </c>
      <c r="K153" s="3">
        <f t="shared" si="2"/>
        <v>9.638888889</v>
      </c>
      <c r="L153" s="2">
        <v>93.0</v>
      </c>
      <c r="M153" s="2">
        <v>190.0</v>
      </c>
      <c r="O153" s="3">
        <f t="shared" si="3"/>
        <v>190</v>
      </c>
      <c r="P153" s="2">
        <v>98.0</v>
      </c>
      <c r="Q153" s="2">
        <f t="shared" si="4"/>
        <v>14.3</v>
      </c>
      <c r="R153" s="2">
        <v>7.0</v>
      </c>
      <c r="S153" s="2">
        <v>10.0</v>
      </c>
      <c r="T153" s="2">
        <v>10.0</v>
      </c>
      <c r="U153" s="2">
        <v>13.5</v>
      </c>
      <c r="V153" s="2">
        <v>15.0</v>
      </c>
      <c r="W153" s="2">
        <v>14.0</v>
      </c>
      <c r="X153" s="2">
        <v>20.0</v>
      </c>
      <c r="Y153" s="2">
        <v>29.0</v>
      </c>
      <c r="Z153" s="2">
        <v>28.0</v>
      </c>
      <c r="AA153" s="2">
        <v>29.0</v>
      </c>
      <c r="AB153" s="2">
        <v>30.0</v>
      </c>
      <c r="AC153" s="2">
        <f t="shared" si="5"/>
        <v>10.275</v>
      </c>
      <c r="AD153" s="2">
        <v>50.0</v>
      </c>
      <c r="AE153" s="2">
        <v>348.0</v>
      </c>
      <c r="AF153" s="2">
        <v>1.0</v>
      </c>
      <c r="AG153" s="3">
        <f t="shared" si="6"/>
        <v>10.275</v>
      </c>
      <c r="AH153" s="3">
        <f t="shared" si="7"/>
        <v>9.95</v>
      </c>
      <c r="AI153" s="4">
        <f t="shared" si="8"/>
        <v>73.66388889</v>
      </c>
    </row>
    <row r="154" hidden="1">
      <c r="A154" s="7" t="s">
        <v>468</v>
      </c>
      <c r="B154" s="8" t="s">
        <v>469</v>
      </c>
      <c r="C154" s="9" t="s">
        <v>55</v>
      </c>
      <c r="D154" s="9" t="s">
        <v>470</v>
      </c>
      <c r="E154" s="9">
        <f>VLOOKUP(B154, 'EE-Nitin'!$B$2:$F$57,5)</f>
        <v>26</v>
      </c>
      <c r="F154" s="9"/>
      <c r="G154" s="9">
        <f t="shared" si="1"/>
        <v>13</v>
      </c>
      <c r="H154" s="9">
        <v>4.0</v>
      </c>
      <c r="I154" s="9">
        <v>7.0</v>
      </c>
      <c r="J154" s="9">
        <v>20.0</v>
      </c>
      <c r="K154" s="10">
        <f t="shared" si="2"/>
        <v>4.972222222</v>
      </c>
      <c r="L154" s="9">
        <v>95.0</v>
      </c>
      <c r="M154" s="9">
        <v>170.0</v>
      </c>
      <c r="N154" s="10"/>
      <c r="O154" s="10">
        <f t="shared" si="3"/>
        <v>170</v>
      </c>
      <c r="P154" s="9">
        <v>96.0</v>
      </c>
      <c r="Q154" s="9">
        <f t="shared" si="4"/>
        <v>13.8</v>
      </c>
      <c r="R154" s="9">
        <v>7.0</v>
      </c>
      <c r="S154" s="9">
        <v>3.0</v>
      </c>
      <c r="T154" s="9">
        <v>0.0</v>
      </c>
      <c r="U154" s="9">
        <v>12.0</v>
      </c>
      <c r="V154" s="9">
        <v>14.5</v>
      </c>
      <c r="W154" s="9">
        <v>14.0</v>
      </c>
      <c r="X154" s="9">
        <v>19.5</v>
      </c>
      <c r="Y154" s="9">
        <v>28.0</v>
      </c>
      <c r="Z154" s="9">
        <v>28.0</v>
      </c>
      <c r="AA154" s="9">
        <v>29.0</v>
      </c>
      <c r="AB154" s="9">
        <v>29.0</v>
      </c>
      <c r="AC154" s="9">
        <f t="shared" si="5"/>
        <v>9.2</v>
      </c>
      <c r="AD154" s="9">
        <v>45.0</v>
      </c>
      <c r="AE154" s="9">
        <v>345.0</v>
      </c>
      <c r="AF154" s="9">
        <v>1.0</v>
      </c>
      <c r="AG154" s="10">
        <f t="shared" si="6"/>
        <v>9.2</v>
      </c>
      <c r="AH154" s="10">
        <f t="shared" si="7"/>
        <v>9.75</v>
      </c>
      <c r="AI154" s="11">
        <f t="shared" si="8"/>
        <v>50.72222222</v>
      </c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</row>
    <row r="155" hidden="1">
      <c r="A155" s="1" t="s">
        <v>471</v>
      </c>
      <c r="B155" s="1" t="s">
        <v>472</v>
      </c>
      <c r="C155" s="2" t="s">
        <v>32</v>
      </c>
      <c r="D155" s="2" t="s">
        <v>473</v>
      </c>
      <c r="E155" s="2">
        <f>VLOOKUP(B155, 'EE-Nitin'!$B$2:$F$57,5)</f>
        <v>47</v>
      </c>
      <c r="F155" s="2">
        <v>9.0</v>
      </c>
      <c r="G155" s="2">
        <f t="shared" si="1"/>
        <v>28</v>
      </c>
      <c r="H155" s="2">
        <v>4.0</v>
      </c>
      <c r="I155" s="2">
        <v>4.0</v>
      </c>
      <c r="J155" s="2">
        <v>31.0</v>
      </c>
      <c r="K155" s="3">
        <f t="shared" si="2"/>
        <v>5.444444444</v>
      </c>
      <c r="L155" s="2">
        <v>70.0</v>
      </c>
      <c r="M155" s="2">
        <v>185.0</v>
      </c>
      <c r="O155" s="3">
        <f t="shared" si="3"/>
        <v>185</v>
      </c>
      <c r="P155" s="2">
        <v>97.0</v>
      </c>
      <c r="Q155" s="2">
        <f t="shared" si="4"/>
        <v>12.975</v>
      </c>
      <c r="R155" s="2">
        <v>5.0</v>
      </c>
      <c r="S155" s="2">
        <v>5.0</v>
      </c>
      <c r="T155" s="2">
        <v>7.0</v>
      </c>
      <c r="U155" s="2">
        <v>11.0</v>
      </c>
      <c r="V155" s="2">
        <v>14.5</v>
      </c>
      <c r="W155" s="2">
        <v>13.5</v>
      </c>
      <c r="X155" s="2">
        <v>19.5</v>
      </c>
      <c r="Y155" s="2">
        <v>20.0</v>
      </c>
      <c r="Z155" s="2">
        <v>27.0</v>
      </c>
      <c r="AA155" s="2">
        <v>29.0</v>
      </c>
      <c r="AC155" s="2">
        <f t="shared" si="5"/>
        <v>7.575</v>
      </c>
      <c r="AD155" s="2">
        <v>50.0</v>
      </c>
      <c r="AE155" s="2">
        <v>343.0</v>
      </c>
      <c r="AF155" s="2">
        <v>1.0</v>
      </c>
      <c r="AG155" s="3">
        <f t="shared" si="6"/>
        <v>7.575</v>
      </c>
      <c r="AH155" s="3">
        <f t="shared" si="7"/>
        <v>9.825</v>
      </c>
      <c r="AI155" s="4">
        <f t="shared" si="8"/>
        <v>63.81944444</v>
      </c>
    </row>
    <row r="156" hidden="1">
      <c r="A156" s="1" t="s">
        <v>474</v>
      </c>
      <c r="B156" s="1" t="s">
        <v>475</v>
      </c>
      <c r="C156" s="2" t="s">
        <v>6</v>
      </c>
      <c r="D156" s="2" t="s">
        <v>476</v>
      </c>
      <c r="E156" s="2">
        <f>VLOOKUP(B156, 'EE-Nitin'!$B$2:$F$57,5)</f>
        <v>43</v>
      </c>
      <c r="F156" s="2">
        <v>33.0</v>
      </c>
      <c r="G156" s="2">
        <f t="shared" si="1"/>
        <v>38</v>
      </c>
      <c r="H156" s="2">
        <v>13.0</v>
      </c>
      <c r="I156" s="2">
        <v>16.0</v>
      </c>
      <c r="J156" s="2">
        <v>28.0</v>
      </c>
      <c r="K156" s="3">
        <f t="shared" si="2"/>
        <v>10.36111111</v>
      </c>
      <c r="L156" s="2">
        <v>99.0</v>
      </c>
      <c r="M156" s="2">
        <v>195.0</v>
      </c>
      <c r="O156" s="3">
        <f t="shared" si="3"/>
        <v>195</v>
      </c>
      <c r="P156" s="2">
        <v>98.0</v>
      </c>
      <c r="Q156" s="2">
        <f t="shared" si="4"/>
        <v>14.725</v>
      </c>
      <c r="R156" s="2">
        <v>5.0</v>
      </c>
      <c r="S156" s="2">
        <v>10.0</v>
      </c>
      <c r="T156" s="2">
        <v>11.0</v>
      </c>
      <c r="U156" s="2">
        <v>10.0</v>
      </c>
      <c r="V156" s="2">
        <v>15.0</v>
      </c>
      <c r="W156" s="2">
        <v>14.0</v>
      </c>
      <c r="X156" s="2">
        <v>19.5</v>
      </c>
      <c r="Y156" s="2">
        <v>29.0</v>
      </c>
      <c r="Z156" s="2">
        <v>27.0</v>
      </c>
      <c r="AA156" s="2">
        <v>28.0</v>
      </c>
      <c r="AB156" s="2">
        <v>27.0</v>
      </c>
      <c r="AC156" s="2">
        <f t="shared" si="5"/>
        <v>9.775</v>
      </c>
      <c r="AD156" s="2">
        <v>0.0</v>
      </c>
      <c r="AE156" s="2">
        <v>344.0</v>
      </c>
      <c r="AF156" s="2">
        <v>1.0</v>
      </c>
      <c r="AG156" s="3">
        <f t="shared" si="6"/>
        <v>9.775</v>
      </c>
      <c r="AH156" s="3">
        <f t="shared" si="7"/>
        <v>8.6</v>
      </c>
      <c r="AI156" s="4">
        <f t="shared" si="8"/>
        <v>81.46111111</v>
      </c>
    </row>
    <row r="157" hidden="1">
      <c r="A157" s="1" t="s">
        <v>204</v>
      </c>
      <c r="B157" s="1" t="s">
        <v>477</v>
      </c>
      <c r="C157" s="2" t="s">
        <v>32</v>
      </c>
      <c r="D157" s="2" t="s">
        <v>478</v>
      </c>
      <c r="E157" s="2">
        <f>VLOOKUP(B157, 'EE-Nitin'!$B$2:$F$57,5)</f>
        <v>30</v>
      </c>
      <c r="F157" s="2">
        <v>16.0</v>
      </c>
      <c r="G157" s="2">
        <f t="shared" si="1"/>
        <v>23</v>
      </c>
      <c r="H157" s="2">
        <v>10.0</v>
      </c>
      <c r="I157" s="2">
        <v>9.0</v>
      </c>
      <c r="J157" s="2">
        <v>23.0</v>
      </c>
      <c r="K157" s="3">
        <f t="shared" si="2"/>
        <v>7.305555556</v>
      </c>
      <c r="L157" s="2">
        <v>90.0</v>
      </c>
      <c r="M157" s="2">
        <v>170.0</v>
      </c>
      <c r="N157" s="2">
        <v>160.0</v>
      </c>
      <c r="O157" s="3">
        <f t="shared" si="3"/>
        <v>170</v>
      </c>
      <c r="P157" s="2">
        <v>97.0</v>
      </c>
      <c r="Q157" s="2">
        <f t="shared" si="4"/>
        <v>13.6</v>
      </c>
      <c r="R157" s="2">
        <v>6.0</v>
      </c>
      <c r="S157" s="2">
        <v>0.0</v>
      </c>
      <c r="T157" s="2">
        <v>8.0</v>
      </c>
      <c r="U157" s="2">
        <v>13.5</v>
      </c>
      <c r="V157" s="2">
        <v>13.0</v>
      </c>
      <c r="W157" s="2">
        <v>12.0</v>
      </c>
      <c r="X157" s="2">
        <v>18.5</v>
      </c>
      <c r="Y157" s="2">
        <v>27.0</v>
      </c>
      <c r="Z157" s="2">
        <v>28.0</v>
      </c>
      <c r="AA157" s="2">
        <v>28.0</v>
      </c>
      <c r="AB157" s="2">
        <v>28.0</v>
      </c>
      <c r="AC157" s="2">
        <f t="shared" si="5"/>
        <v>9.1</v>
      </c>
      <c r="AD157" s="2">
        <v>40.0</v>
      </c>
      <c r="AE157" s="2">
        <v>342.0</v>
      </c>
      <c r="AF157" s="2">
        <v>1.0</v>
      </c>
      <c r="AG157" s="3">
        <f t="shared" si="6"/>
        <v>9.1</v>
      </c>
      <c r="AH157" s="3">
        <f t="shared" si="7"/>
        <v>9.55</v>
      </c>
      <c r="AI157" s="4">
        <f t="shared" si="8"/>
        <v>62.55555556</v>
      </c>
    </row>
    <row r="158" hidden="1">
      <c r="A158" s="1" t="s">
        <v>479</v>
      </c>
      <c r="B158" s="1" t="s">
        <v>480</v>
      </c>
      <c r="C158" s="2" t="s">
        <v>2</v>
      </c>
      <c r="D158" s="2" t="s">
        <v>481</v>
      </c>
      <c r="E158" s="2">
        <f>VLOOKUP(B158, 'EE-Nitin'!$B$2:$F$57,5)</f>
        <v>38</v>
      </c>
      <c r="F158" s="2">
        <v>27.0</v>
      </c>
      <c r="G158" s="2">
        <f t="shared" si="1"/>
        <v>32.5</v>
      </c>
      <c r="H158" s="2">
        <v>10.0</v>
      </c>
      <c r="I158" s="2">
        <v>12.0</v>
      </c>
      <c r="J158" s="2">
        <v>28.0</v>
      </c>
      <c r="K158" s="3">
        <f t="shared" si="2"/>
        <v>8.611111111</v>
      </c>
      <c r="L158" s="2">
        <v>94.0</v>
      </c>
      <c r="M158" s="2">
        <v>185.0</v>
      </c>
      <c r="O158" s="3">
        <f t="shared" si="3"/>
        <v>185</v>
      </c>
      <c r="P158" s="2">
        <v>97.0</v>
      </c>
      <c r="Q158" s="2">
        <f t="shared" si="4"/>
        <v>14.175</v>
      </c>
      <c r="R158" s="2">
        <v>7.0</v>
      </c>
      <c r="S158" s="2">
        <v>5.0</v>
      </c>
      <c r="T158" s="2">
        <v>7.0</v>
      </c>
      <c r="U158" s="2">
        <v>10.0</v>
      </c>
      <c r="V158" s="2">
        <v>14.0</v>
      </c>
      <c r="W158" s="2">
        <v>14.0</v>
      </c>
      <c r="X158" s="2">
        <v>18.0</v>
      </c>
      <c r="Y158" s="2">
        <v>28.0</v>
      </c>
      <c r="Z158" s="2">
        <v>29.0</v>
      </c>
      <c r="AA158" s="2">
        <v>30.0</v>
      </c>
      <c r="AB158" s="2">
        <v>29.0</v>
      </c>
      <c r="AC158" s="2">
        <f t="shared" si="5"/>
        <v>9.55</v>
      </c>
      <c r="AD158" s="2">
        <v>50.0</v>
      </c>
      <c r="AE158" s="2">
        <v>345.0</v>
      </c>
      <c r="AF158" s="2">
        <v>1.0</v>
      </c>
      <c r="AG158" s="3">
        <f t="shared" si="6"/>
        <v>9.55</v>
      </c>
      <c r="AH158" s="3">
        <f t="shared" si="7"/>
        <v>9.875</v>
      </c>
      <c r="AI158" s="4">
        <f t="shared" si="8"/>
        <v>74.71111111</v>
      </c>
    </row>
    <row r="159" hidden="1">
      <c r="A159" s="1" t="s">
        <v>482</v>
      </c>
      <c r="B159" s="1" t="s">
        <v>483</v>
      </c>
      <c r="C159" s="2" t="s">
        <v>42</v>
      </c>
      <c r="D159" s="2" t="s">
        <v>484</v>
      </c>
      <c r="E159" s="2">
        <f>VLOOKUP(B159, 'EE-Nitin'!$B$2:$F$57,5)</f>
        <v>49</v>
      </c>
      <c r="F159" s="2">
        <v>34.0</v>
      </c>
      <c r="G159" s="2">
        <f t="shared" si="1"/>
        <v>41.5</v>
      </c>
      <c r="H159" s="2">
        <v>16.0</v>
      </c>
      <c r="I159" s="2">
        <v>19.0</v>
      </c>
      <c r="J159" s="2">
        <v>36.0</v>
      </c>
      <c r="K159" s="3">
        <f t="shared" si="2"/>
        <v>12.75</v>
      </c>
      <c r="L159" s="2">
        <v>100.0</v>
      </c>
      <c r="M159" s="2">
        <v>200.0</v>
      </c>
      <c r="O159" s="3">
        <f t="shared" si="3"/>
        <v>200</v>
      </c>
      <c r="P159" s="2">
        <v>100.0</v>
      </c>
      <c r="Q159" s="2">
        <f t="shared" si="4"/>
        <v>15</v>
      </c>
      <c r="R159" s="2">
        <v>7.0</v>
      </c>
      <c r="S159" s="2">
        <v>8.0</v>
      </c>
      <c r="T159" s="2">
        <v>12.0</v>
      </c>
      <c r="U159" s="2">
        <v>14.0</v>
      </c>
      <c r="V159" s="2">
        <v>14.5</v>
      </c>
      <c r="W159" s="2">
        <v>14.0</v>
      </c>
      <c r="X159" s="2">
        <v>19.5</v>
      </c>
      <c r="Y159" s="2">
        <v>29.0</v>
      </c>
      <c r="Z159" s="2">
        <v>28.0</v>
      </c>
      <c r="AA159" s="2">
        <v>30.0</v>
      </c>
      <c r="AB159" s="2">
        <v>30.0</v>
      </c>
      <c r="AC159" s="2">
        <f t="shared" si="5"/>
        <v>10.3</v>
      </c>
      <c r="AD159" s="2">
        <v>50.0</v>
      </c>
      <c r="AE159" s="2">
        <v>350.0</v>
      </c>
      <c r="AF159" s="2">
        <v>1.0</v>
      </c>
      <c r="AG159" s="3">
        <f t="shared" si="6"/>
        <v>10.3</v>
      </c>
      <c r="AH159" s="3">
        <f t="shared" si="7"/>
        <v>10</v>
      </c>
      <c r="AI159" s="4">
        <f t="shared" si="8"/>
        <v>89.55</v>
      </c>
    </row>
    <row r="160" hidden="1">
      <c r="A160" s="6" t="s">
        <v>485</v>
      </c>
      <c r="B160" s="1" t="s">
        <v>486</v>
      </c>
      <c r="C160" s="2" t="s">
        <v>187</v>
      </c>
      <c r="D160" s="2" t="s">
        <v>487</v>
      </c>
      <c r="E160" s="2">
        <f>VLOOKUP(B160, 'EE-Nitin'!$B$2:$F$57,5)</f>
        <v>0</v>
      </c>
      <c r="G160" s="2">
        <f t="shared" si="1"/>
        <v>0</v>
      </c>
      <c r="H160" s="2">
        <v>0.0</v>
      </c>
      <c r="I160" s="2">
        <v>0.0</v>
      </c>
      <c r="J160" s="2">
        <v>-1.0</v>
      </c>
      <c r="K160" s="3">
        <f t="shared" si="2"/>
        <v>-0.1111111111</v>
      </c>
      <c r="L160" s="2">
        <v>93.0</v>
      </c>
      <c r="M160" s="2">
        <v>0.0</v>
      </c>
      <c r="O160" s="3">
        <f t="shared" si="3"/>
        <v>0</v>
      </c>
      <c r="Q160" s="2">
        <f t="shared" si="4"/>
        <v>4.65</v>
      </c>
      <c r="R160" s="2">
        <v>7.0</v>
      </c>
      <c r="S160" s="2">
        <v>9.0</v>
      </c>
      <c r="T160" s="2">
        <v>10.0</v>
      </c>
      <c r="U160" s="2">
        <v>11.0</v>
      </c>
      <c r="V160" s="2">
        <v>14.5</v>
      </c>
      <c r="W160" s="2">
        <v>14.5</v>
      </c>
      <c r="X160" s="2">
        <v>20.0</v>
      </c>
      <c r="Y160" s="2">
        <v>0.0</v>
      </c>
      <c r="Z160" s="2">
        <v>0.0</v>
      </c>
      <c r="AC160" s="2">
        <f t="shared" si="5"/>
        <v>4.3</v>
      </c>
      <c r="AF160" s="2">
        <v>0.5</v>
      </c>
      <c r="AG160" s="3">
        <f t="shared" si="6"/>
        <v>2.15</v>
      </c>
      <c r="AH160" s="3">
        <f t="shared" si="7"/>
        <v>0</v>
      </c>
      <c r="AI160" s="4">
        <f t="shared" si="8"/>
        <v>6.688888889</v>
      </c>
    </row>
    <row r="161" hidden="1">
      <c r="A161" s="1" t="s">
        <v>488</v>
      </c>
      <c r="B161" s="1" t="s">
        <v>489</v>
      </c>
      <c r="C161" s="2" t="s">
        <v>6</v>
      </c>
      <c r="D161" s="2" t="s">
        <v>490</v>
      </c>
      <c r="E161" s="2">
        <f>VLOOKUP(B161, 'EE-Nitin'!$B$2:$F$57,5)</f>
        <v>47</v>
      </c>
      <c r="F161" s="2">
        <v>31.0</v>
      </c>
      <c r="G161" s="2">
        <f t="shared" si="1"/>
        <v>39</v>
      </c>
      <c r="H161" s="2">
        <v>9.0</v>
      </c>
      <c r="I161" s="2">
        <v>15.0</v>
      </c>
      <c r="J161" s="2">
        <v>32.0</v>
      </c>
      <c r="K161" s="3">
        <f t="shared" si="2"/>
        <v>9.555555556</v>
      </c>
      <c r="L161" s="2">
        <v>92.0</v>
      </c>
      <c r="M161" s="2">
        <v>200.0</v>
      </c>
      <c r="O161" s="3">
        <f t="shared" si="3"/>
        <v>200</v>
      </c>
      <c r="P161" s="2">
        <v>99.0</v>
      </c>
      <c r="Q161" s="2">
        <f t="shared" si="4"/>
        <v>14.55</v>
      </c>
      <c r="R161" s="2">
        <v>7.0</v>
      </c>
      <c r="S161" s="2">
        <v>7.0</v>
      </c>
      <c r="T161" s="2">
        <v>11.0</v>
      </c>
      <c r="U161" s="2">
        <v>14.0</v>
      </c>
      <c r="V161" s="2">
        <v>14.5</v>
      </c>
      <c r="W161" s="2">
        <v>13.0</v>
      </c>
      <c r="X161" s="2">
        <v>19.5</v>
      </c>
      <c r="Y161" s="2">
        <v>28.0</v>
      </c>
      <c r="Z161" s="2">
        <v>27.0</v>
      </c>
      <c r="AA161" s="2">
        <v>30.0</v>
      </c>
      <c r="AB161" s="2">
        <v>30.0</v>
      </c>
      <c r="AC161" s="2">
        <f t="shared" si="5"/>
        <v>10.05</v>
      </c>
      <c r="AD161" s="2">
        <v>50.0</v>
      </c>
      <c r="AE161" s="2">
        <v>350.0</v>
      </c>
      <c r="AF161" s="2">
        <v>1.0</v>
      </c>
      <c r="AG161" s="3">
        <f t="shared" si="6"/>
        <v>10.05</v>
      </c>
      <c r="AH161" s="3">
        <f t="shared" si="7"/>
        <v>10</v>
      </c>
      <c r="AI161" s="4">
        <f t="shared" si="8"/>
        <v>83.15555556</v>
      </c>
    </row>
    <row r="162" hidden="1">
      <c r="A162" s="1" t="s">
        <v>491</v>
      </c>
      <c r="B162" s="1" t="s">
        <v>492</v>
      </c>
      <c r="C162" s="2" t="s">
        <v>6</v>
      </c>
      <c r="D162" s="2" t="s">
        <v>493</v>
      </c>
      <c r="E162" s="2">
        <f>VLOOKUP(B162, 'EE-Nitin'!$B$2:$F$57,5)</f>
        <v>48</v>
      </c>
      <c r="F162" s="2">
        <v>28.0</v>
      </c>
      <c r="G162" s="2">
        <f t="shared" si="1"/>
        <v>38</v>
      </c>
      <c r="H162" s="2">
        <v>12.0</v>
      </c>
      <c r="I162" s="2">
        <v>13.0</v>
      </c>
      <c r="J162" s="2">
        <v>40.0</v>
      </c>
      <c r="K162" s="3">
        <f t="shared" si="2"/>
        <v>10.69444444</v>
      </c>
      <c r="L162" s="2">
        <v>95.0</v>
      </c>
      <c r="M162" s="2">
        <v>190.0</v>
      </c>
      <c r="O162" s="3">
        <f t="shared" si="3"/>
        <v>190</v>
      </c>
      <c r="P162" s="2">
        <v>99.0</v>
      </c>
      <c r="Q162" s="2">
        <f t="shared" si="4"/>
        <v>14.45</v>
      </c>
      <c r="R162" s="2">
        <v>7.0</v>
      </c>
      <c r="S162" s="2">
        <v>10.0</v>
      </c>
      <c r="T162" s="2">
        <v>12.0</v>
      </c>
      <c r="U162" s="2">
        <v>10.0</v>
      </c>
      <c r="V162" s="2">
        <v>14.5</v>
      </c>
      <c r="W162" s="2">
        <v>15.0</v>
      </c>
      <c r="X162" s="2">
        <v>19.5</v>
      </c>
      <c r="Y162" s="2">
        <v>29.0</v>
      </c>
      <c r="Z162" s="2">
        <v>29.0</v>
      </c>
      <c r="AA162" s="2">
        <v>30.0</v>
      </c>
      <c r="AB162" s="2">
        <v>30.0</v>
      </c>
      <c r="AC162" s="2">
        <f t="shared" si="5"/>
        <v>10.3</v>
      </c>
      <c r="AD162" s="2">
        <v>50.0</v>
      </c>
      <c r="AE162" s="2">
        <v>348.0</v>
      </c>
      <c r="AF162" s="2">
        <v>1.0</v>
      </c>
      <c r="AG162" s="3">
        <f t="shared" si="6"/>
        <v>10.3</v>
      </c>
      <c r="AH162" s="3">
        <f t="shared" si="7"/>
        <v>9.95</v>
      </c>
      <c r="AI162" s="4">
        <f t="shared" si="8"/>
        <v>83.39444444</v>
      </c>
    </row>
    <row r="163" hidden="1">
      <c r="A163" s="1" t="s">
        <v>494</v>
      </c>
      <c r="B163" s="1" t="s">
        <v>495</v>
      </c>
      <c r="C163" s="2" t="s">
        <v>59</v>
      </c>
      <c r="D163" s="2" t="s">
        <v>496</v>
      </c>
      <c r="E163" s="2">
        <f>VLOOKUP(B163, 'EE-Nitin'!$B$2:$F$57,5)</f>
        <v>26</v>
      </c>
      <c r="F163" s="2">
        <v>20.0</v>
      </c>
      <c r="G163" s="2">
        <f t="shared" si="1"/>
        <v>23</v>
      </c>
      <c r="H163" s="2">
        <v>7.0</v>
      </c>
      <c r="I163" s="2">
        <v>0.0</v>
      </c>
      <c r="J163" s="2">
        <v>21.0</v>
      </c>
      <c r="K163" s="3">
        <f t="shared" si="2"/>
        <v>4.083333333</v>
      </c>
      <c r="L163" s="2">
        <v>84.0</v>
      </c>
      <c r="M163" s="2">
        <v>0.0</v>
      </c>
      <c r="O163" s="3">
        <f t="shared" si="3"/>
        <v>0</v>
      </c>
      <c r="P163" s="2">
        <v>97.0</v>
      </c>
      <c r="Q163" s="2">
        <f t="shared" si="4"/>
        <v>9.05</v>
      </c>
      <c r="R163" s="2">
        <v>7.0</v>
      </c>
      <c r="S163" s="2">
        <v>9.0</v>
      </c>
      <c r="T163" s="2">
        <v>7.0</v>
      </c>
      <c r="U163" s="2">
        <v>10.0</v>
      </c>
      <c r="V163" s="2">
        <v>13.0</v>
      </c>
      <c r="W163" s="2">
        <v>12.0</v>
      </c>
      <c r="X163" s="2">
        <v>18.0</v>
      </c>
      <c r="Y163" s="2">
        <v>0.0</v>
      </c>
      <c r="Z163" s="2">
        <v>0.0</v>
      </c>
      <c r="AA163" s="2">
        <v>29.0</v>
      </c>
      <c r="AC163" s="2">
        <f t="shared" si="5"/>
        <v>5.25</v>
      </c>
      <c r="AD163" s="2">
        <v>0.0</v>
      </c>
      <c r="AE163" s="2">
        <v>343.0</v>
      </c>
      <c r="AF163" s="2">
        <v>1.0</v>
      </c>
      <c r="AG163" s="3">
        <f t="shared" si="6"/>
        <v>5.25</v>
      </c>
      <c r="AH163" s="3">
        <f t="shared" si="7"/>
        <v>8.575</v>
      </c>
      <c r="AI163" s="4">
        <f t="shared" si="8"/>
        <v>49.95833333</v>
      </c>
    </row>
    <row r="164" hidden="1">
      <c r="A164" s="1" t="s">
        <v>497</v>
      </c>
      <c r="B164" s="1" t="s">
        <v>498</v>
      </c>
      <c r="C164" s="2" t="s">
        <v>2</v>
      </c>
      <c r="D164" s="2" t="s">
        <v>499</v>
      </c>
      <c r="E164" s="2">
        <f>VLOOKUP(B164, 'EE-Nitin'!$B$2:$F$57,5)</f>
        <v>46</v>
      </c>
      <c r="F164" s="2">
        <v>22.0</v>
      </c>
      <c r="G164" s="2">
        <f t="shared" si="1"/>
        <v>34</v>
      </c>
      <c r="H164" s="2">
        <v>12.0</v>
      </c>
      <c r="I164" s="2">
        <v>17.0</v>
      </c>
      <c r="J164" s="2">
        <v>30.0</v>
      </c>
      <c r="K164" s="3">
        <f t="shared" si="2"/>
        <v>10.58333333</v>
      </c>
      <c r="L164" s="2">
        <v>85.0</v>
      </c>
      <c r="M164" s="2">
        <v>180.0</v>
      </c>
      <c r="O164" s="3">
        <f t="shared" si="3"/>
        <v>180</v>
      </c>
      <c r="P164" s="2">
        <v>97.0</v>
      </c>
      <c r="Q164" s="2">
        <f t="shared" si="4"/>
        <v>13.6</v>
      </c>
      <c r="R164" s="2">
        <v>6.0</v>
      </c>
      <c r="S164" s="2">
        <v>8.0</v>
      </c>
      <c r="T164" s="2">
        <v>7.0</v>
      </c>
      <c r="U164" s="2">
        <v>9.0</v>
      </c>
      <c r="V164" s="2">
        <v>13.0</v>
      </c>
      <c r="W164" s="2">
        <v>14.0</v>
      </c>
      <c r="X164" s="2">
        <v>18.0</v>
      </c>
      <c r="Y164" s="2">
        <v>27.0</v>
      </c>
      <c r="Z164" s="2">
        <v>28.0</v>
      </c>
      <c r="AA164" s="2">
        <v>29.0</v>
      </c>
      <c r="AB164" s="2">
        <v>29.0</v>
      </c>
      <c r="AC164" s="2">
        <f t="shared" si="5"/>
        <v>9.4</v>
      </c>
      <c r="AD164" s="2">
        <v>50.0</v>
      </c>
      <c r="AE164" s="2">
        <v>346.0</v>
      </c>
      <c r="AF164" s="2">
        <v>1.0</v>
      </c>
      <c r="AG164" s="3">
        <f t="shared" si="6"/>
        <v>9.4</v>
      </c>
      <c r="AH164" s="3">
        <f t="shared" si="7"/>
        <v>9.9</v>
      </c>
      <c r="AI164" s="4">
        <f t="shared" si="8"/>
        <v>77.48333333</v>
      </c>
    </row>
    <row r="165" hidden="1">
      <c r="A165" s="1" t="s">
        <v>500</v>
      </c>
      <c r="B165" s="1" t="s">
        <v>501</v>
      </c>
      <c r="C165" s="2" t="s">
        <v>55</v>
      </c>
      <c r="D165" s="2" t="s">
        <v>502</v>
      </c>
      <c r="E165" s="2">
        <f>VLOOKUP(B165, 'EE-Nitin'!$B$2:$F$57,5)</f>
        <v>15</v>
      </c>
      <c r="F165" s="2">
        <v>19.0</v>
      </c>
      <c r="G165" s="2">
        <f t="shared" si="1"/>
        <v>17</v>
      </c>
      <c r="H165" s="2">
        <v>2.0</v>
      </c>
      <c r="I165" s="2">
        <v>0.0</v>
      </c>
      <c r="J165" s="2">
        <v>16.0</v>
      </c>
      <c r="K165" s="3">
        <f t="shared" si="2"/>
        <v>2.277777778</v>
      </c>
      <c r="L165" s="2">
        <v>93.0</v>
      </c>
      <c r="M165" s="2">
        <v>180.0</v>
      </c>
      <c r="O165" s="3">
        <f t="shared" si="3"/>
        <v>180</v>
      </c>
      <c r="P165" s="2">
        <v>96.0</v>
      </c>
      <c r="Q165" s="2">
        <f t="shared" si="4"/>
        <v>13.95</v>
      </c>
      <c r="R165" s="2">
        <v>6.0</v>
      </c>
      <c r="S165" s="2">
        <v>4.0</v>
      </c>
      <c r="T165" s="2">
        <v>0.0</v>
      </c>
      <c r="U165" s="2">
        <v>9.0</v>
      </c>
      <c r="V165" s="2">
        <v>13.0</v>
      </c>
      <c r="W165" s="2">
        <v>10.0</v>
      </c>
      <c r="X165" s="2">
        <v>18.0</v>
      </c>
      <c r="Y165" s="2">
        <v>26.0</v>
      </c>
      <c r="Z165" s="2">
        <v>29.0</v>
      </c>
      <c r="AA165" s="2">
        <v>28.0</v>
      </c>
      <c r="AB165" s="2">
        <v>28.0</v>
      </c>
      <c r="AC165" s="2">
        <f t="shared" si="5"/>
        <v>8.55</v>
      </c>
      <c r="AD165" s="2">
        <v>45.0</v>
      </c>
      <c r="AE165" s="2">
        <v>341.0</v>
      </c>
      <c r="AF165" s="2">
        <v>1.0</v>
      </c>
      <c r="AG165" s="3">
        <f t="shared" si="6"/>
        <v>8.55</v>
      </c>
      <c r="AH165" s="3">
        <f t="shared" si="7"/>
        <v>9.65</v>
      </c>
      <c r="AI165" s="4">
        <f t="shared" si="8"/>
        <v>51.42777778</v>
      </c>
    </row>
    <row r="166" hidden="1">
      <c r="A166" s="1" t="s">
        <v>503</v>
      </c>
      <c r="B166" s="1" t="s">
        <v>504</v>
      </c>
      <c r="C166" s="2" t="s">
        <v>25</v>
      </c>
      <c r="D166" s="2" t="s">
        <v>505</v>
      </c>
      <c r="E166" s="2">
        <f>VLOOKUP(B166, 'EE-Nitin'!$B$2:$F$57,5)</f>
        <v>40</v>
      </c>
      <c r="F166" s="2">
        <v>21.0</v>
      </c>
      <c r="G166" s="2">
        <f t="shared" si="1"/>
        <v>30.5</v>
      </c>
      <c r="H166" s="2">
        <v>7.0</v>
      </c>
      <c r="I166" s="2">
        <v>7.5</v>
      </c>
      <c r="J166" s="2">
        <v>29.0</v>
      </c>
      <c r="K166" s="3">
        <f t="shared" si="2"/>
        <v>6.847222222</v>
      </c>
      <c r="L166" s="2">
        <v>90.0</v>
      </c>
      <c r="M166" s="2">
        <v>185.0</v>
      </c>
      <c r="O166" s="3">
        <f t="shared" si="3"/>
        <v>185</v>
      </c>
      <c r="P166" s="2">
        <v>97.0</v>
      </c>
      <c r="Q166" s="2">
        <f t="shared" si="4"/>
        <v>13.975</v>
      </c>
      <c r="R166" s="2">
        <v>7.0</v>
      </c>
      <c r="S166" s="2">
        <v>7.0</v>
      </c>
      <c r="T166" s="2">
        <v>7.0</v>
      </c>
      <c r="U166" s="2">
        <v>11.0</v>
      </c>
      <c r="V166" s="2">
        <v>14.5</v>
      </c>
      <c r="W166" s="2">
        <v>14.0</v>
      </c>
      <c r="X166" s="2">
        <v>20.0</v>
      </c>
      <c r="Y166" s="2">
        <v>28.0</v>
      </c>
      <c r="Z166" s="2">
        <v>27.0</v>
      </c>
      <c r="AA166" s="2">
        <v>29.0</v>
      </c>
      <c r="AB166" s="2">
        <v>29.0</v>
      </c>
      <c r="AC166" s="2">
        <f t="shared" si="5"/>
        <v>9.675</v>
      </c>
      <c r="AD166" s="2">
        <v>40.0</v>
      </c>
      <c r="AE166" s="2">
        <v>342.0</v>
      </c>
      <c r="AF166" s="2">
        <v>1.0</v>
      </c>
      <c r="AG166" s="3">
        <f t="shared" si="6"/>
        <v>9.675</v>
      </c>
      <c r="AH166" s="3">
        <f t="shared" si="7"/>
        <v>9.55</v>
      </c>
      <c r="AI166" s="4">
        <f t="shared" si="8"/>
        <v>70.54722222</v>
      </c>
    </row>
    <row r="167" hidden="1">
      <c r="A167" s="1" t="s">
        <v>506</v>
      </c>
      <c r="B167" s="1" t="s">
        <v>507</v>
      </c>
      <c r="C167" s="2" t="s">
        <v>32</v>
      </c>
      <c r="D167" s="2" t="s">
        <v>508</v>
      </c>
      <c r="E167" s="2">
        <f>VLOOKUP(B167, 'EE-Nitin'!$B$2:$F$57,5)</f>
        <v>33</v>
      </c>
      <c r="F167" s="2">
        <v>20.0</v>
      </c>
      <c r="G167" s="2">
        <f t="shared" si="1"/>
        <v>26.5</v>
      </c>
      <c r="H167" s="2">
        <v>5.0</v>
      </c>
      <c r="I167" s="2">
        <v>5.0</v>
      </c>
      <c r="J167" s="2">
        <v>26.0</v>
      </c>
      <c r="K167" s="3">
        <f t="shared" si="2"/>
        <v>5.388888889</v>
      </c>
      <c r="L167" s="2">
        <v>94.0</v>
      </c>
      <c r="M167" s="2">
        <v>180.0</v>
      </c>
      <c r="O167" s="3">
        <f t="shared" si="3"/>
        <v>180</v>
      </c>
      <c r="P167" s="2">
        <v>97.0</v>
      </c>
      <c r="Q167" s="2">
        <f t="shared" si="4"/>
        <v>14.05</v>
      </c>
      <c r="R167" s="2">
        <v>6.0</v>
      </c>
      <c r="S167" s="2">
        <v>5.0</v>
      </c>
      <c r="T167" s="2">
        <v>12.0</v>
      </c>
      <c r="U167" s="2">
        <v>11.0</v>
      </c>
      <c r="V167" s="2">
        <v>14.5</v>
      </c>
      <c r="W167" s="2">
        <v>13.0</v>
      </c>
      <c r="X167" s="2">
        <v>19.5</v>
      </c>
      <c r="Y167" s="2">
        <v>27.0</v>
      </c>
      <c r="Z167" s="2">
        <v>26.0</v>
      </c>
      <c r="AA167" s="2">
        <v>29.0</v>
      </c>
      <c r="AB167" s="2">
        <v>28.0</v>
      </c>
      <c r="AC167" s="2">
        <f t="shared" si="5"/>
        <v>9.55</v>
      </c>
      <c r="AD167" s="2">
        <v>50.0</v>
      </c>
      <c r="AE167" s="2">
        <v>346.0</v>
      </c>
      <c r="AF167" s="2">
        <v>1.0</v>
      </c>
      <c r="AG167" s="3">
        <f t="shared" si="6"/>
        <v>9.55</v>
      </c>
      <c r="AH167" s="3">
        <f t="shared" si="7"/>
        <v>9.9</v>
      </c>
      <c r="AI167" s="4">
        <f t="shared" si="8"/>
        <v>65.38888889</v>
      </c>
    </row>
    <row r="168" hidden="1">
      <c r="A168" s="1" t="s">
        <v>509</v>
      </c>
      <c r="B168" s="1" t="s">
        <v>510</v>
      </c>
      <c r="C168" s="2" t="s">
        <v>25</v>
      </c>
      <c r="D168" s="2" t="s">
        <v>511</v>
      </c>
      <c r="E168" s="2">
        <f>VLOOKUP(B168, 'EE-Nitin'!$B$2:$F$57,5)</f>
        <v>39</v>
      </c>
      <c r="F168" s="2">
        <v>24.0</v>
      </c>
      <c r="G168" s="2">
        <f t="shared" si="1"/>
        <v>31.5</v>
      </c>
      <c r="H168" s="2">
        <v>10.0</v>
      </c>
      <c r="I168" s="2">
        <v>5.0</v>
      </c>
      <c r="J168" s="2">
        <v>27.0</v>
      </c>
      <c r="K168" s="3">
        <f t="shared" si="2"/>
        <v>6.75</v>
      </c>
      <c r="L168" s="2">
        <v>85.0</v>
      </c>
      <c r="M168" s="2">
        <v>170.0</v>
      </c>
      <c r="N168" s="2">
        <v>190.0</v>
      </c>
      <c r="O168" s="3">
        <f t="shared" si="3"/>
        <v>190</v>
      </c>
      <c r="P168" s="2">
        <v>98.0</v>
      </c>
      <c r="Q168" s="2">
        <f t="shared" si="4"/>
        <v>13.9</v>
      </c>
      <c r="R168" s="2">
        <v>7.0</v>
      </c>
      <c r="S168" s="2">
        <v>3.0</v>
      </c>
      <c r="T168" s="2">
        <v>7.0</v>
      </c>
      <c r="U168" s="2">
        <v>11.0</v>
      </c>
      <c r="V168" s="2">
        <v>13.0</v>
      </c>
      <c r="W168" s="2">
        <v>12.0</v>
      </c>
      <c r="X168" s="2">
        <v>19.0</v>
      </c>
      <c r="Y168" s="2">
        <v>25.0</v>
      </c>
      <c r="Z168" s="2">
        <v>26.0</v>
      </c>
      <c r="AA168" s="2">
        <v>29.0</v>
      </c>
      <c r="AB168" s="2">
        <v>29.0</v>
      </c>
      <c r="AC168" s="2">
        <f t="shared" si="5"/>
        <v>9.05</v>
      </c>
      <c r="AD168" s="2">
        <v>48.0</v>
      </c>
      <c r="AE168" s="2">
        <v>343.0</v>
      </c>
      <c r="AF168" s="2">
        <v>1.0</v>
      </c>
      <c r="AG168" s="3">
        <f t="shared" si="6"/>
        <v>9.05</v>
      </c>
      <c r="AH168" s="3">
        <f t="shared" si="7"/>
        <v>9.775</v>
      </c>
      <c r="AI168" s="4">
        <f t="shared" si="8"/>
        <v>70.975</v>
      </c>
    </row>
    <row r="169" hidden="1">
      <c r="A169" s="1" t="s">
        <v>512</v>
      </c>
      <c r="B169" s="1" t="s">
        <v>513</v>
      </c>
      <c r="C169" s="2" t="s">
        <v>32</v>
      </c>
      <c r="D169" s="2" t="s">
        <v>514</v>
      </c>
      <c r="E169" s="2">
        <f>VLOOKUP(B169, 'EE-Nitin'!$B$2:$F$57,5)</f>
        <v>36</v>
      </c>
      <c r="F169" s="2">
        <v>21.0</v>
      </c>
      <c r="G169" s="2">
        <f t="shared" si="1"/>
        <v>28.5</v>
      </c>
      <c r="H169" s="2">
        <v>4.0</v>
      </c>
      <c r="I169" s="2">
        <v>7.0</v>
      </c>
      <c r="J169" s="2">
        <v>23.0</v>
      </c>
      <c r="K169" s="3">
        <f t="shared" si="2"/>
        <v>5.305555556</v>
      </c>
      <c r="L169" s="2">
        <v>80.0</v>
      </c>
      <c r="M169" s="2">
        <v>165.0</v>
      </c>
      <c r="N169" s="2">
        <v>170.0</v>
      </c>
      <c r="O169" s="3">
        <f t="shared" si="3"/>
        <v>170</v>
      </c>
      <c r="P169" s="2">
        <v>98.0</v>
      </c>
      <c r="Q169" s="2">
        <f t="shared" si="4"/>
        <v>13.15</v>
      </c>
      <c r="R169" s="2">
        <v>2.0</v>
      </c>
      <c r="S169" s="2">
        <v>4.0</v>
      </c>
      <c r="T169" s="2">
        <v>0.0</v>
      </c>
      <c r="U169" s="2">
        <v>11.0</v>
      </c>
      <c r="V169" s="2">
        <v>14.0</v>
      </c>
      <c r="W169" s="2">
        <v>10.0</v>
      </c>
      <c r="X169" s="2">
        <v>20.0</v>
      </c>
      <c r="Y169" s="2">
        <v>25.0</v>
      </c>
      <c r="Z169" s="2">
        <v>27.0</v>
      </c>
      <c r="AA169" s="2">
        <v>28.0</v>
      </c>
      <c r="AB169" s="2">
        <v>28.0</v>
      </c>
      <c r="AC169" s="2">
        <f t="shared" si="5"/>
        <v>8.45</v>
      </c>
      <c r="AD169" s="2">
        <v>50.0</v>
      </c>
      <c r="AE169" s="2">
        <v>345.0</v>
      </c>
      <c r="AF169" s="2">
        <v>1.0</v>
      </c>
      <c r="AG169" s="3">
        <f t="shared" si="6"/>
        <v>8.45</v>
      </c>
      <c r="AH169" s="3">
        <f t="shared" si="7"/>
        <v>9.875</v>
      </c>
      <c r="AI169" s="4">
        <f t="shared" si="8"/>
        <v>65.28055556</v>
      </c>
    </row>
    <row r="170" hidden="1">
      <c r="A170" s="1" t="s">
        <v>515</v>
      </c>
      <c r="B170" s="1" t="s">
        <v>516</v>
      </c>
      <c r="C170" s="2" t="s">
        <v>32</v>
      </c>
      <c r="D170" s="2" t="s">
        <v>517</v>
      </c>
      <c r="E170" s="2">
        <f>VLOOKUP(B170, 'EE-Nitin'!$B$2:$F$57,5)</f>
        <v>42</v>
      </c>
      <c r="F170" s="2">
        <v>14.0</v>
      </c>
      <c r="G170" s="2">
        <f t="shared" si="1"/>
        <v>28</v>
      </c>
      <c r="H170" s="2">
        <v>7.0</v>
      </c>
      <c r="I170" s="2">
        <v>4.0</v>
      </c>
      <c r="J170" s="2">
        <v>22.0</v>
      </c>
      <c r="K170" s="3">
        <f t="shared" si="2"/>
        <v>5.194444444</v>
      </c>
      <c r="L170" s="2">
        <v>95.0</v>
      </c>
      <c r="M170" s="2">
        <v>170.0</v>
      </c>
      <c r="N170" s="2">
        <v>143.0</v>
      </c>
      <c r="O170" s="3">
        <f t="shared" si="3"/>
        <v>170</v>
      </c>
      <c r="P170" s="2">
        <v>97.0</v>
      </c>
      <c r="Q170" s="2">
        <f t="shared" si="4"/>
        <v>13.85</v>
      </c>
      <c r="R170" s="2">
        <v>7.0</v>
      </c>
      <c r="S170" s="2">
        <v>6.0</v>
      </c>
      <c r="T170" s="2">
        <v>0.0</v>
      </c>
      <c r="U170" s="2">
        <v>14.0</v>
      </c>
      <c r="V170" s="2">
        <v>14.0</v>
      </c>
      <c r="W170" s="2">
        <v>14.0</v>
      </c>
      <c r="X170" s="2">
        <v>19.0</v>
      </c>
      <c r="Y170" s="2">
        <v>29.0</v>
      </c>
      <c r="Z170" s="2">
        <v>27.0</v>
      </c>
      <c r="AA170" s="2">
        <v>27.0</v>
      </c>
      <c r="AB170" s="2">
        <v>28.0</v>
      </c>
      <c r="AC170" s="2">
        <f t="shared" si="5"/>
        <v>9.25</v>
      </c>
      <c r="AD170" s="2">
        <v>10.0</v>
      </c>
      <c r="AE170" s="2">
        <v>346.0</v>
      </c>
      <c r="AF170" s="2">
        <v>1.0</v>
      </c>
      <c r="AG170" s="3">
        <f t="shared" si="6"/>
        <v>9.25</v>
      </c>
      <c r="AH170" s="3">
        <f t="shared" si="7"/>
        <v>8.9</v>
      </c>
      <c r="AI170" s="4">
        <f t="shared" si="8"/>
        <v>65.19444444</v>
      </c>
    </row>
    <row r="171" hidden="1">
      <c r="A171" s="1" t="s">
        <v>518</v>
      </c>
      <c r="B171" s="1" t="s">
        <v>519</v>
      </c>
      <c r="C171" s="2" t="s">
        <v>42</v>
      </c>
      <c r="D171" s="2" t="s">
        <v>520</v>
      </c>
      <c r="E171" s="2">
        <f>VLOOKUP(B171, 'EE-Nitin'!$B$2:$F$57,5)</f>
        <v>51</v>
      </c>
      <c r="F171" s="2">
        <v>35.0</v>
      </c>
      <c r="G171" s="2">
        <f t="shared" si="1"/>
        <v>43</v>
      </c>
      <c r="H171" s="2">
        <v>15.0</v>
      </c>
      <c r="I171" s="2">
        <v>18.5</v>
      </c>
      <c r="J171" s="2">
        <v>43.0</v>
      </c>
      <c r="K171" s="3">
        <f t="shared" si="2"/>
        <v>13.15277778</v>
      </c>
      <c r="L171" s="2">
        <v>100.0</v>
      </c>
      <c r="M171" s="2">
        <v>200.0</v>
      </c>
      <c r="O171" s="3">
        <f t="shared" si="3"/>
        <v>200</v>
      </c>
      <c r="P171" s="2">
        <v>100.0</v>
      </c>
      <c r="Q171" s="2">
        <f t="shared" si="4"/>
        <v>15</v>
      </c>
      <c r="R171" s="2">
        <v>7.0</v>
      </c>
      <c r="S171" s="2">
        <v>8.0</v>
      </c>
      <c r="T171" s="2">
        <v>9.0</v>
      </c>
      <c r="U171" s="2">
        <v>14.0</v>
      </c>
      <c r="V171" s="2">
        <v>15.0</v>
      </c>
      <c r="W171" s="2">
        <v>15.0</v>
      </c>
      <c r="X171" s="2">
        <v>20.0</v>
      </c>
      <c r="Y171" s="2">
        <v>30.0</v>
      </c>
      <c r="Z171" s="2">
        <v>29.0</v>
      </c>
      <c r="AA171" s="2">
        <v>30.0</v>
      </c>
      <c r="AB171" s="2">
        <v>30.0</v>
      </c>
      <c r="AC171" s="2">
        <f t="shared" si="5"/>
        <v>10.35</v>
      </c>
      <c r="AD171" s="2">
        <v>40.0</v>
      </c>
      <c r="AE171" s="2">
        <v>350.0</v>
      </c>
      <c r="AF171" s="2">
        <v>1.0</v>
      </c>
      <c r="AG171" s="3">
        <f t="shared" si="6"/>
        <v>10.35</v>
      </c>
      <c r="AH171" s="3">
        <f t="shared" si="7"/>
        <v>9.75</v>
      </c>
      <c r="AI171" s="4">
        <f t="shared" si="8"/>
        <v>91.25277778</v>
      </c>
    </row>
    <row r="172" hidden="1">
      <c r="A172" s="1" t="s">
        <v>521</v>
      </c>
      <c r="B172" s="1" t="s">
        <v>522</v>
      </c>
      <c r="C172" s="2" t="s">
        <v>6</v>
      </c>
      <c r="D172" s="2" t="s">
        <v>523</v>
      </c>
      <c r="E172" s="2">
        <f>VLOOKUP(B172, 'EE-Nitin'!$B$2:$F$57,5)</f>
        <v>45</v>
      </c>
      <c r="F172" s="2">
        <v>34.0</v>
      </c>
      <c r="G172" s="2">
        <f t="shared" si="1"/>
        <v>39.5</v>
      </c>
      <c r="H172" s="2">
        <v>12.0</v>
      </c>
      <c r="I172" s="2">
        <v>19.0</v>
      </c>
      <c r="J172" s="2">
        <v>38.0</v>
      </c>
      <c r="K172" s="3">
        <f t="shared" si="2"/>
        <v>11.97222222</v>
      </c>
      <c r="L172" s="2">
        <v>92.0</v>
      </c>
      <c r="M172" s="2">
        <v>200.0</v>
      </c>
      <c r="O172" s="3">
        <f t="shared" si="3"/>
        <v>200</v>
      </c>
      <c r="P172" s="2">
        <v>100.0</v>
      </c>
      <c r="Q172" s="2">
        <f t="shared" si="4"/>
        <v>14.6</v>
      </c>
      <c r="R172" s="2">
        <v>7.0</v>
      </c>
      <c r="S172" s="2">
        <v>9.0</v>
      </c>
      <c r="T172" s="2">
        <v>12.0</v>
      </c>
      <c r="U172" s="2">
        <v>12.0</v>
      </c>
      <c r="V172" s="2">
        <v>15.0</v>
      </c>
      <c r="W172" s="2">
        <v>14.5</v>
      </c>
      <c r="X172" s="2">
        <v>20.0</v>
      </c>
      <c r="Y172" s="2">
        <v>30.0</v>
      </c>
      <c r="Z172" s="2">
        <v>27.0</v>
      </c>
      <c r="AA172" s="2">
        <v>30.0</v>
      </c>
      <c r="AB172" s="2">
        <v>30.0</v>
      </c>
      <c r="AC172" s="2">
        <f t="shared" si="5"/>
        <v>10.325</v>
      </c>
      <c r="AD172" s="2">
        <v>50.0</v>
      </c>
      <c r="AE172" s="2">
        <v>345.0</v>
      </c>
      <c r="AF172" s="2">
        <v>1.0</v>
      </c>
      <c r="AG172" s="3">
        <f t="shared" si="6"/>
        <v>10.325</v>
      </c>
      <c r="AH172" s="3">
        <f t="shared" si="7"/>
        <v>9.875</v>
      </c>
      <c r="AI172" s="4">
        <f t="shared" si="8"/>
        <v>86.27222222</v>
      </c>
    </row>
    <row r="173" hidden="1">
      <c r="A173" s="1" t="s">
        <v>524</v>
      </c>
      <c r="B173" s="1" t="s">
        <v>525</v>
      </c>
      <c r="C173" s="2" t="s">
        <v>2</v>
      </c>
      <c r="D173" s="2" t="s">
        <v>526</v>
      </c>
      <c r="E173" s="2">
        <f>VLOOKUP(B173, 'EE-Nitin'!$B$2:$F$57,5)</f>
        <v>41</v>
      </c>
      <c r="F173" s="2">
        <v>22.0</v>
      </c>
      <c r="G173" s="2">
        <f t="shared" si="1"/>
        <v>31.5</v>
      </c>
      <c r="H173" s="2">
        <v>7.0</v>
      </c>
      <c r="I173" s="2">
        <v>12.5</v>
      </c>
      <c r="J173" s="2">
        <v>34.0</v>
      </c>
      <c r="K173" s="3">
        <f t="shared" si="2"/>
        <v>8.652777778</v>
      </c>
      <c r="L173" s="2">
        <v>92.0</v>
      </c>
      <c r="M173" s="2">
        <v>195.0</v>
      </c>
      <c r="O173" s="3">
        <f t="shared" si="3"/>
        <v>195</v>
      </c>
      <c r="P173" s="2">
        <v>98.0</v>
      </c>
      <c r="Q173" s="2">
        <f t="shared" si="4"/>
        <v>14.375</v>
      </c>
      <c r="R173" s="2">
        <v>6.0</v>
      </c>
      <c r="S173" s="2">
        <v>2.0</v>
      </c>
      <c r="T173" s="2">
        <v>10.0</v>
      </c>
      <c r="U173" s="2">
        <v>12.0</v>
      </c>
      <c r="V173" s="2">
        <v>14.0</v>
      </c>
      <c r="W173" s="2">
        <v>10.0</v>
      </c>
      <c r="X173" s="2">
        <v>19.5</v>
      </c>
      <c r="Y173" s="2">
        <v>20.0</v>
      </c>
      <c r="Z173" s="2">
        <v>28.0</v>
      </c>
      <c r="AA173" s="2">
        <v>28.0</v>
      </c>
      <c r="AB173" s="2">
        <v>29.0</v>
      </c>
      <c r="AC173" s="2">
        <f t="shared" si="5"/>
        <v>8.925</v>
      </c>
      <c r="AD173" s="2">
        <v>45.0</v>
      </c>
      <c r="AE173" s="2">
        <v>342.0</v>
      </c>
      <c r="AF173" s="2">
        <v>1.0</v>
      </c>
      <c r="AG173" s="3">
        <f t="shared" si="6"/>
        <v>8.925</v>
      </c>
      <c r="AH173" s="3">
        <f t="shared" si="7"/>
        <v>9.675</v>
      </c>
      <c r="AI173" s="4">
        <f t="shared" si="8"/>
        <v>73.12777778</v>
      </c>
    </row>
    <row r="174" hidden="1">
      <c r="A174" s="1" t="s">
        <v>527</v>
      </c>
      <c r="B174" s="1" t="s">
        <v>528</v>
      </c>
      <c r="C174" s="2" t="s">
        <v>25</v>
      </c>
      <c r="D174" s="2" t="s">
        <v>529</v>
      </c>
      <c r="E174" s="2">
        <f>VLOOKUP(B174, 'EE-Nitin'!$B$2:$F$57,5)</f>
        <v>31</v>
      </c>
      <c r="F174" s="2">
        <v>20.0</v>
      </c>
      <c r="G174" s="2">
        <f t="shared" si="1"/>
        <v>25.5</v>
      </c>
      <c r="H174" s="2">
        <v>11.0</v>
      </c>
      <c r="I174" s="2">
        <v>13.5</v>
      </c>
      <c r="J174" s="2">
        <v>31.0</v>
      </c>
      <c r="K174" s="3">
        <f t="shared" si="2"/>
        <v>9.569444444</v>
      </c>
      <c r="L174" s="2">
        <v>97.0</v>
      </c>
      <c r="M174" s="2">
        <v>192.0</v>
      </c>
      <c r="O174" s="3">
        <f t="shared" si="3"/>
        <v>192</v>
      </c>
      <c r="P174" s="2">
        <v>98.0</v>
      </c>
      <c r="Q174" s="2">
        <f t="shared" si="4"/>
        <v>14.55</v>
      </c>
      <c r="R174" s="2">
        <v>7.0</v>
      </c>
      <c r="S174" s="2">
        <v>3.0</v>
      </c>
      <c r="T174" s="2">
        <v>10.0</v>
      </c>
      <c r="U174" s="2">
        <v>12.0</v>
      </c>
      <c r="V174" s="2">
        <v>15.0</v>
      </c>
      <c r="W174" s="2">
        <v>14.5</v>
      </c>
      <c r="X174" s="2">
        <v>20.0</v>
      </c>
      <c r="Y174" s="2">
        <v>29.0</v>
      </c>
      <c r="Z174" s="2">
        <v>27.0</v>
      </c>
      <c r="AA174" s="2">
        <v>30.0</v>
      </c>
      <c r="AB174" s="2">
        <v>30.0</v>
      </c>
      <c r="AC174" s="2">
        <f t="shared" si="5"/>
        <v>9.875</v>
      </c>
      <c r="AD174" s="2">
        <v>50.0</v>
      </c>
      <c r="AE174" s="2">
        <v>350.0</v>
      </c>
      <c r="AF174" s="2">
        <v>1.0</v>
      </c>
      <c r="AG174" s="3">
        <f t="shared" si="6"/>
        <v>9.875</v>
      </c>
      <c r="AH174" s="3">
        <f t="shared" si="7"/>
        <v>10</v>
      </c>
      <c r="AI174" s="4">
        <f t="shared" si="8"/>
        <v>69.49444444</v>
      </c>
    </row>
    <row r="175" hidden="1">
      <c r="A175" s="1" t="s">
        <v>530</v>
      </c>
      <c r="B175" s="1" t="s">
        <v>531</v>
      </c>
      <c r="C175" s="2" t="s">
        <v>25</v>
      </c>
      <c r="D175" s="2" t="s">
        <v>532</v>
      </c>
      <c r="E175" s="2">
        <f>VLOOKUP(B175, 'EE-Nitin'!$B$2:$F$57,5)</f>
        <v>42</v>
      </c>
      <c r="F175" s="2">
        <v>21.0</v>
      </c>
      <c r="G175" s="2">
        <f t="shared" si="1"/>
        <v>31.5</v>
      </c>
      <c r="H175" s="2">
        <v>12.0</v>
      </c>
      <c r="I175" s="2">
        <v>15.5</v>
      </c>
      <c r="J175" s="2">
        <v>26.0</v>
      </c>
      <c r="K175" s="3">
        <f t="shared" si="2"/>
        <v>9.763888889</v>
      </c>
      <c r="L175" s="2">
        <v>93.0</v>
      </c>
      <c r="M175" s="2">
        <v>187.0</v>
      </c>
      <c r="O175" s="3">
        <f t="shared" si="3"/>
        <v>187</v>
      </c>
      <c r="P175" s="2">
        <v>99.0</v>
      </c>
      <c r="Q175" s="2">
        <f t="shared" si="4"/>
        <v>14.275</v>
      </c>
      <c r="R175" s="2">
        <v>6.0</v>
      </c>
      <c r="S175" s="2">
        <v>6.0</v>
      </c>
      <c r="T175" s="2">
        <v>5.0</v>
      </c>
      <c r="U175" s="2">
        <v>13.0</v>
      </c>
      <c r="V175" s="2">
        <v>0.0</v>
      </c>
      <c r="W175" s="2">
        <v>14.5</v>
      </c>
      <c r="X175" s="2">
        <v>20.0</v>
      </c>
      <c r="Y175" s="2">
        <v>20.0</v>
      </c>
      <c r="Z175" s="2">
        <v>21.0</v>
      </c>
      <c r="AA175" s="2">
        <v>29.0</v>
      </c>
      <c r="AC175" s="2">
        <f t="shared" si="5"/>
        <v>6.725</v>
      </c>
      <c r="AD175" s="2">
        <v>45.0</v>
      </c>
      <c r="AE175" s="2">
        <v>343.0</v>
      </c>
      <c r="AF175" s="2">
        <v>1.0</v>
      </c>
      <c r="AG175" s="3">
        <f t="shared" si="6"/>
        <v>6.725</v>
      </c>
      <c r="AH175" s="3">
        <f t="shared" si="7"/>
        <v>9.7</v>
      </c>
      <c r="AI175" s="4">
        <f t="shared" si="8"/>
        <v>71.96388889</v>
      </c>
    </row>
    <row r="176" hidden="1">
      <c r="A176" s="1" t="s">
        <v>533</v>
      </c>
      <c r="B176" s="1" t="s">
        <v>534</v>
      </c>
      <c r="C176" s="2" t="s">
        <v>32</v>
      </c>
      <c r="D176" s="2" t="s">
        <v>535</v>
      </c>
      <c r="E176" s="2">
        <f>VLOOKUP(B176, 'EE-Nitin'!$B$2:$F$57,5)</f>
        <v>33</v>
      </c>
      <c r="F176" s="2">
        <v>16.0</v>
      </c>
      <c r="G176" s="2">
        <f t="shared" si="1"/>
        <v>24.5</v>
      </c>
      <c r="H176" s="2">
        <v>4.0</v>
      </c>
      <c r="I176" s="2">
        <v>6.5</v>
      </c>
      <c r="J176" s="2">
        <v>31.0</v>
      </c>
      <c r="K176" s="3">
        <f t="shared" si="2"/>
        <v>6.069444444</v>
      </c>
      <c r="L176" s="2">
        <v>93.0</v>
      </c>
      <c r="M176" s="2">
        <v>165.0</v>
      </c>
      <c r="N176" s="2">
        <v>190.0</v>
      </c>
      <c r="O176" s="3">
        <f t="shared" si="3"/>
        <v>190</v>
      </c>
      <c r="P176" s="2">
        <v>97.0</v>
      </c>
      <c r="Q176" s="2">
        <f t="shared" si="4"/>
        <v>14.25</v>
      </c>
      <c r="R176" s="2">
        <v>6.0</v>
      </c>
      <c r="S176" s="2">
        <v>6.0</v>
      </c>
      <c r="T176" s="2">
        <v>7.0</v>
      </c>
      <c r="U176" s="2">
        <v>14.0</v>
      </c>
      <c r="V176" s="2">
        <v>15.0</v>
      </c>
      <c r="W176" s="2">
        <v>15.0</v>
      </c>
      <c r="X176" s="2">
        <v>19.5</v>
      </c>
      <c r="Y176" s="2">
        <v>28.0</v>
      </c>
      <c r="Z176" s="2">
        <v>29.0</v>
      </c>
      <c r="AA176" s="2">
        <v>29.0</v>
      </c>
      <c r="AB176" s="2">
        <v>30.0</v>
      </c>
      <c r="AC176" s="2">
        <f t="shared" si="5"/>
        <v>9.925</v>
      </c>
      <c r="AD176" s="2">
        <v>50.0</v>
      </c>
      <c r="AE176" s="2">
        <v>345.0</v>
      </c>
      <c r="AF176" s="2">
        <v>1.0</v>
      </c>
      <c r="AG176" s="3">
        <f t="shared" si="6"/>
        <v>9.925</v>
      </c>
      <c r="AH176" s="3">
        <f t="shared" si="7"/>
        <v>9.875</v>
      </c>
      <c r="AI176" s="4">
        <f t="shared" si="8"/>
        <v>64.61944444</v>
      </c>
    </row>
    <row r="177" hidden="1">
      <c r="A177" s="1" t="s">
        <v>536</v>
      </c>
      <c r="B177" s="1" t="s">
        <v>537</v>
      </c>
      <c r="C177" s="2" t="s">
        <v>6</v>
      </c>
      <c r="D177" s="2" t="s">
        <v>538</v>
      </c>
      <c r="E177" s="2">
        <f>VLOOKUP(B177, 'EE-Nitin'!$B$2:$F$57,5)</f>
        <v>46</v>
      </c>
      <c r="F177" s="2">
        <v>29.0</v>
      </c>
      <c r="G177" s="2">
        <f t="shared" si="1"/>
        <v>37.5</v>
      </c>
      <c r="H177" s="2">
        <v>14.0</v>
      </c>
      <c r="I177" s="2">
        <v>17.5</v>
      </c>
      <c r="J177" s="2">
        <v>40.0</v>
      </c>
      <c r="K177" s="3">
        <f t="shared" si="2"/>
        <v>12.31944444</v>
      </c>
      <c r="L177" s="2">
        <v>97.0</v>
      </c>
      <c r="M177" s="2">
        <v>192.0</v>
      </c>
      <c r="O177" s="3">
        <f t="shared" si="3"/>
        <v>192</v>
      </c>
      <c r="P177" s="2">
        <v>100.0</v>
      </c>
      <c r="Q177" s="2">
        <f t="shared" si="4"/>
        <v>14.65</v>
      </c>
      <c r="R177" s="2">
        <v>7.0</v>
      </c>
      <c r="S177" s="2">
        <v>8.0</v>
      </c>
      <c r="T177" s="2">
        <v>12.0</v>
      </c>
      <c r="U177" s="2">
        <v>12.0</v>
      </c>
      <c r="V177" s="2">
        <v>14.5</v>
      </c>
      <c r="W177" s="2">
        <v>14.0</v>
      </c>
      <c r="X177" s="2">
        <v>19.5</v>
      </c>
      <c r="Y177" s="2">
        <v>30.0</v>
      </c>
      <c r="Z177" s="2">
        <v>27.0</v>
      </c>
      <c r="AA177" s="2">
        <v>30.0</v>
      </c>
      <c r="AB177" s="2">
        <v>30.0</v>
      </c>
      <c r="AC177" s="2">
        <f t="shared" si="5"/>
        <v>10.2</v>
      </c>
      <c r="AD177" s="2">
        <v>45.0</v>
      </c>
      <c r="AE177" s="2">
        <v>350.0</v>
      </c>
      <c r="AF177" s="2">
        <v>1.0</v>
      </c>
      <c r="AG177" s="3">
        <f t="shared" si="6"/>
        <v>10.2</v>
      </c>
      <c r="AH177" s="3">
        <f t="shared" si="7"/>
        <v>9.875</v>
      </c>
      <c r="AI177" s="4">
        <f t="shared" si="8"/>
        <v>84.54444444</v>
      </c>
    </row>
    <row r="178" hidden="1">
      <c r="A178" s="1" t="s">
        <v>539</v>
      </c>
      <c r="B178" s="1" t="s">
        <v>540</v>
      </c>
      <c r="C178" s="2" t="s">
        <v>2</v>
      </c>
      <c r="D178" s="2" t="s">
        <v>541</v>
      </c>
      <c r="E178" s="2">
        <f>VLOOKUP(B178, 'EE-Nitin'!$B$2:$F$57,5)</f>
        <v>37</v>
      </c>
      <c r="F178" s="2">
        <v>29.0</v>
      </c>
      <c r="G178" s="2">
        <f t="shared" si="1"/>
        <v>33</v>
      </c>
      <c r="H178" s="2">
        <v>8.0</v>
      </c>
      <c r="I178" s="2">
        <v>17.5</v>
      </c>
      <c r="J178" s="2">
        <v>38.0</v>
      </c>
      <c r="K178" s="3">
        <f t="shared" si="2"/>
        <v>10.59722222</v>
      </c>
      <c r="L178" s="2">
        <v>94.0</v>
      </c>
      <c r="M178" s="2">
        <v>192.0</v>
      </c>
      <c r="O178" s="3">
        <f t="shared" si="3"/>
        <v>192</v>
      </c>
      <c r="P178" s="2">
        <v>100.0</v>
      </c>
      <c r="Q178" s="2">
        <f t="shared" si="4"/>
        <v>14.5</v>
      </c>
      <c r="R178" s="2">
        <v>7.0</v>
      </c>
      <c r="S178" s="2">
        <v>6.0</v>
      </c>
      <c r="T178" s="2">
        <v>11.0</v>
      </c>
      <c r="U178" s="2">
        <v>9.0</v>
      </c>
      <c r="V178" s="2">
        <v>15.0</v>
      </c>
      <c r="W178" s="2">
        <v>15.0</v>
      </c>
      <c r="X178" s="2">
        <v>19.5</v>
      </c>
      <c r="Y178" s="2">
        <v>29.0</v>
      </c>
      <c r="Z178" s="2">
        <v>25.0</v>
      </c>
      <c r="AA178" s="2">
        <v>30.0</v>
      </c>
      <c r="AB178" s="2">
        <v>30.0</v>
      </c>
      <c r="AC178" s="2">
        <f t="shared" si="5"/>
        <v>9.825</v>
      </c>
      <c r="AD178" s="2">
        <v>30.0</v>
      </c>
      <c r="AE178" s="2">
        <v>348.0</v>
      </c>
      <c r="AF178" s="2">
        <v>1.0</v>
      </c>
      <c r="AG178" s="3">
        <f t="shared" si="6"/>
        <v>9.825</v>
      </c>
      <c r="AH178" s="3">
        <f t="shared" si="7"/>
        <v>9.45</v>
      </c>
      <c r="AI178" s="4">
        <f t="shared" si="8"/>
        <v>77.37222222</v>
      </c>
    </row>
    <row r="179" hidden="1">
      <c r="A179" s="1" t="s">
        <v>542</v>
      </c>
      <c r="B179" s="1" t="s">
        <v>543</v>
      </c>
      <c r="C179" s="2" t="s">
        <v>25</v>
      </c>
      <c r="D179" s="2" t="s">
        <v>544</v>
      </c>
      <c r="E179" s="2">
        <f>VLOOKUP(B179, 'EE-Nitin'!$B$2:$F$57,5)</f>
        <v>43</v>
      </c>
      <c r="F179" s="2">
        <v>15.0</v>
      </c>
      <c r="G179" s="2">
        <f t="shared" si="1"/>
        <v>29</v>
      </c>
      <c r="H179" s="2">
        <v>7.0</v>
      </c>
      <c r="I179" s="2">
        <v>11.0</v>
      </c>
      <c r="J179" s="2">
        <v>30.0</v>
      </c>
      <c r="K179" s="3">
        <f t="shared" si="2"/>
        <v>7.833333333</v>
      </c>
      <c r="L179" s="2">
        <v>100.0</v>
      </c>
      <c r="M179" s="2">
        <v>195.0</v>
      </c>
      <c r="O179" s="3">
        <f t="shared" si="3"/>
        <v>195</v>
      </c>
      <c r="P179" s="2">
        <v>100.0</v>
      </c>
      <c r="Q179" s="2">
        <f t="shared" si="4"/>
        <v>14.875</v>
      </c>
      <c r="R179" s="2">
        <v>5.0</v>
      </c>
      <c r="S179" s="2">
        <v>5.0</v>
      </c>
      <c r="T179" s="2">
        <v>5.0</v>
      </c>
      <c r="U179" s="2">
        <v>15.0</v>
      </c>
      <c r="V179" s="2">
        <v>14.5</v>
      </c>
      <c r="W179" s="2">
        <v>14.5</v>
      </c>
      <c r="X179" s="2">
        <v>20.0</v>
      </c>
      <c r="Y179" s="2">
        <v>28.0</v>
      </c>
      <c r="Z179" s="2">
        <v>29.0</v>
      </c>
      <c r="AA179" s="2">
        <v>30.0</v>
      </c>
      <c r="AB179" s="2">
        <v>30.0</v>
      </c>
      <c r="AC179" s="2">
        <f t="shared" si="5"/>
        <v>9.8</v>
      </c>
      <c r="AD179" s="2">
        <v>45.0</v>
      </c>
      <c r="AE179" s="2">
        <v>350.0</v>
      </c>
      <c r="AF179" s="2">
        <v>1.0</v>
      </c>
      <c r="AG179" s="3">
        <f t="shared" si="6"/>
        <v>9.8</v>
      </c>
      <c r="AH179" s="3">
        <f t="shared" si="7"/>
        <v>9.875</v>
      </c>
      <c r="AI179" s="4">
        <f t="shared" si="8"/>
        <v>71.38333333</v>
      </c>
    </row>
    <row r="180" hidden="1">
      <c r="A180" s="1" t="s">
        <v>545</v>
      </c>
      <c r="B180" s="1" t="s">
        <v>546</v>
      </c>
      <c r="C180" s="2" t="s">
        <v>2</v>
      </c>
      <c r="D180" s="2" t="s">
        <v>547</v>
      </c>
      <c r="E180" s="2">
        <f>VLOOKUP(B180, 'EE-Nitin'!$B$2:$F$57,5)</f>
        <v>42</v>
      </c>
      <c r="F180" s="2">
        <v>20.0</v>
      </c>
      <c r="G180" s="2">
        <f t="shared" si="1"/>
        <v>31</v>
      </c>
      <c r="H180" s="2">
        <v>11.0</v>
      </c>
      <c r="I180" s="2">
        <v>14.5</v>
      </c>
      <c r="J180" s="2">
        <v>37.0</v>
      </c>
      <c r="K180" s="3">
        <f t="shared" si="2"/>
        <v>10.48611111</v>
      </c>
      <c r="L180" s="2">
        <v>98.0</v>
      </c>
      <c r="M180" s="2">
        <v>200.0</v>
      </c>
      <c r="O180" s="3">
        <f t="shared" si="3"/>
        <v>200</v>
      </c>
      <c r="P180" s="2">
        <v>98.0</v>
      </c>
      <c r="Q180" s="2">
        <f t="shared" si="4"/>
        <v>14.8</v>
      </c>
      <c r="R180" s="2">
        <v>7.0</v>
      </c>
      <c r="S180" s="2">
        <v>5.0</v>
      </c>
      <c r="T180" s="2">
        <v>11.0</v>
      </c>
      <c r="U180" s="2">
        <v>10.0</v>
      </c>
      <c r="V180" s="2">
        <v>14.5</v>
      </c>
      <c r="W180" s="2">
        <v>14.5</v>
      </c>
      <c r="X180" s="2">
        <v>20.0</v>
      </c>
      <c r="Y180" s="2">
        <v>30.0</v>
      </c>
      <c r="Z180" s="2">
        <v>29.0</v>
      </c>
      <c r="AA180" s="2">
        <v>30.0</v>
      </c>
      <c r="AB180" s="2">
        <v>30.0</v>
      </c>
      <c r="AC180" s="2">
        <f t="shared" si="5"/>
        <v>10.05</v>
      </c>
      <c r="AD180" s="2">
        <v>50.0</v>
      </c>
      <c r="AE180" s="2">
        <v>346.0</v>
      </c>
      <c r="AF180" s="2">
        <v>1.0</v>
      </c>
      <c r="AG180" s="3">
        <f t="shared" si="6"/>
        <v>10.05</v>
      </c>
      <c r="AH180" s="3">
        <f t="shared" si="7"/>
        <v>9.9</v>
      </c>
      <c r="AI180" s="4">
        <f t="shared" si="8"/>
        <v>76.23611111</v>
      </c>
    </row>
    <row r="181" hidden="1">
      <c r="A181" s="1" t="s">
        <v>548</v>
      </c>
      <c r="B181" s="1" t="s">
        <v>549</v>
      </c>
      <c r="C181" s="2" t="s">
        <v>55</v>
      </c>
      <c r="D181" s="2" t="s">
        <v>550</v>
      </c>
      <c r="E181" s="2">
        <f>VLOOKUP(B181, 'EE-Nitin'!$B$2:$F$57,5)</f>
        <v>25</v>
      </c>
      <c r="F181" s="2">
        <v>15.0</v>
      </c>
      <c r="G181" s="2">
        <f t="shared" si="1"/>
        <v>20</v>
      </c>
      <c r="H181" s="2">
        <v>4.0</v>
      </c>
      <c r="I181" s="2">
        <v>8.0</v>
      </c>
      <c r="J181" s="2">
        <v>26.0</v>
      </c>
      <c r="K181" s="3">
        <f t="shared" si="2"/>
        <v>5.888888889</v>
      </c>
      <c r="L181" s="2">
        <v>93.0</v>
      </c>
      <c r="M181" s="2">
        <v>170.0</v>
      </c>
      <c r="N181" s="2">
        <v>165.0</v>
      </c>
      <c r="O181" s="3">
        <f t="shared" si="3"/>
        <v>170</v>
      </c>
      <c r="P181" s="2">
        <v>98.0</v>
      </c>
      <c r="Q181" s="2">
        <f t="shared" si="4"/>
        <v>13.8</v>
      </c>
      <c r="R181" s="2">
        <v>7.0</v>
      </c>
      <c r="S181" s="2">
        <v>2.0</v>
      </c>
      <c r="T181" s="2">
        <v>7.0</v>
      </c>
      <c r="U181" s="2">
        <v>12.0</v>
      </c>
      <c r="V181" s="2">
        <v>14.5</v>
      </c>
      <c r="W181" s="2">
        <v>11.5</v>
      </c>
      <c r="X181" s="2">
        <v>19.5</v>
      </c>
      <c r="Y181" s="2">
        <v>28.0</v>
      </c>
      <c r="Z181" s="2">
        <v>0.0</v>
      </c>
      <c r="AA181" s="2">
        <v>28.0</v>
      </c>
      <c r="AB181" s="2">
        <v>28.0</v>
      </c>
      <c r="AC181" s="2">
        <f t="shared" si="5"/>
        <v>7.875</v>
      </c>
      <c r="AD181" s="2">
        <v>45.0</v>
      </c>
      <c r="AE181" s="2">
        <v>345.0</v>
      </c>
      <c r="AF181" s="2">
        <v>1.0</v>
      </c>
      <c r="AG181" s="3">
        <f t="shared" si="6"/>
        <v>7.875</v>
      </c>
      <c r="AH181" s="3">
        <f t="shared" si="7"/>
        <v>9.75</v>
      </c>
      <c r="AI181" s="4">
        <f t="shared" si="8"/>
        <v>57.31388889</v>
      </c>
    </row>
    <row r="182" hidden="1">
      <c r="A182" s="1" t="s">
        <v>551</v>
      </c>
      <c r="B182" s="1" t="s">
        <v>552</v>
      </c>
      <c r="C182" s="2" t="s">
        <v>2</v>
      </c>
      <c r="D182" s="2" t="s">
        <v>553</v>
      </c>
      <c r="E182" s="2">
        <f>VLOOKUP(B182, 'EE-Nitin'!$B$2:$F$57,5)</f>
        <v>36</v>
      </c>
      <c r="F182" s="2">
        <v>29.0</v>
      </c>
      <c r="G182" s="2">
        <f t="shared" si="1"/>
        <v>32.5</v>
      </c>
      <c r="H182" s="2">
        <v>8.0</v>
      </c>
      <c r="I182" s="2">
        <v>16.5</v>
      </c>
      <c r="J182" s="2">
        <v>31.0</v>
      </c>
      <c r="K182" s="3">
        <f t="shared" si="2"/>
        <v>9.569444444</v>
      </c>
      <c r="L182" s="2">
        <v>92.0</v>
      </c>
      <c r="M182" s="2">
        <v>187.0</v>
      </c>
      <c r="O182" s="3">
        <f t="shared" si="3"/>
        <v>187</v>
      </c>
      <c r="P182" s="2">
        <v>100.0</v>
      </c>
      <c r="Q182" s="2">
        <f t="shared" si="4"/>
        <v>14.275</v>
      </c>
      <c r="R182" s="2">
        <v>3.0</v>
      </c>
      <c r="S182" s="2">
        <v>7.0</v>
      </c>
      <c r="T182" s="2">
        <v>9.0</v>
      </c>
      <c r="U182" s="2">
        <v>6.0</v>
      </c>
      <c r="V182" s="2">
        <v>15.0</v>
      </c>
      <c r="W182" s="2">
        <v>13.5</v>
      </c>
      <c r="X182" s="2">
        <v>19.5</v>
      </c>
      <c r="Y182" s="2">
        <v>28.0</v>
      </c>
      <c r="Z182" s="2">
        <v>28.0</v>
      </c>
      <c r="AA182" s="2">
        <v>30.0</v>
      </c>
      <c r="AB182" s="2">
        <v>30.0</v>
      </c>
      <c r="AC182" s="2">
        <f t="shared" si="5"/>
        <v>9.45</v>
      </c>
      <c r="AD182" s="2">
        <v>45.0</v>
      </c>
      <c r="AE182" s="2">
        <v>347.0</v>
      </c>
      <c r="AF182" s="2">
        <v>1.0</v>
      </c>
      <c r="AG182" s="3">
        <f t="shared" si="6"/>
        <v>9.45</v>
      </c>
      <c r="AH182" s="3">
        <f t="shared" si="7"/>
        <v>9.8</v>
      </c>
      <c r="AI182" s="4">
        <f t="shared" si="8"/>
        <v>75.59444444</v>
      </c>
    </row>
    <row r="183" hidden="1">
      <c r="A183" s="1" t="s">
        <v>554</v>
      </c>
      <c r="B183" s="1" t="s">
        <v>555</v>
      </c>
      <c r="C183" s="2" t="s">
        <v>6</v>
      </c>
      <c r="D183" s="2" t="s">
        <v>556</v>
      </c>
      <c r="E183" s="2">
        <f>VLOOKUP(B183, 'EE-Nitin'!$B$2:$F$57,5)</f>
        <v>43</v>
      </c>
      <c r="F183" s="2">
        <v>32.0</v>
      </c>
      <c r="G183" s="2">
        <f t="shared" si="1"/>
        <v>37.5</v>
      </c>
      <c r="H183" s="2">
        <v>11.0</v>
      </c>
      <c r="I183" s="2">
        <v>12.5</v>
      </c>
      <c r="J183" s="2">
        <v>37.0</v>
      </c>
      <c r="K183" s="3">
        <f t="shared" si="2"/>
        <v>9.986111111</v>
      </c>
      <c r="L183" s="2">
        <v>98.0</v>
      </c>
      <c r="M183" s="2">
        <v>187.0</v>
      </c>
      <c r="O183" s="3">
        <f t="shared" si="3"/>
        <v>187</v>
      </c>
      <c r="P183" s="2">
        <v>99.0</v>
      </c>
      <c r="Q183" s="2">
        <f t="shared" si="4"/>
        <v>14.525</v>
      </c>
      <c r="R183" s="2">
        <v>6.0</v>
      </c>
      <c r="S183" s="2">
        <v>4.0</v>
      </c>
      <c r="T183" s="2">
        <v>13.0</v>
      </c>
      <c r="U183" s="2">
        <v>11.0</v>
      </c>
      <c r="V183" s="2">
        <v>14.5</v>
      </c>
      <c r="W183" s="2">
        <v>15.0</v>
      </c>
      <c r="X183" s="2">
        <v>20.0</v>
      </c>
      <c r="Y183" s="2">
        <v>29.0</v>
      </c>
      <c r="Z183" s="2">
        <v>28.0</v>
      </c>
      <c r="AA183" s="2">
        <v>30.0</v>
      </c>
      <c r="AB183" s="2">
        <v>30.0</v>
      </c>
      <c r="AC183" s="2">
        <f t="shared" si="5"/>
        <v>10.025</v>
      </c>
      <c r="AD183" s="2">
        <v>30.0</v>
      </c>
      <c r="AE183" s="2">
        <v>348.0</v>
      </c>
      <c r="AF183" s="2">
        <v>1.0</v>
      </c>
      <c r="AG183" s="3">
        <f t="shared" si="6"/>
        <v>10.025</v>
      </c>
      <c r="AH183" s="3">
        <f t="shared" si="7"/>
        <v>9.45</v>
      </c>
      <c r="AI183" s="4">
        <f t="shared" si="8"/>
        <v>81.48611111</v>
      </c>
    </row>
    <row r="184" hidden="1">
      <c r="A184" s="1" t="s">
        <v>557</v>
      </c>
      <c r="B184" s="1" t="s">
        <v>558</v>
      </c>
      <c r="C184" s="2" t="s">
        <v>55</v>
      </c>
      <c r="D184" s="2" t="s">
        <v>559</v>
      </c>
      <c r="E184" s="2">
        <f>VLOOKUP(B184, 'EE-Nitin'!$B$2:$F$57,5)</f>
        <v>33</v>
      </c>
      <c r="F184" s="2">
        <v>9.0</v>
      </c>
      <c r="G184" s="2">
        <f t="shared" si="1"/>
        <v>21</v>
      </c>
      <c r="H184" s="2">
        <v>2.0</v>
      </c>
      <c r="I184" s="2">
        <v>9.0</v>
      </c>
      <c r="J184" s="2">
        <v>15.0</v>
      </c>
      <c r="K184" s="3">
        <f t="shared" si="2"/>
        <v>4.416666667</v>
      </c>
      <c r="L184" s="2">
        <v>90.0</v>
      </c>
      <c r="M184" s="2">
        <v>95.0</v>
      </c>
      <c r="O184" s="3">
        <f t="shared" si="3"/>
        <v>95</v>
      </c>
      <c r="P184" s="2">
        <v>97.0</v>
      </c>
      <c r="Q184" s="2">
        <f t="shared" si="4"/>
        <v>11.725</v>
      </c>
      <c r="R184" s="2">
        <v>5.0</v>
      </c>
      <c r="S184" s="2">
        <v>0.0</v>
      </c>
      <c r="T184" s="2">
        <v>7.0</v>
      </c>
      <c r="U184" s="2">
        <v>6.0</v>
      </c>
      <c r="V184" s="2">
        <v>0.0</v>
      </c>
      <c r="W184" s="2">
        <v>13.5</v>
      </c>
      <c r="X184" s="2">
        <v>19.5</v>
      </c>
      <c r="Y184" s="2">
        <v>0.0</v>
      </c>
      <c r="Z184" s="2">
        <v>28.0</v>
      </c>
      <c r="AA184" s="2">
        <v>29.0</v>
      </c>
      <c r="AB184" s="2">
        <v>27.0</v>
      </c>
      <c r="AC184" s="2">
        <f t="shared" si="5"/>
        <v>6.75</v>
      </c>
      <c r="AD184" s="2">
        <v>45.0</v>
      </c>
      <c r="AE184" s="2">
        <v>342.0</v>
      </c>
      <c r="AF184" s="2">
        <v>1.0</v>
      </c>
      <c r="AG184" s="3">
        <f t="shared" si="6"/>
        <v>6.75</v>
      </c>
      <c r="AH184" s="3">
        <f t="shared" si="7"/>
        <v>9.675</v>
      </c>
      <c r="AI184" s="4">
        <f t="shared" si="8"/>
        <v>53.56666667</v>
      </c>
    </row>
    <row r="185" hidden="1">
      <c r="A185" s="1" t="s">
        <v>560</v>
      </c>
      <c r="B185" s="1" t="s">
        <v>561</v>
      </c>
      <c r="C185" s="2" t="s">
        <v>6</v>
      </c>
      <c r="D185" s="2" t="s">
        <v>562</v>
      </c>
      <c r="E185" s="2">
        <f>VLOOKUP(B185, 'EE-Nitin'!$B$2:$F$57,5)</f>
        <v>47</v>
      </c>
      <c r="F185" s="2">
        <v>32.0</v>
      </c>
      <c r="G185" s="2">
        <f t="shared" si="1"/>
        <v>39.5</v>
      </c>
      <c r="H185" s="2">
        <v>10.0</v>
      </c>
      <c r="I185" s="2">
        <v>12.0</v>
      </c>
      <c r="J185" s="2">
        <v>41.0</v>
      </c>
      <c r="K185" s="3">
        <f t="shared" si="2"/>
        <v>10.05555556</v>
      </c>
      <c r="L185" s="2">
        <v>98.0</v>
      </c>
      <c r="M185" s="2">
        <v>192.0</v>
      </c>
      <c r="O185" s="3">
        <f t="shared" si="3"/>
        <v>192</v>
      </c>
      <c r="P185" s="2">
        <v>99.0</v>
      </c>
      <c r="Q185" s="2">
        <f t="shared" si="4"/>
        <v>14.65</v>
      </c>
      <c r="R185" s="2">
        <v>7.0</v>
      </c>
      <c r="S185" s="2">
        <v>8.0</v>
      </c>
      <c r="T185" s="2">
        <v>10.0</v>
      </c>
      <c r="U185" s="2">
        <v>14.0</v>
      </c>
      <c r="V185" s="2">
        <v>13.0</v>
      </c>
      <c r="W185" s="2">
        <v>14.0</v>
      </c>
      <c r="X185" s="2">
        <v>19.5</v>
      </c>
      <c r="Y185" s="2">
        <v>29.0</v>
      </c>
      <c r="Z185" s="2">
        <v>28.0</v>
      </c>
      <c r="AA185" s="2">
        <v>29.0</v>
      </c>
      <c r="AB185" s="2">
        <v>30.0</v>
      </c>
      <c r="AC185" s="2">
        <f t="shared" si="5"/>
        <v>10.075</v>
      </c>
      <c r="AD185" s="2">
        <v>45.0</v>
      </c>
      <c r="AE185" s="2">
        <v>344.0</v>
      </c>
      <c r="AF185" s="2">
        <v>1.0</v>
      </c>
      <c r="AG185" s="3">
        <f t="shared" si="6"/>
        <v>10.075</v>
      </c>
      <c r="AH185" s="3">
        <f t="shared" si="7"/>
        <v>9.725</v>
      </c>
      <c r="AI185" s="4">
        <f t="shared" si="8"/>
        <v>84.00555556</v>
      </c>
    </row>
    <row r="186" hidden="1">
      <c r="A186" s="1" t="s">
        <v>563</v>
      </c>
      <c r="B186" s="12" t="s">
        <v>564</v>
      </c>
      <c r="C186" s="2" t="s">
        <v>6</v>
      </c>
      <c r="D186" s="2" t="s">
        <v>565</v>
      </c>
      <c r="E186" s="2">
        <f>VLOOKUP(B186, 'EE-Nitin'!$B$2:$F$57,5)</f>
        <v>55</v>
      </c>
      <c r="F186" s="2">
        <v>25.0</v>
      </c>
      <c r="G186" s="2">
        <f t="shared" si="1"/>
        <v>40</v>
      </c>
      <c r="H186" s="2">
        <v>12.0</v>
      </c>
      <c r="I186" s="2">
        <v>9.0</v>
      </c>
      <c r="J186" s="2">
        <v>38.0</v>
      </c>
      <c r="K186" s="3">
        <f t="shared" si="2"/>
        <v>9.472222222</v>
      </c>
      <c r="L186" s="2">
        <v>97.0</v>
      </c>
      <c r="M186" s="2">
        <v>170.0</v>
      </c>
      <c r="N186" s="2">
        <v>195.0</v>
      </c>
      <c r="O186" s="3">
        <f t="shared" si="3"/>
        <v>195</v>
      </c>
      <c r="P186" s="2">
        <v>98.0</v>
      </c>
      <c r="Q186" s="2">
        <f t="shared" si="4"/>
        <v>14.625</v>
      </c>
      <c r="R186" s="2">
        <v>7.0</v>
      </c>
      <c r="S186" s="2">
        <v>6.0</v>
      </c>
      <c r="T186" s="2">
        <v>9.0</v>
      </c>
      <c r="U186" s="2">
        <v>9.0</v>
      </c>
      <c r="V186" s="2">
        <v>14.5</v>
      </c>
      <c r="W186" s="2">
        <v>14.0</v>
      </c>
      <c r="X186" s="2">
        <v>20.0</v>
      </c>
      <c r="Y186" s="2">
        <v>30.0</v>
      </c>
      <c r="Z186" s="2">
        <v>25.0</v>
      </c>
      <c r="AA186" s="2">
        <v>29.0</v>
      </c>
      <c r="AB186" s="2">
        <v>30.0</v>
      </c>
      <c r="AC186" s="2">
        <f t="shared" si="5"/>
        <v>9.675</v>
      </c>
      <c r="AD186" s="2">
        <v>50.0</v>
      </c>
      <c r="AE186" s="2">
        <v>345.0</v>
      </c>
      <c r="AF186" s="2">
        <v>1.0</v>
      </c>
      <c r="AG186" s="3">
        <f t="shared" si="6"/>
        <v>9.675</v>
      </c>
      <c r="AH186" s="3">
        <f t="shared" si="7"/>
        <v>9.875</v>
      </c>
      <c r="AI186" s="4">
        <f t="shared" si="8"/>
        <v>83.64722222</v>
      </c>
    </row>
    <row r="187" hidden="1">
      <c r="A187" s="1" t="s">
        <v>566</v>
      </c>
      <c r="B187" s="1" t="s">
        <v>567</v>
      </c>
      <c r="C187" s="2" t="s">
        <v>6</v>
      </c>
      <c r="D187" s="2" t="s">
        <v>568</v>
      </c>
      <c r="E187" s="2">
        <f>VLOOKUP(B187, 'EE-Nitin'!$B$2:$F$57,5)</f>
        <v>51</v>
      </c>
      <c r="F187" s="2">
        <v>28.0</v>
      </c>
      <c r="G187" s="2">
        <f t="shared" si="1"/>
        <v>39.5</v>
      </c>
      <c r="H187" s="2">
        <v>13.0</v>
      </c>
      <c r="I187" s="2">
        <v>17.0</v>
      </c>
      <c r="J187" s="2">
        <v>35.0</v>
      </c>
      <c r="K187" s="3">
        <f t="shared" si="2"/>
        <v>11.38888889</v>
      </c>
      <c r="L187" s="2">
        <v>98.0</v>
      </c>
      <c r="M187" s="2">
        <v>200.0</v>
      </c>
      <c r="O187" s="3">
        <f t="shared" si="3"/>
        <v>200</v>
      </c>
      <c r="P187" s="2">
        <v>100.0</v>
      </c>
      <c r="Q187" s="2">
        <f t="shared" si="4"/>
        <v>14.9</v>
      </c>
      <c r="R187" s="2">
        <v>7.0</v>
      </c>
      <c r="S187" s="2">
        <v>4.0</v>
      </c>
      <c r="T187" s="2">
        <v>11.0</v>
      </c>
      <c r="U187" s="2">
        <v>12.0</v>
      </c>
      <c r="V187" s="2">
        <v>14.5</v>
      </c>
      <c r="W187" s="2">
        <v>15.0</v>
      </c>
      <c r="X187" s="2">
        <v>20.0</v>
      </c>
      <c r="Y187" s="2">
        <v>30.0</v>
      </c>
      <c r="Z187" s="2">
        <v>29.0</v>
      </c>
      <c r="AA187" s="2">
        <v>30.0</v>
      </c>
      <c r="AB187" s="2">
        <v>30.0</v>
      </c>
      <c r="AC187" s="2">
        <f t="shared" si="5"/>
        <v>10.125</v>
      </c>
      <c r="AD187" s="2">
        <v>50.0</v>
      </c>
      <c r="AE187" s="2">
        <v>347.0</v>
      </c>
      <c r="AF187" s="2">
        <v>1.0</v>
      </c>
      <c r="AG187" s="3">
        <f t="shared" si="6"/>
        <v>10.125</v>
      </c>
      <c r="AH187" s="3">
        <f t="shared" si="7"/>
        <v>9.925</v>
      </c>
      <c r="AI187" s="4">
        <f t="shared" si="8"/>
        <v>85.83888889</v>
      </c>
    </row>
    <row r="188" hidden="1">
      <c r="A188" s="1" t="s">
        <v>569</v>
      </c>
      <c r="B188" s="1" t="s">
        <v>570</v>
      </c>
      <c r="C188" s="2" t="s">
        <v>2</v>
      </c>
      <c r="D188" s="2" t="s">
        <v>571</v>
      </c>
      <c r="E188" s="2">
        <f>VLOOKUP(B188, 'EE-Nitin'!$B$2:$F$57,5)</f>
        <v>44</v>
      </c>
      <c r="F188" s="2">
        <v>22.0</v>
      </c>
      <c r="G188" s="2">
        <f t="shared" si="1"/>
        <v>33</v>
      </c>
      <c r="H188" s="2">
        <v>6.0</v>
      </c>
      <c r="I188" s="2">
        <v>13.0</v>
      </c>
      <c r="J188" s="2">
        <v>40.0</v>
      </c>
      <c r="K188" s="3">
        <f t="shared" si="2"/>
        <v>9.194444444</v>
      </c>
      <c r="L188" s="2">
        <v>96.0</v>
      </c>
      <c r="M188" s="2">
        <v>195.0</v>
      </c>
      <c r="O188" s="3">
        <f t="shared" si="3"/>
        <v>195</v>
      </c>
      <c r="P188" s="2">
        <v>98.0</v>
      </c>
      <c r="Q188" s="2">
        <f t="shared" si="4"/>
        <v>14.575</v>
      </c>
      <c r="R188" s="2">
        <v>7.0</v>
      </c>
      <c r="S188" s="2">
        <v>5.0</v>
      </c>
      <c r="T188" s="2">
        <v>7.0</v>
      </c>
      <c r="U188" s="2">
        <v>9.0</v>
      </c>
      <c r="V188" s="2">
        <v>15.0</v>
      </c>
      <c r="W188" s="2">
        <v>14.0</v>
      </c>
      <c r="X188" s="2">
        <v>19.5</v>
      </c>
      <c r="Y188" s="2">
        <v>30.0</v>
      </c>
      <c r="Z188" s="2">
        <v>25.0</v>
      </c>
      <c r="AA188" s="2">
        <v>30.0</v>
      </c>
      <c r="AB188" s="2">
        <v>30.0</v>
      </c>
      <c r="AC188" s="2">
        <f t="shared" si="5"/>
        <v>9.575</v>
      </c>
      <c r="AD188" s="2">
        <v>50.0</v>
      </c>
      <c r="AE188" s="2">
        <v>348.0</v>
      </c>
      <c r="AF188" s="2">
        <v>1.0</v>
      </c>
      <c r="AG188" s="3">
        <f t="shared" si="6"/>
        <v>9.575</v>
      </c>
      <c r="AH188" s="3">
        <f t="shared" si="7"/>
        <v>9.95</v>
      </c>
      <c r="AI188" s="4">
        <f t="shared" si="8"/>
        <v>76.29444444</v>
      </c>
    </row>
    <row r="189" hidden="1">
      <c r="A189" s="1" t="s">
        <v>572</v>
      </c>
      <c r="B189" s="1" t="s">
        <v>573</v>
      </c>
      <c r="C189" s="2" t="s">
        <v>32</v>
      </c>
      <c r="D189" s="2" t="s">
        <v>574</v>
      </c>
      <c r="E189" s="2">
        <f>VLOOKUP(B189, 'EE-Nitin'!$B$2:$F$57,5)</f>
        <v>43</v>
      </c>
      <c r="F189" s="2">
        <v>9.0</v>
      </c>
      <c r="G189" s="2">
        <f t="shared" si="1"/>
        <v>26</v>
      </c>
      <c r="H189" s="2">
        <v>3.0</v>
      </c>
      <c r="I189" s="2">
        <v>8.5</v>
      </c>
      <c r="J189" s="2">
        <v>31.0</v>
      </c>
      <c r="K189" s="3">
        <f t="shared" si="2"/>
        <v>6.319444444</v>
      </c>
      <c r="L189" s="2">
        <v>80.0</v>
      </c>
      <c r="M189" s="2">
        <v>180.0</v>
      </c>
      <c r="O189" s="3">
        <f t="shared" si="3"/>
        <v>180</v>
      </c>
      <c r="P189" s="2">
        <v>97.0</v>
      </c>
      <c r="Q189" s="2">
        <f t="shared" si="4"/>
        <v>13.35</v>
      </c>
      <c r="R189" s="2">
        <v>6.0</v>
      </c>
      <c r="S189" s="2">
        <v>4.0</v>
      </c>
      <c r="T189" s="2">
        <v>0.0</v>
      </c>
      <c r="U189" s="2">
        <v>10.0</v>
      </c>
      <c r="V189" s="2">
        <v>15.0</v>
      </c>
      <c r="W189" s="2">
        <v>11.5</v>
      </c>
      <c r="X189" s="2">
        <v>20.0</v>
      </c>
      <c r="Y189" s="2">
        <v>28.0</v>
      </c>
      <c r="Z189" s="2">
        <v>23.0</v>
      </c>
      <c r="AA189" s="2">
        <v>28.0</v>
      </c>
      <c r="AB189" s="2">
        <v>28.0</v>
      </c>
      <c r="AC189" s="2">
        <f t="shared" si="5"/>
        <v>8.675</v>
      </c>
      <c r="AD189" s="2">
        <v>50.0</v>
      </c>
      <c r="AE189" s="2">
        <v>346.0</v>
      </c>
      <c r="AF189" s="2">
        <v>1.0</v>
      </c>
      <c r="AG189" s="3">
        <f t="shared" si="6"/>
        <v>8.675</v>
      </c>
      <c r="AH189" s="3">
        <f t="shared" si="7"/>
        <v>9.9</v>
      </c>
      <c r="AI189" s="4">
        <f t="shared" si="8"/>
        <v>64.24444444</v>
      </c>
    </row>
    <row r="190" hidden="1">
      <c r="A190" s="1" t="s">
        <v>575</v>
      </c>
      <c r="B190" s="1" t="s">
        <v>576</v>
      </c>
      <c r="C190" s="2" t="s">
        <v>32</v>
      </c>
      <c r="D190" s="2" t="s">
        <v>577</v>
      </c>
      <c r="E190" s="2">
        <f>VLOOKUP(B190, 'EE-Nitin'!$B$2:$F$57,5)</f>
        <v>36</v>
      </c>
      <c r="F190" s="2">
        <v>24.0</v>
      </c>
      <c r="G190" s="2">
        <f t="shared" si="1"/>
        <v>30</v>
      </c>
      <c r="H190" s="2">
        <v>3.0</v>
      </c>
      <c r="I190" s="2">
        <v>9.0</v>
      </c>
      <c r="J190" s="2">
        <v>30.0</v>
      </c>
      <c r="K190" s="3">
        <f t="shared" si="2"/>
        <v>6.333333333</v>
      </c>
      <c r="L190" s="2">
        <v>83.0</v>
      </c>
      <c r="M190" s="2">
        <v>170.0</v>
      </c>
      <c r="O190" s="3">
        <f t="shared" si="3"/>
        <v>170</v>
      </c>
      <c r="P190" s="2">
        <v>97.0</v>
      </c>
      <c r="Q190" s="2">
        <f t="shared" si="4"/>
        <v>13.25</v>
      </c>
      <c r="R190" s="2">
        <v>7.0</v>
      </c>
      <c r="S190" s="2">
        <v>5.0</v>
      </c>
      <c r="T190" s="2">
        <v>9.0</v>
      </c>
      <c r="U190" s="2">
        <v>14.0</v>
      </c>
      <c r="V190" s="2">
        <v>0.0</v>
      </c>
      <c r="W190" s="2">
        <v>14.0</v>
      </c>
      <c r="X190" s="2">
        <v>0.0</v>
      </c>
      <c r="Y190" s="2">
        <v>0.0</v>
      </c>
      <c r="Z190" s="2">
        <v>0.0</v>
      </c>
      <c r="AA190" s="2">
        <v>28.0</v>
      </c>
      <c r="AB190" s="2">
        <v>28.0</v>
      </c>
      <c r="AC190" s="2">
        <f t="shared" si="5"/>
        <v>5.25</v>
      </c>
      <c r="AD190" s="2">
        <v>45.0</v>
      </c>
      <c r="AE190" s="2">
        <v>345.0</v>
      </c>
      <c r="AF190" s="2">
        <v>1.0</v>
      </c>
      <c r="AG190" s="3">
        <f t="shared" si="6"/>
        <v>5.25</v>
      </c>
      <c r="AH190" s="3">
        <f t="shared" si="7"/>
        <v>9.75</v>
      </c>
      <c r="AI190" s="4">
        <f t="shared" si="8"/>
        <v>64.58333333</v>
      </c>
    </row>
    <row r="191">
      <c r="A191" s="1" t="s">
        <v>578</v>
      </c>
      <c r="B191" s="1" t="s">
        <v>579</v>
      </c>
      <c r="C191" s="2" t="s">
        <v>96</v>
      </c>
      <c r="D191" s="2" t="s">
        <v>580</v>
      </c>
      <c r="E191" s="2">
        <f>VLOOKUP(B191, 'EE-Nitin'!$B$2:$F$57,5)</f>
        <v>12</v>
      </c>
      <c r="F191" s="2">
        <v>4.0</v>
      </c>
      <c r="G191" s="2">
        <f t="shared" si="1"/>
        <v>8</v>
      </c>
      <c r="H191" s="2">
        <v>1.5</v>
      </c>
      <c r="I191" s="2">
        <v>3.0</v>
      </c>
      <c r="J191" s="2">
        <v>0.0</v>
      </c>
      <c r="K191" s="3">
        <f t="shared" si="2"/>
        <v>1.125</v>
      </c>
      <c r="L191" s="2">
        <v>0.0</v>
      </c>
      <c r="M191" s="2">
        <v>95.0</v>
      </c>
      <c r="O191" s="3">
        <f t="shared" si="3"/>
        <v>95</v>
      </c>
      <c r="P191" s="2">
        <v>80.0</v>
      </c>
      <c r="Q191" s="2">
        <f t="shared" si="4"/>
        <v>6.375</v>
      </c>
      <c r="R191" s="2">
        <v>6.0</v>
      </c>
      <c r="S191" s="2">
        <v>5.0</v>
      </c>
      <c r="T191" s="2">
        <v>0.0</v>
      </c>
      <c r="U191" s="2">
        <v>8.0</v>
      </c>
      <c r="V191" s="2">
        <v>5.0</v>
      </c>
      <c r="W191" s="2">
        <v>13.0</v>
      </c>
      <c r="X191" s="2">
        <v>18.0</v>
      </c>
      <c r="Y191" s="2">
        <v>28.0</v>
      </c>
      <c r="Z191" s="2">
        <v>0.0</v>
      </c>
      <c r="AB191" s="2">
        <v>29.0</v>
      </c>
      <c r="AC191" s="2">
        <f t="shared" si="5"/>
        <v>5.6</v>
      </c>
      <c r="AD191" s="2">
        <v>50.0</v>
      </c>
      <c r="AE191" s="2">
        <v>280.0</v>
      </c>
      <c r="AF191" s="2">
        <v>1.0</v>
      </c>
      <c r="AG191" s="3">
        <f t="shared" si="6"/>
        <v>5.6</v>
      </c>
      <c r="AH191" s="3">
        <f t="shared" si="7"/>
        <v>8.25</v>
      </c>
      <c r="AI191" s="4">
        <f t="shared" si="8"/>
        <v>29.35</v>
      </c>
      <c r="AJ191" s="2" t="s">
        <v>187</v>
      </c>
    </row>
    <row r="192" hidden="1">
      <c r="A192" s="1" t="s">
        <v>581</v>
      </c>
      <c r="B192" s="1" t="s">
        <v>582</v>
      </c>
      <c r="C192" s="2" t="s">
        <v>6</v>
      </c>
      <c r="D192" s="2" t="s">
        <v>583</v>
      </c>
      <c r="E192" s="2">
        <f>VLOOKUP(B192, 'EE-Nitin'!$B$2:$F$57,5)</f>
        <v>51</v>
      </c>
      <c r="F192" s="2">
        <v>30.0</v>
      </c>
      <c r="G192" s="2">
        <f t="shared" si="1"/>
        <v>40.5</v>
      </c>
      <c r="H192" s="2">
        <v>13.0</v>
      </c>
      <c r="I192" s="2">
        <v>12.0</v>
      </c>
      <c r="J192" s="2">
        <v>29.0</v>
      </c>
      <c r="K192" s="3">
        <f t="shared" si="2"/>
        <v>9.472222222</v>
      </c>
      <c r="L192" s="2">
        <v>95.0</v>
      </c>
      <c r="M192" s="2">
        <v>195.0</v>
      </c>
      <c r="O192" s="3">
        <f t="shared" si="3"/>
        <v>195</v>
      </c>
      <c r="P192" s="2">
        <v>100.0</v>
      </c>
      <c r="Q192" s="2">
        <f t="shared" si="4"/>
        <v>14.625</v>
      </c>
      <c r="R192" s="2">
        <v>7.0</v>
      </c>
      <c r="S192" s="2">
        <v>6.0</v>
      </c>
      <c r="T192" s="2">
        <v>5.0</v>
      </c>
      <c r="U192" s="2">
        <v>9.0</v>
      </c>
      <c r="V192" s="2">
        <v>15.0</v>
      </c>
      <c r="W192" s="2">
        <v>15.0</v>
      </c>
      <c r="X192" s="2">
        <v>20.0</v>
      </c>
      <c r="Y192" s="2">
        <v>28.0</v>
      </c>
      <c r="Z192" s="2">
        <v>30.0</v>
      </c>
      <c r="AA192" s="2">
        <v>29.0</v>
      </c>
      <c r="AB192" s="2">
        <v>29.0</v>
      </c>
      <c r="AC192" s="2">
        <f t="shared" si="5"/>
        <v>9.65</v>
      </c>
      <c r="AD192" s="2">
        <v>30.0</v>
      </c>
      <c r="AE192" s="2">
        <v>350.0</v>
      </c>
      <c r="AF192" s="2">
        <v>1.0</v>
      </c>
      <c r="AG192" s="3">
        <f t="shared" si="6"/>
        <v>9.65</v>
      </c>
      <c r="AH192" s="3">
        <f t="shared" si="7"/>
        <v>9.5</v>
      </c>
      <c r="AI192" s="4">
        <f t="shared" si="8"/>
        <v>83.74722222</v>
      </c>
    </row>
    <row r="193" hidden="1">
      <c r="A193" s="1" t="s">
        <v>584</v>
      </c>
      <c r="B193" s="1" t="s">
        <v>585</v>
      </c>
      <c r="C193" s="2" t="s">
        <v>6</v>
      </c>
      <c r="D193" s="2" t="s">
        <v>586</v>
      </c>
      <c r="E193" s="2">
        <f>VLOOKUP(B193, 'EE-Nitin'!$B$2:$F$57,5)</f>
        <v>48</v>
      </c>
      <c r="F193" s="2">
        <v>29.0</v>
      </c>
      <c r="G193" s="2">
        <f t="shared" si="1"/>
        <v>38.5</v>
      </c>
      <c r="H193" s="2">
        <v>6.0</v>
      </c>
      <c r="I193" s="2">
        <v>13.5</v>
      </c>
      <c r="J193" s="2">
        <v>35.0</v>
      </c>
      <c r="K193" s="3">
        <f t="shared" si="2"/>
        <v>8.763888889</v>
      </c>
      <c r="L193" s="2">
        <v>100.0</v>
      </c>
      <c r="M193" s="2">
        <v>145.0</v>
      </c>
      <c r="O193" s="3">
        <f t="shared" si="3"/>
        <v>145</v>
      </c>
      <c r="P193" s="2">
        <v>95.0</v>
      </c>
      <c r="Q193" s="2">
        <f t="shared" si="4"/>
        <v>13.375</v>
      </c>
      <c r="R193" s="2">
        <v>7.0</v>
      </c>
      <c r="S193" s="2">
        <v>8.0</v>
      </c>
      <c r="T193" s="2">
        <v>15.0</v>
      </c>
      <c r="U193" s="2">
        <v>8.0</v>
      </c>
      <c r="V193" s="2">
        <v>13.0</v>
      </c>
      <c r="W193" s="2">
        <v>15.0</v>
      </c>
      <c r="X193" s="2">
        <v>18.0</v>
      </c>
      <c r="Y193" s="2">
        <v>30.0</v>
      </c>
      <c r="Z193" s="2">
        <v>30.0</v>
      </c>
      <c r="AA193" s="2">
        <v>29.0</v>
      </c>
      <c r="AB193" s="2">
        <v>29.0</v>
      </c>
      <c r="AC193" s="2">
        <f t="shared" si="5"/>
        <v>10.1</v>
      </c>
      <c r="AD193" s="2">
        <v>50.0</v>
      </c>
      <c r="AE193" s="2">
        <v>350.0</v>
      </c>
      <c r="AF193" s="2">
        <v>1.0</v>
      </c>
      <c r="AG193" s="3">
        <f t="shared" si="6"/>
        <v>10.1</v>
      </c>
      <c r="AH193" s="3">
        <f t="shared" si="7"/>
        <v>10</v>
      </c>
      <c r="AI193" s="4">
        <f t="shared" si="8"/>
        <v>80.73888889</v>
      </c>
    </row>
    <row r="194" hidden="1">
      <c r="A194" s="1" t="s">
        <v>587</v>
      </c>
      <c r="B194" s="1" t="s">
        <v>588</v>
      </c>
      <c r="C194" s="2" t="s">
        <v>32</v>
      </c>
      <c r="D194" s="2" t="s">
        <v>589</v>
      </c>
      <c r="E194" s="2">
        <f>VLOOKUP(B194, 'EE-Nitin'!$B$2:$F$57,5)</f>
        <v>35</v>
      </c>
      <c r="F194" s="2">
        <v>14.0</v>
      </c>
      <c r="G194" s="2">
        <f t="shared" si="1"/>
        <v>24.5</v>
      </c>
      <c r="H194" s="2">
        <v>10.5</v>
      </c>
      <c r="I194" s="2">
        <v>10.0</v>
      </c>
      <c r="J194" s="2">
        <v>16.0</v>
      </c>
      <c r="K194" s="3">
        <f t="shared" si="2"/>
        <v>6.902777778</v>
      </c>
      <c r="L194" s="2">
        <v>95.0</v>
      </c>
      <c r="M194" s="2">
        <v>165.0</v>
      </c>
      <c r="O194" s="3">
        <f t="shared" si="3"/>
        <v>165</v>
      </c>
      <c r="P194" s="2">
        <v>85.0</v>
      </c>
      <c r="Q194" s="2">
        <f t="shared" si="4"/>
        <v>13.125</v>
      </c>
      <c r="R194" s="2">
        <v>7.0</v>
      </c>
      <c r="S194" s="2">
        <v>5.0</v>
      </c>
      <c r="T194" s="2">
        <v>9.0</v>
      </c>
      <c r="U194" s="2">
        <v>5.0</v>
      </c>
      <c r="V194" s="2">
        <v>15.0</v>
      </c>
      <c r="W194" s="2">
        <v>15.0</v>
      </c>
      <c r="X194" s="2">
        <v>20.0</v>
      </c>
      <c r="Y194" s="2">
        <v>30.0</v>
      </c>
      <c r="Z194" s="2">
        <v>30.0</v>
      </c>
      <c r="AA194" s="2">
        <v>28.0</v>
      </c>
      <c r="AB194" s="2">
        <v>28.0</v>
      </c>
      <c r="AC194" s="2">
        <f t="shared" si="5"/>
        <v>9.6</v>
      </c>
      <c r="AD194" s="2">
        <v>50.0</v>
      </c>
      <c r="AE194" s="2">
        <v>320.0</v>
      </c>
      <c r="AF194" s="2">
        <v>1.0</v>
      </c>
      <c r="AG194" s="3">
        <f t="shared" si="6"/>
        <v>9.6</v>
      </c>
      <c r="AH194" s="3">
        <f t="shared" si="7"/>
        <v>9.25</v>
      </c>
      <c r="AI194" s="4">
        <f t="shared" si="8"/>
        <v>63.37777778</v>
      </c>
    </row>
    <row r="195" hidden="1">
      <c r="A195" s="1" t="s">
        <v>590</v>
      </c>
      <c r="B195" s="1" t="s">
        <v>591</v>
      </c>
      <c r="C195" s="2" t="s">
        <v>2</v>
      </c>
      <c r="D195" s="2" t="s">
        <v>592</v>
      </c>
      <c r="E195" s="2">
        <f>VLOOKUP(B195, 'EE-Nitin'!$B$2:$F$57,5)</f>
        <v>44</v>
      </c>
      <c r="F195" s="2">
        <v>27.0</v>
      </c>
      <c r="G195" s="2">
        <f t="shared" si="1"/>
        <v>35.5</v>
      </c>
      <c r="H195" s="2">
        <v>6.0</v>
      </c>
      <c r="I195" s="2">
        <v>12.5</v>
      </c>
      <c r="J195" s="2">
        <v>32.0</v>
      </c>
      <c r="K195" s="3">
        <f t="shared" si="2"/>
        <v>8.180555556</v>
      </c>
      <c r="L195" s="2">
        <v>95.0</v>
      </c>
      <c r="M195" s="2">
        <v>200.0</v>
      </c>
      <c r="O195" s="3">
        <f t="shared" si="3"/>
        <v>200</v>
      </c>
      <c r="P195" s="2">
        <v>100.0</v>
      </c>
      <c r="Q195" s="2">
        <f t="shared" si="4"/>
        <v>14.75</v>
      </c>
      <c r="R195" s="2">
        <v>7.0</v>
      </c>
      <c r="S195" s="2">
        <v>7.0</v>
      </c>
      <c r="T195" s="2">
        <v>13.0</v>
      </c>
      <c r="U195" s="2">
        <v>13.0</v>
      </c>
      <c r="V195" s="2">
        <v>15.0</v>
      </c>
      <c r="W195" s="2">
        <v>15.0</v>
      </c>
      <c r="X195" s="2">
        <v>10.0</v>
      </c>
      <c r="Y195" s="2">
        <v>29.0</v>
      </c>
      <c r="Z195" s="2">
        <v>29.0</v>
      </c>
      <c r="AA195" s="2">
        <v>29.0</v>
      </c>
      <c r="AB195" s="2">
        <v>27.0</v>
      </c>
      <c r="AC195" s="2">
        <f t="shared" si="5"/>
        <v>9.7</v>
      </c>
      <c r="AD195" s="2">
        <v>40.0</v>
      </c>
      <c r="AE195" s="2">
        <v>320.0</v>
      </c>
      <c r="AF195" s="2">
        <v>1.0</v>
      </c>
      <c r="AG195" s="3">
        <f t="shared" si="6"/>
        <v>9.7</v>
      </c>
      <c r="AH195" s="3">
        <f t="shared" si="7"/>
        <v>9</v>
      </c>
      <c r="AI195" s="4">
        <f t="shared" si="8"/>
        <v>77.13055556</v>
      </c>
    </row>
    <row r="196" hidden="1">
      <c r="A196" s="1" t="s">
        <v>593</v>
      </c>
      <c r="B196" s="1" t="s">
        <v>594</v>
      </c>
      <c r="C196" s="2" t="s">
        <v>25</v>
      </c>
      <c r="D196" s="2" t="s">
        <v>595</v>
      </c>
      <c r="E196" s="2">
        <f>VLOOKUP(B196, 'EE-Nitin'!$B$2:$F$57,5)</f>
        <v>35</v>
      </c>
      <c r="F196" s="2">
        <v>23.0</v>
      </c>
      <c r="G196" s="2">
        <f t="shared" si="1"/>
        <v>29</v>
      </c>
      <c r="H196" s="2">
        <v>5.0</v>
      </c>
      <c r="I196" s="2">
        <v>13.0</v>
      </c>
      <c r="J196" s="2">
        <v>33.0</v>
      </c>
      <c r="K196" s="3">
        <f t="shared" si="2"/>
        <v>8.166666667</v>
      </c>
      <c r="L196" s="2">
        <v>85.0</v>
      </c>
      <c r="M196" s="2">
        <v>170.0</v>
      </c>
      <c r="O196" s="3">
        <f t="shared" si="3"/>
        <v>170</v>
      </c>
      <c r="P196" s="2">
        <v>80.0</v>
      </c>
      <c r="Q196" s="2">
        <f t="shared" si="4"/>
        <v>12.5</v>
      </c>
      <c r="R196" s="2">
        <v>6.0</v>
      </c>
      <c r="S196" s="2">
        <v>3.0</v>
      </c>
      <c r="T196" s="2">
        <v>15.0</v>
      </c>
      <c r="U196" s="2">
        <v>12.0</v>
      </c>
      <c r="V196" s="2">
        <v>13.0</v>
      </c>
      <c r="W196" s="2">
        <v>14.0</v>
      </c>
      <c r="X196" s="2">
        <v>20.0</v>
      </c>
      <c r="Y196" s="2">
        <v>26.0</v>
      </c>
      <c r="Z196" s="2">
        <v>26.0</v>
      </c>
      <c r="AA196" s="2">
        <v>28.0</v>
      </c>
      <c r="AB196" s="2">
        <v>28.0</v>
      </c>
      <c r="AC196" s="2">
        <f t="shared" si="5"/>
        <v>9.55</v>
      </c>
      <c r="AD196" s="2">
        <v>40.0</v>
      </c>
      <c r="AE196" s="2">
        <v>350.0</v>
      </c>
      <c r="AF196" s="2">
        <v>1.0</v>
      </c>
      <c r="AG196" s="3">
        <f t="shared" si="6"/>
        <v>9.55</v>
      </c>
      <c r="AH196" s="3">
        <f t="shared" si="7"/>
        <v>9.75</v>
      </c>
      <c r="AI196" s="4">
        <f t="shared" si="8"/>
        <v>68.96666667</v>
      </c>
    </row>
    <row r="197" hidden="1">
      <c r="A197" s="1" t="s">
        <v>596</v>
      </c>
      <c r="B197" s="1" t="s">
        <v>597</v>
      </c>
      <c r="C197" s="2" t="s">
        <v>2</v>
      </c>
      <c r="D197" s="2" t="s">
        <v>598</v>
      </c>
      <c r="E197" s="2">
        <f>VLOOKUP(B197, 'EE-Nitin'!$B$2:$F$57,5)</f>
        <v>44</v>
      </c>
      <c r="F197" s="2">
        <v>33.0</v>
      </c>
      <c r="G197" s="2">
        <f t="shared" si="1"/>
        <v>38.5</v>
      </c>
      <c r="H197" s="2">
        <v>8.0</v>
      </c>
      <c r="I197" s="2">
        <v>14.0</v>
      </c>
      <c r="J197" s="2">
        <v>32.0</v>
      </c>
      <c r="K197" s="3">
        <f t="shared" si="2"/>
        <v>9.055555556</v>
      </c>
      <c r="L197" s="2">
        <v>75.0</v>
      </c>
      <c r="M197" s="2">
        <v>185.0</v>
      </c>
      <c r="O197" s="3">
        <f t="shared" si="3"/>
        <v>185</v>
      </c>
      <c r="P197" s="2">
        <v>91.0</v>
      </c>
      <c r="Q197" s="2">
        <f t="shared" si="4"/>
        <v>12.925</v>
      </c>
      <c r="R197" s="2">
        <v>7.0</v>
      </c>
      <c r="S197" s="2">
        <v>8.0</v>
      </c>
      <c r="T197" s="2">
        <v>12.0</v>
      </c>
      <c r="U197" s="2">
        <v>1.0</v>
      </c>
      <c r="V197" s="2">
        <v>15.0</v>
      </c>
      <c r="W197" s="2">
        <v>15.0</v>
      </c>
      <c r="X197" s="2">
        <v>18.0</v>
      </c>
      <c r="Y197" s="2">
        <v>30.0</v>
      </c>
      <c r="Z197" s="2">
        <v>30.0</v>
      </c>
      <c r="AA197" s="2">
        <v>29.0</v>
      </c>
      <c r="AB197" s="2">
        <v>28.0</v>
      </c>
      <c r="AC197" s="2">
        <f t="shared" si="5"/>
        <v>9.65</v>
      </c>
      <c r="AD197" s="2">
        <v>40.0</v>
      </c>
      <c r="AE197" s="2">
        <v>330.0</v>
      </c>
      <c r="AF197" s="2">
        <v>1.0</v>
      </c>
      <c r="AG197" s="3">
        <f t="shared" si="6"/>
        <v>9.65</v>
      </c>
      <c r="AH197" s="3">
        <f t="shared" si="7"/>
        <v>9.25</v>
      </c>
      <c r="AI197" s="4">
        <f t="shared" si="8"/>
        <v>79.38055556</v>
      </c>
    </row>
    <row r="198" hidden="1">
      <c r="A198" s="1" t="s">
        <v>599</v>
      </c>
      <c r="B198" s="1" t="s">
        <v>600</v>
      </c>
      <c r="C198" s="2" t="s">
        <v>6</v>
      </c>
      <c r="D198" s="2" t="s">
        <v>601</v>
      </c>
      <c r="E198" s="2">
        <f>VLOOKUP(B198, 'EE-Nitin'!$B$2:$F$57,5)</f>
        <v>45</v>
      </c>
      <c r="F198" s="2">
        <v>35.0</v>
      </c>
      <c r="G198" s="2">
        <f t="shared" si="1"/>
        <v>40</v>
      </c>
      <c r="H198" s="2">
        <v>14.0</v>
      </c>
      <c r="I198" s="2">
        <v>7.0</v>
      </c>
      <c r="J198" s="2">
        <v>36.0</v>
      </c>
      <c r="K198" s="3">
        <f t="shared" si="2"/>
        <v>9.25</v>
      </c>
      <c r="L198" s="2">
        <v>95.0</v>
      </c>
      <c r="M198" s="2">
        <v>200.0</v>
      </c>
      <c r="O198" s="3">
        <f t="shared" si="3"/>
        <v>200</v>
      </c>
      <c r="P198" s="2">
        <v>100.0</v>
      </c>
      <c r="Q198" s="2">
        <f t="shared" si="4"/>
        <v>14.75</v>
      </c>
      <c r="R198" s="2">
        <v>7.0</v>
      </c>
      <c r="S198" s="2">
        <v>8.0</v>
      </c>
      <c r="T198" s="2">
        <v>12.0</v>
      </c>
      <c r="U198" s="2">
        <v>10.0</v>
      </c>
      <c r="V198" s="2">
        <v>15.0</v>
      </c>
      <c r="W198" s="2">
        <v>14.0</v>
      </c>
      <c r="X198" s="2">
        <v>20.0</v>
      </c>
      <c r="Y198" s="2">
        <v>30.0</v>
      </c>
      <c r="Z198" s="2">
        <v>29.0</v>
      </c>
      <c r="AA198" s="2">
        <v>29.0</v>
      </c>
      <c r="AB198" s="2">
        <v>30.0</v>
      </c>
      <c r="AC198" s="2">
        <f t="shared" si="5"/>
        <v>10.2</v>
      </c>
      <c r="AD198" s="2">
        <v>50.0</v>
      </c>
      <c r="AE198" s="2">
        <v>340.0</v>
      </c>
      <c r="AF198" s="2">
        <v>1.0</v>
      </c>
      <c r="AG198" s="3">
        <f t="shared" si="6"/>
        <v>10.2</v>
      </c>
      <c r="AH198" s="3">
        <f t="shared" si="7"/>
        <v>9.75</v>
      </c>
      <c r="AI198" s="4">
        <f t="shared" si="8"/>
        <v>83.95</v>
      </c>
    </row>
    <row r="199" hidden="1">
      <c r="A199" s="1" t="s">
        <v>602</v>
      </c>
      <c r="B199" s="1" t="s">
        <v>603</v>
      </c>
      <c r="C199" s="2" t="s">
        <v>25</v>
      </c>
      <c r="D199" s="2" t="s">
        <v>604</v>
      </c>
      <c r="E199" s="2">
        <f>VLOOKUP(B199, 'EE-Nitin'!$B$2:$F$57,5)</f>
        <v>35</v>
      </c>
      <c r="F199" s="2">
        <v>21.0</v>
      </c>
      <c r="G199" s="2">
        <f t="shared" si="1"/>
        <v>28</v>
      </c>
      <c r="H199" s="2">
        <v>6.0</v>
      </c>
      <c r="I199" s="2">
        <v>10.0</v>
      </c>
      <c r="J199" s="2">
        <v>32.0</v>
      </c>
      <c r="K199" s="3">
        <f t="shared" si="2"/>
        <v>7.555555556</v>
      </c>
      <c r="L199" s="2">
        <v>100.0</v>
      </c>
      <c r="M199" s="2">
        <v>180.0</v>
      </c>
      <c r="O199" s="3">
        <f t="shared" si="3"/>
        <v>180</v>
      </c>
      <c r="P199" s="2">
        <v>80.0</v>
      </c>
      <c r="Q199" s="2">
        <f t="shared" si="4"/>
        <v>13.5</v>
      </c>
      <c r="R199" s="2">
        <v>5.0</v>
      </c>
      <c r="S199" s="2">
        <v>8.0</v>
      </c>
      <c r="T199" s="2">
        <v>9.0</v>
      </c>
      <c r="U199" s="2">
        <v>8.0</v>
      </c>
      <c r="V199" s="2">
        <v>12.0</v>
      </c>
      <c r="W199" s="2">
        <v>15.0</v>
      </c>
      <c r="X199" s="2">
        <v>20.0</v>
      </c>
      <c r="Y199" s="2">
        <v>30.0</v>
      </c>
      <c r="Z199" s="2">
        <v>30.0</v>
      </c>
      <c r="AA199" s="2">
        <v>28.0</v>
      </c>
      <c r="AB199" s="2">
        <v>29.0</v>
      </c>
      <c r="AC199" s="2">
        <f t="shared" si="5"/>
        <v>9.7</v>
      </c>
      <c r="AD199" s="2">
        <v>10.0</v>
      </c>
      <c r="AE199" s="2">
        <v>310.0</v>
      </c>
      <c r="AF199" s="2">
        <v>1.0</v>
      </c>
      <c r="AG199" s="3">
        <f t="shared" si="6"/>
        <v>9.7</v>
      </c>
      <c r="AH199" s="3">
        <f t="shared" si="7"/>
        <v>8</v>
      </c>
      <c r="AI199" s="4">
        <f t="shared" si="8"/>
        <v>66.75555556</v>
      </c>
    </row>
    <row r="200" hidden="1">
      <c r="A200" s="1" t="s">
        <v>605</v>
      </c>
      <c r="B200" s="1" t="s">
        <v>606</v>
      </c>
      <c r="C200" s="2" t="s">
        <v>25</v>
      </c>
      <c r="D200" s="2" t="s">
        <v>607</v>
      </c>
      <c r="E200" s="2">
        <f>VLOOKUP(B200, 'EE-Nitin'!$B$2:$F$57,5)</f>
        <v>29</v>
      </c>
      <c r="F200" s="2">
        <v>25.0</v>
      </c>
      <c r="G200" s="2">
        <f t="shared" si="1"/>
        <v>27</v>
      </c>
      <c r="H200" s="2">
        <v>9.0</v>
      </c>
      <c r="I200" s="2">
        <v>11.0</v>
      </c>
      <c r="J200" s="2">
        <v>15.0</v>
      </c>
      <c r="K200" s="3">
        <f t="shared" si="2"/>
        <v>6.666666667</v>
      </c>
      <c r="L200" s="2">
        <v>80.0</v>
      </c>
      <c r="M200" s="2">
        <v>200.0</v>
      </c>
      <c r="O200" s="3">
        <f t="shared" si="3"/>
        <v>200</v>
      </c>
      <c r="P200" s="2">
        <v>100.0</v>
      </c>
      <c r="Q200" s="2">
        <f t="shared" si="4"/>
        <v>14</v>
      </c>
      <c r="R200" s="2">
        <v>7.0</v>
      </c>
      <c r="S200" s="2">
        <v>2.0</v>
      </c>
      <c r="T200" s="2">
        <v>15.0</v>
      </c>
      <c r="U200" s="2">
        <v>3.0</v>
      </c>
      <c r="V200" s="2">
        <v>8.0</v>
      </c>
      <c r="W200" s="2">
        <v>13.0</v>
      </c>
      <c r="X200" s="2">
        <v>16.0</v>
      </c>
      <c r="Y200" s="2">
        <v>26.0</v>
      </c>
      <c r="Z200" s="2">
        <v>27.0</v>
      </c>
      <c r="AA200" s="2">
        <v>29.0</v>
      </c>
      <c r="AB200" s="2">
        <v>27.0</v>
      </c>
      <c r="AC200" s="2">
        <f t="shared" si="5"/>
        <v>8.65</v>
      </c>
      <c r="AD200" s="2">
        <v>50.0</v>
      </c>
      <c r="AE200" s="2">
        <v>350.0</v>
      </c>
      <c r="AF200" s="2">
        <v>1.0</v>
      </c>
      <c r="AG200" s="3">
        <f t="shared" si="6"/>
        <v>8.65</v>
      </c>
      <c r="AH200" s="3">
        <f t="shared" si="7"/>
        <v>10</v>
      </c>
      <c r="AI200" s="4">
        <f t="shared" si="8"/>
        <v>66.31666667</v>
      </c>
    </row>
    <row r="201" hidden="1">
      <c r="A201" s="1" t="s">
        <v>608</v>
      </c>
      <c r="B201" s="1" t="s">
        <v>609</v>
      </c>
      <c r="C201" s="2" t="s">
        <v>32</v>
      </c>
      <c r="D201" s="2" t="s">
        <v>610</v>
      </c>
      <c r="E201" s="2">
        <f>VLOOKUP(B201, 'EE-Nitin'!$B$2:$F$57,5)</f>
        <v>37</v>
      </c>
      <c r="F201" s="2">
        <v>20.0</v>
      </c>
      <c r="G201" s="2">
        <f t="shared" si="1"/>
        <v>28.5</v>
      </c>
      <c r="H201" s="2">
        <v>3.0</v>
      </c>
      <c r="I201" s="2">
        <v>7.0</v>
      </c>
      <c r="J201" s="2">
        <v>27.0</v>
      </c>
      <c r="K201" s="3">
        <f t="shared" si="2"/>
        <v>5.5</v>
      </c>
      <c r="L201" s="2">
        <v>60.0</v>
      </c>
      <c r="M201" s="2">
        <v>105.0</v>
      </c>
      <c r="O201" s="3">
        <f t="shared" si="3"/>
        <v>105</v>
      </c>
      <c r="P201" s="2">
        <v>100.0</v>
      </c>
      <c r="Q201" s="2">
        <f t="shared" si="4"/>
        <v>10.625</v>
      </c>
      <c r="R201" s="2">
        <v>0.0</v>
      </c>
      <c r="S201" s="2">
        <v>2.0</v>
      </c>
      <c r="T201" s="2">
        <v>0.0</v>
      </c>
      <c r="U201" s="2">
        <v>6.0</v>
      </c>
      <c r="V201" s="2">
        <v>5.0</v>
      </c>
      <c r="W201" s="2">
        <v>0.0</v>
      </c>
      <c r="X201" s="2">
        <v>15.0</v>
      </c>
      <c r="Y201" s="2">
        <v>23.0</v>
      </c>
      <c r="Z201" s="2">
        <v>24.0</v>
      </c>
      <c r="AA201" s="2">
        <v>29.0</v>
      </c>
      <c r="AB201" s="2">
        <v>28.0</v>
      </c>
      <c r="AC201" s="2">
        <f t="shared" si="5"/>
        <v>6.6</v>
      </c>
      <c r="AD201" s="2">
        <v>30.0</v>
      </c>
      <c r="AE201" s="2">
        <v>335.0</v>
      </c>
      <c r="AF201" s="2">
        <v>1.0</v>
      </c>
      <c r="AG201" s="3">
        <f t="shared" si="6"/>
        <v>6.6</v>
      </c>
      <c r="AH201" s="3">
        <f t="shared" si="7"/>
        <v>9.125</v>
      </c>
      <c r="AI201" s="4">
        <f t="shared" si="8"/>
        <v>60.35</v>
      </c>
    </row>
    <row r="202" hidden="1">
      <c r="A202" s="1" t="s">
        <v>611</v>
      </c>
      <c r="B202" s="1" t="s">
        <v>612</v>
      </c>
      <c r="C202" s="2" t="s">
        <v>2</v>
      </c>
      <c r="D202" s="2" t="s">
        <v>613</v>
      </c>
      <c r="E202" s="2">
        <f>VLOOKUP(B202, 'EE-Nitin'!$B$2:$F$57,5)</f>
        <v>36</v>
      </c>
      <c r="F202" s="2">
        <v>22.0</v>
      </c>
      <c r="G202" s="2">
        <f t="shared" si="1"/>
        <v>29</v>
      </c>
      <c r="H202" s="2">
        <v>18.0</v>
      </c>
      <c r="I202" s="2">
        <v>13.0</v>
      </c>
      <c r="J202" s="2">
        <v>28.0</v>
      </c>
      <c r="K202" s="3">
        <f t="shared" si="2"/>
        <v>10.86111111</v>
      </c>
      <c r="L202" s="2">
        <v>95.0</v>
      </c>
      <c r="M202" s="2">
        <v>200.0</v>
      </c>
      <c r="O202" s="3">
        <f t="shared" si="3"/>
        <v>200</v>
      </c>
      <c r="P202" s="2">
        <v>100.0</v>
      </c>
      <c r="Q202" s="2">
        <f t="shared" si="4"/>
        <v>14.75</v>
      </c>
      <c r="R202" s="2">
        <v>7.0</v>
      </c>
      <c r="S202" s="2">
        <v>0.0</v>
      </c>
      <c r="T202" s="2">
        <v>12.0</v>
      </c>
      <c r="U202" s="2">
        <v>11.0</v>
      </c>
      <c r="V202" s="2">
        <v>15.0</v>
      </c>
      <c r="W202" s="2">
        <v>15.0</v>
      </c>
      <c r="X202" s="2">
        <v>20.0</v>
      </c>
      <c r="Y202" s="2">
        <v>28.0</v>
      </c>
      <c r="Z202" s="2">
        <v>30.0</v>
      </c>
      <c r="AA202" s="2">
        <v>30.0</v>
      </c>
      <c r="AB202" s="2">
        <v>30.0</v>
      </c>
      <c r="AC202" s="2">
        <f t="shared" si="5"/>
        <v>9.9</v>
      </c>
      <c r="AD202" s="2">
        <v>50.0</v>
      </c>
      <c r="AE202" s="2">
        <v>345.0</v>
      </c>
      <c r="AF202" s="2">
        <v>1.0</v>
      </c>
      <c r="AG202" s="3">
        <f t="shared" si="6"/>
        <v>9.9</v>
      </c>
      <c r="AH202" s="3">
        <f t="shared" si="7"/>
        <v>9.875</v>
      </c>
      <c r="AI202" s="4">
        <f t="shared" si="8"/>
        <v>74.38611111</v>
      </c>
    </row>
    <row r="203" hidden="1">
      <c r="A203" s="1" t="s">
        <v>614</v>
      </c>
      <c r="B203" s="1" t="s">
        <v>615</v>
      </c>
      <c r="C203" s="2" t="s">
        <v>55</v>
      </c>
      <c r="D203" s="2" t="s">
        <v>616</v>
      </c>
      <c r="E203" s="2">
        <f>VLOOKUP(B203, 'EE-Nitin'!$B$2:$F$57,5)</f>
        <v>22</v>
      </c>
      <c r="F203" s="2">
        <v>19.0</v>
      </c>
      <c r="G203" s="2">
        <f t="shared" si="1"/>
        <v>20.5</v>
      </c>
      <c r="H203" s="2">
        <v>5.0</v>
      </c>
      <c r="I203" s="2">
        <v>8.0</v>
      </c>
      <c r="J203" s="2">
        <v>26.5</v>
      </c>
      <c r="K203" s="3">
        <f t="shared" si="2"/>
        <v>6.194444444</v>
      </c>
      <c r="L203" s="2">
        <v>100.0</v>
      </c>
      <c r="M203" s="2">
        <v>110.0</v>
      </c>
      <c r="O203" s="3">
        <f t="shared" si="3"/>
        <v>110</v>
      </c>
      <c r="P203" s="2">
        <v>80.0</v>
      </c>
      <c r="Q203" s="2">
        <f t="shared" si="4"/>
        <v>11.75</v>
      </c>
      <c r="R203" s="2">
        <v>7.0</v>
      </c>
      <c r="S203" s="2">
        <v>0.0</v>
      </c>
      <c r="T203" s="2">
        <v>12.0</v>
      </c>
      <c r="U203" s="2">
        <v>8.0</v>
      </c>
      <c r="V203" s="2">
        <v>14.0</v>
      </c>
      <c r="W203" s="2">
        <v>15.0</v>
      </c>
      <c r="X203" s="2">
        <v>20.0</v>
      </c>
      <c r="Y203" s="2">
        <v>28.0</v>
      </c>
      <c r="Z203" s="2">
        <v>27.0</v>
      </c>
      <c r="AA203" s="2">
        <v>30.0</v>
      </c>
      <c r="AB203" s="2">
        <v>28.0</v>
      </c>
      <c r="AC203" s="2">
        <f t="shared" si="5"/>
        <v>9.45</v>
      </c>
      <c r="AD203" s="2">
        <v>50.0</v>
      </c>
      <c r="AE203" s="2">
        <v>330.0</v>
      </c>
      <c r="AF203" s="2">
        <v>1.0</v>
      </c>
      <c r="AG203" s="3">
        <f t="shared" si="6"/>
        <v>9.45</v>
      </c>
      <c r="AH203" s="3">
        <f t="shared" si="7"/>
        <v>9.5</v>
      </c>
      <c r="AI203" s="4">
        <f t="shared" si="8"/>
        <v>57.39444444</v>
      </c>
    </row>
    <row r="204" hidden="1">
      <c r="A204" s="1" t="s">
        <v>617</v>
      </c>
      <c r="B204" s="1" t="s">
        <v>618</v>
      </c>
      <c r="C204" s="2" t="s">
        <v>6</v>
      </c>
      <c r="D204" s="2" t="s">
        <v>619</v>
      </c>
      <c r="F204" s="2">
        <v>28.0</v>
      </c>
      <c r="G204" s="2">
        <f t="shared" si="1"/>
        <v>14</v>
      </c>
      <c r="H204" s="2">
        <v>15.0</v>
      </c>
      <c r="I204" s="2">
        <v>9.0</v>
      </c>
      <c r="J204" s="2">
        <v>0.0</v>
      </c>
      <c r="K204" s="3">
        <f t="shared" si="2"/>
        <v>6</v>
      </c>
      <c r="L204" s="2">
        <v>90.0</v>
      </c>
      <c r="M204" s="2">
        <v>185.0</v>
      </c>
      <c r="O204" s="3">
        <f t="shared" si="3"/>
        <v>185</v>
      </c>
      <c r="P204" s="2">
        <v>100.0</v>
      </c>
      <c r="Q204" s="2">
        <f t="shared" si="4"/>
        <v>14.125</v>
      </c>
      <c r="R204" s="2">
        <v>7.0</v>
      </c>
      <c r="S204" s="2">
        <v>10.0</v>
      </c>
      <c r="T204" s="2">
        <v>12.0</v>
      </c>
      <c r="U204" s="2">
        <v>12.0</v>
      </c>
      <c r="V204" s="2">
        <v>14.0</v>
      </c>
      <c r="W204" s="2">
        <v>14.0</v>
      </c>
      <c r="X204" s="2">
        <v>20.0</v>
      </c>
      <c r="Y204" s="2">
        <v>29.0</v>
      </c>
      <c r="Z204" s="2">
        <v>28.0</v>
      </c>
      <c r="AA204" s="2">
        <v>29.0</v>
      </c>
      <c r="AC204" s="2">
        <f t="shared" si="5"/>
        <v>8.75</v>
      </c>
      <c r="AD204" s="2">
        <v>30.0</v>
      </c>
      <c r="AE204" s="2">
        <v>0.0</v>
      </c>
      <c r="AF204" s="2">
        <v>1.0</v>
      </c>
      <c r="AG204" s="3">
        <f t="shared" si="6"/>
        <v>8.75</v>
      </c>
      <c r="AH204" s="3">
        <f t="shared" si="7"/>
        <v>0.75</v>
      </c>
      <c r="AI204" s="4">
        <f t="shared" si="8"/>
        <v>43.625</v>
      </c>
    </row>
    <row r="205" hidden="1">
      <c r="A205" s="1" t="s">
        <v>620</v>
      </c>
      <c r="B205" s="1" t="s">
        <v>621</v>
      </c>
      <c r="C205" s="2" t="s">
        <v>2</v>
      </c>
      <c r="D205" s="2" t="s">
        <v>622</v>
      </c>
      <c r="E205" s="2">
        <f>VLOOKUP(B205, 'EE-Nitin'!$B$2:$F$57,5)</f>
        <v>48</v>
      </c>
      <c r="F205" s="2">
        <v>28.0</v>
      </c>
      <c r="G205" s="2">
        <f t="shared" si="1"/>
        <v>38</v>
      </c>
      <c r="H205" s="2">
        <v>6.0</v>
      </c>
      <c r="I205" s="2">
        <v>14.0</v>
      </c>
      <c r="J205" s="2">
        <v>31.0</v>
      </c>
      <c r="K205" s="3">
        <f t="shared" si="2"/>
        <v>8.444444444</v>
      </c>
      <c r="L205" s="2">
        <v>85.0</v>
      </c>
      <c r="M205" s="2">
        <v>165.0</v>
      </c>
      <c r="N205" s="2">
        <v>200.0</v>
      </c>
      <c r="O205" s="3">
        <f t="shared" si="3"/>
        <v>200</v>
      </c>
      <c r="P205" s="2">
        <v>80.0</v>
      </c>
      <c r="Q205" s="2">
        <f t="shared" si="4"/>
        <v>13.25</v>
      </c>
      <c r="R205" s="2">
        <v>7.0</v>
      </c>
      <c r="S205" s="2">
        <v>6.0</v>
      </c>
      <c r="T205" s="2">
        <v>6.0</v>
      </c>
      <c r="U205" s="2">
        <v>5.0</v>
      </c>
      <c r="V205" s="2">
        <v>15.0</v>
      </c>
      <c r="W205" s="2">
        <v>9.0</v>
      </c>
      <c r="X205" s="2">
        <v>18.0</v>
      </c>
      <c r="Y205" s="2">
        <v>30.0</v>
      </c>
      <c r="Z205" s="2">
        <v>27.0</v>
      </c>
      <c r="AA205" s="2">
        <v>29.0</v>
      </c>
      <c r="AB205" s="2">
        <v>28.0</v>
      </c>
      <c r="AC205" s="2">
        <f t="shared" si="5"/>
        <v>9</v>
      </c>
      <c r="AD205" s="2">
        <v>40.0</v>
      </c>
      <c r="AE205" s="2">
        <v>350.0</v>
      </c>
      <c r="AF205" s="2">
        <v>1.0</v>
      </c>
      <c r="AG205" s="3">
        <f t="shared" si="6"/>
        <v>9</v>
      </c>
      <c r="AH205" s="3">
        <f t="shared" si="7"/>
        <v>9.75</v>
      </c>
      <c r="AI205" s="4">
        <f t="shared" si="8"/>
        <v>78.44444444</v>
      </c>
    </row>
    <row r="206" hidden="1">
      <c r="A206" s="1" t="s">
        <v>623</v>
      </c>
      <c r="B206" s="1" t="s">
        <v>624</v>
      </c>
      <c r="C206" s="2" t="s">
        <v>2</v>
      </c>
      <c r="D206" s="2" t="s">
        <v>625</v>
      </c>
      <c r="E206" s="2">
        <f>VLOOKUP(B206, 'EE-Nitin'!$B$2:$F$57,5)</f>
        <v>46</v>
      </c>
      <c r="F206" s="2">
        <v>27.0</v>
      </c>
      <c r="G206" s="2">
        <f t="shared" si="1"/>
        <v>36.5</v>
      </c>
      <c r="H206" s="2">
        <v>10.0</v>
      </c>
      <c r="I206" s="2">
        <v>10.0</v>
      </c>
      <c r="J206" s="2">
        <v>25.0</v>
      </c>
      <c r="K206" s="3">
        <f t="shared" si="2"/>
        <v>7.777777778</v>
      </c>
      <c r="L206" s="2">
        <v>85.0</v>
      </c>
      <c r="M206" s="2">
        <v>100.0</v>
      </c>
      <c r="O206" s="3">
        <f t="shared" si="3"/>
        <v>100</v>
      </c>
      <c r="P206" s="2">
        <v>89.0</v>
      </c>
      <c r="Q206" s="2">
        <f t="shared" si="4"/>
        <v>11.2</v>
      </c>
      <c r="R206" s="2">
        <v>7.0</v>
      </c>
      <c r="S206" s="2">
        <v>7.0</v>
      </c>
      <c r="T206" s="2">
        <v>12.0</v>
      </c>
      <c r="U206" s="2">
        <v>10.0</v>
      </c>
      <c r="V206" s="2">
        <v>14.0</v>
      </c>
      <c r="W206" s="2">
        <v>15.0</v>
      </c>
      <c r="X206" s="2">
        <v>18.0</v>
      </c>
      <c r="Y206" s="2">
        <v>29.0</v>
      </c>
      <c r="Z206" s="2">
        <v>30.0</v>
      </c>
      <c r="AA206" s="2">
        <v>29.0</v>
      </c>
      <c r="AB206" s="2">
        <v>28.0</v>
      </c>
      <c r="AC206" s="2">
        <f t="shared" si="5"/>
        <v>9.95</v>
      </c>
      <c r="AD206" s="2">
        <v>20.0</v>
      </c>
      <c r="AE206" s="2">
        <v>330.0</v>
      </c>
      <c r="AF206" s="2">
        <v>1.0</v>
      </c>
      <c r="AG206" s="3">
        <f t="shared" si="6"/>
        <v>9.95</v>
      </c>
      <c r="AH206" s="3">
        <f t="shared" si="7"/>
        <v>8.75</v>
      </c>
      <c r="AI206" s="4">
        <f t="shared" si="8"/>
        <v>74.17777778</v>
      </c>
    </row>
    <row r="207" hidden="1">
      <c r="A207" s="1" t="s">
        <v>626</v>
      </c>
      <c r="B207" s="1" t="s">
        <v>627</v>
      </c>
      <c r="C207" s="2" t="s">
        <v>2</v>
      </c>
      <c r="D207" s="2" t="s">
        <v>628</v>
      </c>
      <c r="E207" s="2">
        <f>VLOOKUP(B207, 'EE-Nitin'!$B$2:$F$57,5)</f>
        <v>40</v>
      </c>
      <c r="F207" s="2">
        <v>26.0</v>
      </c>
      <c r="G207" s="2">
        <f t="shared" si="1"/>
        <v>33</v>
      </c>
      <c r="H207" s="2">
        <v>8.0</v>
      </c>
      <c r="I207" s="2">
        <v>13.0</v>
      </c>
      <c r="J207" s="2">
        <v>35.0</v>
      </c>
      <c r="K207" s="3">
        <f t="shared" si="2"/>
        <v>9.138888889</v>
      </c>
      <c r="L207" s="2">
        <v>100.0</v>
      </c>
      <c r="M207" s="2">
        <v>120.0</v>
      </c>
      <c r="O207" s="3">
        <f t="shared" si="3"/>
        <v>120</v>
      </c>
      <c r="P207" s="2">
        <v>80.0</v>
      </c>
      <c r="Q207" s="2">
        <f t="shared" si="4"/>
        <v>12</v>
      </c>
      <c r="R207" s="2">
        <v>7.0</v>
      </c>
      <c r="S207" s="2">
        <v>8.0</v>
      </c>
      <c r="T207" s="2">
        <v>15.0</v>
      </c>
      <c r="U207" s="2">
        <v>2.0</v>
      </c>
      <c r="V207" s="2">
        <v>15.0</v>
      </c>
      <c r="W207" s="2">
        <v>15.0</v>
      </c>
      <c r="X207" s="2">
        <v>15.0</v>
      </c>
      <c r="Y207" s="2">
        <v>28.0</v>
      </c>
      <c r="Z207" s="2">
        <v>27.0</v>
      </c>
      <c r="AA207" s="2">
        <v>28.0</v>
      </c>
      <c r="AB207" s="2">
        <v>29.0</v>
      </c>
      <c r="AC207" s="2">
        <f t="shared" si="5"/>
        <v>9.45</v>
      </c>
      <c r="AD207" s="2">
        <v>50.0</v>
      </c>
      <c r="AE207" s="2">
        <v>350.0</v>
      </c>
      <c r="AF207" s="2">
        <v>1.0</v>
      </c>
      <c r="AG207" s="3">
        <f t="shared" si="6"/>
        <v>9.45</v>
      </c>
      <c r="AH207" s="3">
        <f t="shared" si="7"/>
        <v>10</v>
      </c>
      <c r="AI207" s="4">
        <f t="shared" si="8"/>
        <v>73.58888889</v>
      </c>
    </row>
    <row r="208" hidden="1">
      <c r="A208" s="1" t="s">
        <v>629</v>
      </c>
      <c r="B208" s="1" t="s">
        <v>630</v>
      </c>
      <c r="C208" s="2" t="s">
        <v>55</v>
      </c>
      <c r="D208" s="2" t="s">
        <v>631</v>
      </c>
      <c r="E208" s="2">
        <f>VLOOKUP(B208, 'EE-Nitin'!$B$2:$F$57,5)</f>
        <v>29</v>
      </c>
      <c r="F208" s="2">
        <v>21.0</v>
      </c>
      <c r="G208" s="2">
        <f t="shared" si="1"/>
        <v>25</v>
      </c>
      <c r="H208" s="2">
        <v>4.5</v>
      </c>
      <c r="I208" s="2">
        <v>0.0</v>
      </c>
      <c r="J208" s="2">
        <v>17.0</v>
      </c>
      <c r="K208" s="3">
        <f t="shared" si="2"/>
        <v>3.013888889</v>
      </c>
      <c r="L208" s="2">
        <v>100.0</v>
      </c>
      <c r="N208" s="2">
        <v>0.0</v>
      </c>
      <c r="O208" s="3">
        <f t="shared" si="3"/>
        <v>0</v>
      </c>
      <c r="P208" s="2">
        <v>90.0</v>
      </c>
      <c r="Q208" s="2">
        <f t="shared" si="4"/>
        <v>9.5</v>
      </c>
      <c r="R208" s="2">
        <v>7.0</v>
      </c>
      <c r="S208" s="2">
        <v>9.0</v>
      </c>
      <c r="T208" s="2">
        <v>0.0</v>
      </c>
      <c r="U208" s="2">
        <v>0.0</v>
      </c>
      <c r="V208" s="2">
        <v>15.0</v>
      </c>
      <c r="W208" s="2">
        <v>15.0</v>
      </c>
      <c r="X208" s="2">
        <v>20.0</v>
      </c>
      <c r="Y208" s="2">
        <v>0.0</v>
      </c>
      <c r="Z208" s="2">
        <v>0.0</v>
      </c>
      <c r="AA208" s="2">
        <v>30.0</v>
      </c>
      <c r="AB208" s="2">
        <v>27.0</v>
      </c>
      <c r="AC208" s="2">
        <f t="shared" si="5"/>
        <v>6.15</v>
      </c>
      <c r="AD208" s="2">
        <v>0.0</v>
      </c>
      <c r="AE208" s="2">
        <v>310.0</v>
      </c>
      <c r="AF208" s="2">
        <v>1.0</v>
      </c>
      <c r="AG208" s="3">
        <f t="shared" si="6"/>
        <v>6.15</v>
      </c>
      <c r="AH208" s="3">
        <f t="shared" si="7"/>
        <v>7.75</v>
      </c>
      <c r="AI208" s="4">
        <f t="shared" si="8"/>
        <v>51.41388889</v>
      </c>
    </row>
    <row r="209" hidden="1">
      <c r="A209" s="1" t="s">
        <v>632</v>
      </c>
      <c r="B209" s="1" t="s">
        <v>633</v>
      </c>
      <c r="C209" s="2" t="s">
        <v>25</v>
      </c>
      <c r="D209" s="2" t="s">
        <v>634</v>
      </c>
      <c r="E209" s="2">
        <f>VLOOKUP(B209, 'EE-Nitin'!$B$2:$F$57,5)</f>
        <v>34</v>
      </c>
      <c r="F209" s="2">
        <v>32.0</v>
      </c>
      <c r="G209" s="2">
        <f t="shared" si="1"/>
        <v>33</v>
      </c>
      <c r="H209" s="2">
        <v>15.0</v>
      </c>
      <c r="I209" s="2">
        <v>6.5</v>
      </c>
      <c r="J209" s="2">
        <v>27.0</v>
      </c>
      <c r="K209" s="3">
        <f t="shared" si="2"/>
        <v>8.375</v>
      </c>
      <c r="L209" s="2">
        <v>90.0</v>
      </c>
      <c r="M209" s="2">
        <v>150.0</v>
      </c>
      <c r="O209" s="3">
        <f t="shared" si="3"/>
        <v>150</v>
      </c>
      <c r="P209" s="2">
        <v>0.0</v>
      </c>
      <c r="Q209" s="2">
        <f t="shared" si="4"/>
        <v>8.25</v>
      </c>
      <c r="R209" s="2">
        <v>7.0</v>
      </c>
      <c r="S209" s="2">
        <v>7.0</v>
      </c>
      <c r="T209" s="2">
        <v>0.0</v>
      </c>
      <c r="U209" s="2">
        <v>4.0</v>
      </c>
      <c r="V209" s="2">
        <v>14.0</v>
      </c>
      <c r="W209" s="2">
        <v>14.0</v>
      </c>
      <c r="X209" s="2">
        <v>20.0</v>
      </c>
      <c r="Y209" s="2">
        <v>30.0</v>
      </c>
      <c r="Z209" s="2">
        <v>30.0</v>
      </c>
      <c r="AA209" s="2">
        <v>28.0</v>
      </c>
      <c r="AC209" s="2">
        <f t="shared" si="5"/>
        <v>7.7</v>
      </c>
      <c r="AD209" s="2">
        <v>30.0</v>
      </c>
      <c r="AE209" s="2">
        <v>310.0</v>
      </c>
      <c r="AF209" s="2">
        <v>1.0</v>
      </c>
      <c r="AG209" s="3">
        <f t="shared" si="6"/>
        <v>7.7</v>
      </c>
      <c r="AH209" s="3">
        <f t="shared" si="7"/>
        <v>8.5</v>
      </c>
      <c r="AI209" s="4">
        <f t="shared" si="8"/>
        <v>65.825</v>
      </c>
    </row>
    <row r="210" hidden="1">
      <c r="A210" s="1" t="s">
        <v>635</v>
      </c>
      <c r="B210" s="1" t="s">
        <v>636</v>
      </c>
      <c r="C210" s="2" t="s">
        <v>25</v>
      </c>
      <c r="D210" s="2" t="s">
        <v>637</v>
      </c>
      <c r="E210" s="2">
        <f>VLOOKUP(B210, 'ME-Subhashree'!$B$2:$F$56,5)</f>
        <v>37</v>
      </c>
      <c r="F210" s="2">
        <v>18.0</v>
      </c>
      <c r="G210" s="2">
        <f t="shared" si="1"/>
        <v>27.5</v>
      </c>
      <c r="H210" s="2">
        <v>6.0</v>
      </c>
      <c r="I210" s="2">
        <v>9.0</v>
      </c>
      <c r="J210" s="2">
        <v>27.0</v>
      </c>
      <c r="K210" s="3">
        <f t="shared" si="2"/>
        <v>6.75</v>
      </c>
      <c r="L210" s="2">
        <v>90.0</v>
      </c>
      <c r="M210" s="2">
        <v>165.0</v>
      </c>
      <c r="O210" s="3">
        <f t="shared" si="3"/>
        <v>165</v>
      </c>
      <c r="P210" s="2">
        <v>100.0</v>
      </c>
      <c r="Q210" s="2">
        <f t="shared" si="4"/>
        <v>13.625</v>
      </c>
      <c r="R210" s="2">
        <v>6.0</v>
      </c>
      <c r="S210" s="2">
        <v>5.0</v>
      </c>
      <c r="T210" s="2">
        <v>7.0</v>
      </c>
      <c r="U210" s="2">
        <v>15.0</v>
      </c>
      <c r="V210" s="2">
        <v>15.0</v>
      </c>
      <c r="W210" s="2">
        <v>13.0</v>
      </c>
      <c r="X210" s="2">
        <v>17.0</v>
      </c>
      <c r="Y210" s="2">
        <v>27.0</v>
      </c>
      <c r="Z210" s="2">
        <v>27.0</v>
      </c>
      <c r="AA210" s="2">
        <v>28.0</v>
      </c>
      <c r="AB210" s="2">
        <v>28.0</v>
      </c>
      <c r="AC210" s="2">
        <f t="shared" si="5"/>
        <v>9.4</v>
      </c>
      <c r="AD210" s="2">
        <v>40.0</v>
      </c>
      <c r="AE210" s="2">
        <v>300.0</v>
      </c>
      <c r="AF210" s="2">
        <v>1.0</v>
      </c>
      <c r="AG210" s="3">
        <f t="shared" si="6"/>
        <v>9.4</v>
      </c>
      <c r="AH210" s="3">
        <f t="shared" si="7"/>
        <v>8.5</v>
      </c>
      <c r="AI210" s="4">
        <f t="shared" si="8"/>
        <v>65.775</v>
      </c>
    </row>
    <row r="211" hidden="1">
      <c r="A211" s="1" t="s">
        <v>638</v>
      </c>
      <c r="B211" s="1" t="s">
        <v>639</v>
      </c>
      <c r="C211" s="2" t="s">
        <v>6</v>
      </c>
      <c r="D211" s="2" t="s">
        <v>640</v>
      </c>
      <c r="E211" s="2">
        <f>VLOOKUP(B211, 'ME-Subhashree'!$B$2:$F$56,5)</f>
        <v>53</v>
      </c>
      <c r="F211" s="2">
        <v>31.0</v>
      </c>
      <c r="G211" s="2">
        <f t="shared" si="1"/>
        <v>42</v>
      </c>
      <c r="H211" s="2">
        <v>13.0</v>
      </c>
      <c r="I211" s="2">
        <v>18.5</v>
      </c>
      <c r="J211" s="2">
        <v>28.0</v>
      </c>
      <c r="K211" s="3">
        <f t="shared" si="2"/>
        <v>10.98611111</v>
      </c>
      <c r="L211" s="2">
        <v>100.0</v>
      </c>
      <c r="M211" s="2">
        <v>200.0</v>
      </c>
      <c r="O211" s="3">
        <f t="shared" si="3"/>
        <v>200</v>
      </c>
      <c r="P211" s="2">
        <v>90.0</v>
      </c>
      <c r="Q211" s="2">
        <f t="shared" si="4"/>
        <v>14.5</v>
      </c>
      <c r="R211" s="2">
        <v>7.0</v>
      </c>
      <c r="S211" s="2">
        <v>8.0</v>
      </c>
      <c r="T211" s="2">
        <v>15.0</v>
      </c>
      <c r="U211" s="2">
        <v>15.0</v>
      </c>
      <c r="V211" s="2">
        <v>15.0</v>
      </c>
      <c r="W211" s="2">
        <v>15.0</v>
      </c>
      <c r="X211" s="2">
        <v>20.0</v>
      </c>
      <c r="Y211" s="2">
        <v>30.0</v>
      </c>
      <c r="Z211" s="2">
        <v>28.0</v>
      </c>
      <c r="AA211" s="2">
        <v>29.0</v>
      </c>
      <c r="AB211" s="2">
        <v>30.0</v>
      </c>
      <c r="AC211" s="2">
        <f t="shared" si="5"/>
        <v>10.6</v>
      </c>
      <c r="AD211" s="2">
        <v>40.0</v>
      </c>
      <c r="AE211" s="2">
        <v>340.0</v>
      </c>
      <c r="AF211" s="2">
        <v>1.0</v>
      </c>
      <c r="AG211" s="3">
        <f t="shared" si="6"/>
        <v>10.6</v>
      </c>
      <c r="AH211" s="3">
        <f t="shared" si="7"/>
        <v>9.5</v>
      </c>
      <c r="AI211" s="4">
        <f t="shared" si="8"/>
        <v>87.58611111</v>
      </c>
    </row>
    <row r="212" hidden="1">
      <c r="A212" s="1" t="s">
        <v>641</v>
      </c>
      <c r="B212" s="1" t="s">
        <v>642</v>
      </c>
      <c r="C212" s="2" t="s">
        <v>32</v>
      </c>
      <c r="D212" s="2" t="s">
        <v>643</v>
      </c>
      <c r="E212" s="2">
        <f>VLOOKUP(B212, 'ME-Subhashree'!$B$2:$F$56,5)</f>
        <v>26</v>
      </c>
      <c r="F212" s="2">
        <v>24.0</v>
      </c>
      <c r="G212" s="2">
        <f t="shared" si="1"/>
        <v>25</v>
      </c>
      <c r="H212" s="2">
        <v>7.0</v>
      </c>
      <c r="I212" s="2">
        <v>8.0</v>
      </c>
      <c r="J212" s="2">
        <v>35.0</v>
      </c>
      <c r="K212" s="3">
        <f t="shared" si="2"/>
        <v>7.638888889</v>
      </c>
      <c r="L212" s="2">
        <v>90.0</v>
      </c>
      <c r="M212" s="2">
        <v>100.0</v>
      </c>
      <c r="N212" s="2">
        <v>165.0</v>
      </c>
      <c r="O212" s="3">
        <f t="shared" si="3"/>
        <v>165</v>
      </c>
      <c r="P212" s="2">
        <v>100.0</v>
      </c>
      <c r="Q212" s="2">
        <f t="shared" si="4"/>
        <v>13.625</v>
      </c>
      <c r="R212" s="2">
        <v>7.0</v>
      </c>
      <c r="S212" s="2">
        <v>7.0</v>
      </c>
      <c r="T212" s="2">
        <v>12.0</v>
      </c>
      <c r="U212" s="2">
        <v>10.0</v>
      </c>
      <c r="V212" s="2">
        <v>15.0</v>
      </c>
      <c r="W212" s="2">
        <v>14.0</v>
      </c>
      <c r="X212" s="2">
        <v>20.0</v>
      </c>
      <c r="Y212" s="2">
        <v>30.0</v>
      </c>
      <c r="Z212" s="2">
        <v>27.0</v>
      </c>
      <c r="AA212" s="2">
        <v>27.0</v>
      </c>
      <c r="AB212" s="2">
        <v>28.0</v>
      </c>
      <c r="AC212" s="2">
        <f t="shared" si="5"/>
        <v>9.85</v>
      </c>
      <c r="AD212" s="2">
        <v>0.0</v>
      </c>
      <c r="AE212" s="2">
        <v>330.0</v>
      </c>
      <c r="AF212" s="2">
        <v>1.0</v>
      </c>
      <c r="AG212" s="3">
        <f t="shared" si="6"/>
        <v>9.85</v>
      </c>
      <c r="AH212" s="3">
        <f t="shared" si="7"/>
        <v>8.25</v>
      </c>
      <c r="AI212" s="4">
        <f t="shared" si="8"/>
        <v>64.36388889</v>
      </c>
    </row>
    <row r="213" hidden="1">
      <c r="A213" s="1" t="s">
        <v>644</v>
      </c>
      <c r="B213" s="1" t="s">
        <v>645</v>
      </c>
      <c r="C213" s="2" t="s">
        <v>2</v>
      </c>
      <c r="D213" s="2" t="s">
        <v>646</v>
      </c>
      <c r="E213" s="2">
        <f>VLOOKUP(B213, 'ME-Subhashree'!$B$2:$F$56,5)</f>
        <v>39</v>
      </c>
      <c r="F213" s="2">
        <v>21.0</v>
      </c>
      <c r="G213" s="2">
        <f t="shared" si="1"/>
        <v>30</v>
      </c>
      <c r="H213" s="2">
        <v>10.0</v>
      </c>
      <c r="I213" s="2">
        <v>17.0</v>
      </c>
      <c r="J213" s="2">
        <v>32.0</v>
      </c>
      <c r="K213" s="3">
        <f t="shared" si="2"/>
        <v>10.30555556</v>
      </c>
      <c r="L213" s="2">
        <v>90.0</v>
      </c>
      <c r="M213" s="2">
        <v>160.0</v>
      </c>
      <c r="O213" s="3">
        <f t="shared" si="3"/>
        <v>160</v>
      </c>
      <c r="P213" s="2">
        <v>98.0</v>
      </c>
      <c r="Q213" s="2">
        <f t="shared" si="4"/>
        <v>13.4</v>
      </c>
      <c r="R213" s="2">
        <v>7.0</v>
      </c>
      <c r="S213" s="2">
        <v>5.0</v>
      </c>
      <c r="T213" s="2">
        <v>12.0</v>
      </c>
      <c r="U213" s="2">
        <v>15.0</v>
      </c>
      <c r="V213" s="2">
        <v>15.0</v>
      </c>
      <c r="W213" s="2">
        <v>15.0</v>
      </c>
      <c r="X213" s="2">
        <v>19.0</v>
      </c>
      <c r="Y213" s="2">
        <v>25.0</v>
      </c>
      <c r="Z213" s="2">
        <v>28.0</v>
      </c>
      <c r="AA213" s="2">
        <v>28.0</v>
      </c>
      <c r="AB213" s="2">
        <v>28.0</v>
      </c>
      <c r="AC213" s="2">
        <f t="shared" si="5"/>
        <v>9.85</v>
      </c>
      <c r="AD213" s="2">
        <v>50.0</v>
      </c>
      <c r="AE213" s="2">
        <v>310.0</v>
      </c>
      <c r="AF213" s="2">
        <v>1.0</v>
      </c>
      <c r="AG213" s="3">
        <f t="shared" si="6"/>
        <v>9.85</v>
      </c>
      <c r="AH213" s="3">
        <f t="shared" si="7"/>
        <v>9</v>
      </c>
      <c r="AI213" s="4">
        <f t="shared" si="8"/>
        <v>72.55555556</v>
      </c>
    </row>
    <row r="214" hidden="1">
      <c r="A214" s="1" t="s">
        <v>647</v>
      </c>
      <c r="B214" s="1" t="s">
        <v>648</v>
      </c>
      <c r="C214" s="2" t="s">
        <v>25</v>
      </c>
      <c r="D214" s="2" t="s">
        <v>649</v>
      </c>
      <c r="E214" s="2">
        <f>VLOOKUP(B214, 'ME-Subhashree'!$B$2:$F$56,5)</f>
        <v>35</v>
      </c>
      <c r="F214" s="2">
        <v>26.0</v>
      </c>
      <c r="G214" s="2">
        <f t="shared" si="1"/>
        <v>30.5</v>
      </c>
      <c r="H214" s="2">
        <v>7.0</v>
      </c>
      <c r="I214" s="2">
        <v>13.0</v>
      </c>
      <c r="J214" s="2">
        <v>28.0</v>
      </c>
      <c r="K214" s="3">
        <f t="shared" si="2"/>
        <v>8.111111111</v>
      </c>
      <c r="L214" s="2">
        <v>100.0</v>
      </c>
      <c r="M214" s="2">
        <v>190.0</v>
      </c>
      <c r="O214" s="3">
        <f t="shared" si="3"/>
        <v>190</v>
      </c>
      <c r="P214" s="2">
        <v>100.0</v>
      </c>
      <c r="Q214" s="2">
        <f t="shared" si="4"/>
        <v>14.75</v>
      </c>
      <c r="R214" s="2">
        <v>7.0</v>
      </c>
      <c r="S214" s="2">
        <v>2.0</v>
      </c>
      <c r="T214" s="2">
        <v>9.0</v>
      </c>
      <c r="U214" s="2">
        <v>10.0</v>
      </c>
      <c r="V214" s="2">
        <v>11.0</v>
      </c>
      <c r="W214" s="2">
        <v>11.0</v>
      </c>
      <c r="X214" s="2">
        <v>18.0</v>
      </c>
      <c r="Y214" s="2">
        <v>21.0</v>
      </c>
      <c r="Z214" s="2">
        <v>24.0</v>
      </c>
      <c r="AA214" s="2">
        <v>29.0</v>
      </c>
      <c r="AB214" s="2">
        <v>29.0</v>
      </c>
      <c r="AC214" s="2">
        <f t="shared" si="5"/>
        <v>8.55</v>
      </c>
      <c r="AD214" s="2">
        <v>50.0</v>
      </c>
      <c r="AE214" s="2">
        <v>320.0</v>
      </c>
      <c r="AF214" s="2">
        <v>1.0</v>
      </c>
      <c r="AG214" s="3">
        <f t="shared" si="6"/>
        <v>8.55</v>
      </c>
      <c r="AH214" s="3">
        <f t="shared" si="7"/>
        <v>9.25</v>
      </c>
      <c r="AI214" s="4">
        <f t="shared" si="8"/>
        <v>71.16111111</v>
      </c>
    </row>
    <row r="215" hidden="1">
      <c r="A215" s="1" t="s">
        <v>650</v>
      </c>
      <c r="B215" s="1" t="s">
        <v>651</v>
      </c>
      <c r="C215" s="2" t="s">
        <v>2</v>
      </c>
      <c r="D215" s="2" t="s">
        <v>652</v>
      </c>
      <c r="E215" s="2">
        <f>VLOOKUP(B215, 'ME-Subhashree'!$B$2:$F$56,5)</f>
        <v>36</v>
      </c>
      <c r="F215" s="2">
        <v>25.0</v>
      </c>
      <c r="G215" s="2">
        <f t="shared" si="1"/>
        <v>30.5</v>
      </c>
      <c r="H215" s="2">
        <v>9.0</v>
      </c>
      <c r="I215" s="2">
        <v>18.5</v>
      </c>
      <c r="J215" s="2">
        <v>26.0</v>
      </c>
      <c r="K215" s="3">
        <f t="shared" si="2"/>
        <v>9.763888889</v>
      </c>
      <c r="L215" s="2">
        <v>90.0</v>
      </c>
      <c r="M215" s="2">
        <v>185.0</v>
      </c>
      <c r="O215" s="3">
        <f t="shared" si="3"/>
        <v>185</v>
      </c>
      <c r="P215" s="2">
        <v>100.0</v>
      </c>
      <c r="Q215" s="2">
        <f t="shared" si="4"/>
        <v>14.125</v>
      </c>
      <c r="R215" s="2">
        <v>7.0</v>
      </c>
      <c r="S215" s="2">
        <v>3.0</v>
      </c>
      <c r="T215" s="2">
        <v>9.0</v>
      </c>
      <c r="U215" s="2">
        <v>10.0</v>
      </c>
      <c r="V215" s="2">
        <v>12.0</v>
      </c>
      <c r="W215" s="2">
        <v>15.0</v>
      </c>
      <c r="X215" s="2">
        <v>19.0</v>
      </c>
      <c r="Y215" s="2">
        <v>25.0</v>
      </c>
      <c r="Z215" s="2">
        <v>27.0</v>
      </c>
      <c r="AA215" s="2">
        <v>29.0</v>
      </c>
      <c r="AB215" s="2">
        <v>29.0</v>
      </c>
      <c r="AC215" s="2">
        <f t="shared" si="5"/>
        <v>9.25</v>
      </c>
      <c r="AD215" s="2">
        <v>50.0</v>
      </c>
      <c r="AE215" s="2">
        <v>320.0</v>
      </c>
      <c r="AF215" s="2">
        <v>1.0</v>
      </c>
      <c r="AG215" s="3">
        <f t="shared" si="6"/>
        <v>9.25</v>
      </c>
      <c r="AH215" s="3">
        <f t="shared" si="7"/>
        <v>9.25</v>
      </c>
      <c r="AI215" s="4">
        <f t="shared" si="8"/>
        <v>72.88888889</v>
      </c>
    </row>
    <row r="216" hidden="1">
      <c r="A216" s="1" t="s">
        <v>653</v>
      </c>
      <c r="B216" s="1" t="s">
        <v>654</v>
      </c>
      <c r="C216" s="2" t="s">
        <v>2</v>
      </c>
      <c r="D216" s="2" t="s">
        <v>655</v>
      </c>
      <c r="E216" s="2">
        <f>VLOOKUP(B216, 'ME-Subhashree'!$B$2:$F$56,5)</f>
        <v>39</v>
      </c>
      <c r="F216" s="2">
        <v>31.0</v>
      </c>
      <c r="G216" s="2">
        <f t="shared" si="1"/>
        <v>35</v>
      </c>
      <c r="H216" s="2">
        <v>13.0</v>
      </c>
      <c r="I216" s="2">
        <v>15.5</v>
      </c>
      <c r="J216" s="2">
        <v>28.0</v>
      </c>
      <c r="K216" s="3">
        <f t="shared" si="2"/>
        <v>10.23611111</v>
      </c>
      <c r="L216" s="2">
        <v>100.0</v>
      </c>
      <c r="M216" s="2">
        <v>195.0</v>
      </c>
      <c r="O216" s="3">
        <f t="shared" si="3"/>
        <v>195</v>
      </c>
      <c r="P216" s="2">
        <v>98.0</v>
      </c>
      <c r="Q216" s="2">
        <f t="shared" si="4"/>
        <v>14.775</v>
      </c>
      <c r="R216" s="2">
        <v>7.0</v>
      </c>
      <c r="S216" s="2">
        <v>7.0</v>
      </c>
      <c r="T216" s="2">
        <v>12.0</v>
      </c>
      <c r="U216" s="2">
        <v>12.0</v>
      </c>
      <c r="V216" s="2">
        <v>15.0</v>
      </c>
      <c r="W216" s="2">
        <v>15.0</v>
      </c>
      <c r="X216" s="2">
        <v>20.0</v>
      </c>
      <c r="Y216" s="2">
        <v>26.0</v>
      </c>
      <c r="Z216" s="2">
        <v>30.0</v>
      </c>
      <c r="AA216" s="2">
        <v>29.0</v>
      </c>
      <c r="AB216" s="2">
        <v>29.0</v>
      </c>
      <c r="AC216" s="2">
        <f t="shared" si="5"/>
        <v>10.1</v>
      </c>
      <c r="AD216" s="2">
        <v>50.0</v>
      </c>
      <c r="AE216" s="2">
        <v>310.0</v>
      </c>
      <c r="AF216" s="2">
        <v>1.0</v>
      </c>
      <c r="AG216" s="3">
        <f t="shared" si="6"/>
        <v>10.1</v>
      </c>
      <c r="AH216" s="3">
        <f t="shared" si="7"/>
        <v>9</v>
      </c>
      <c r="AI216" s="4">
        <f t="shared" si="8"/>
        <v>79.11111111</v>
      </c>
    </row>
    <row r="217" hidden="1">
      <c r="A217" s="1" t="s">
        <v>656</v>
      </c>
      <c r="B217" s="1" t="s">
        <v>657</v>
      </c>
      <c r="C217" s="2" t="s">
        <v>6</v>
      </c>
      <c r="D217" s="2" t="s">
        <v>658</v>
      </c>
      <c r="E217" s="2">
        <f>VLOOKUP(B217, 'ME-Subhashree'!$B$2:$F$56,5)</f>
        <v>41</v>
      </c>
      <c r="F217" s="2">
        <v>37.0</v>
      </c>
      <c r="G217" s="2">
        <f t="shared" si="1"/>
        <v>39</v>
      </c>
      <c r="H217" s="2">
        <v>9.0</v>
      </c>
      <c r="I217" s="2">
        <v>19.0</v>
      </c>
      <c r="J217" s="2">
        <v>41.0</v>
      </c>
      <c r="K217" s="3">
        <f t="shared" si="2"/>
        <v>11.55555556</v>
      </c>
      <c r="L217" s="2">
        <v>90.0</v>
      </c>
      <c r="M217" s="2">
        <v>175.0</v>
      </c>
      <c r="O217" s="3">
        <f t="shared" si="3"/>
        <v>175</v>
      </c>
      <c r="P217" s="2">
        <v>98.0</v>
      </c>
      <c r="Q217" s="2">
        <f t="shared" si="4"/>
        <v>13.775</v>
      </c>
      <c r="R217" s="2">
        <v>7.0</v>
      </c>
      <c r="S217" s="2">
        <v>8.0</v>
      </c>
      <c r="T217" s="2">
        <v>12.0</v>
      </c>
      <c r="U217" s="2">
        <v>12.0</v>
      </c>
      <c r="V217" s="2">
        <v>14.0</v>
      </c>
      <c r="W217" s="2">
        <v>14.0</v>
      </c>
      <c r="X217" s="2">
        <v>19.0</v>
      </c>
      <c r="Y217" s="2">
        <v>28.0</v>
      </c>
      <c r="Z217" s="2">
        <v>26.0</v>
      </c>
      <c r="AA217" s="2">
        <v>29.0</v>
      </c>
      <c r="AB217" s="2">
        <v>30.0</v>
      </c>
      <c r="AC217" s="2">
        <f t="shared" si="5"/>
        <v>9.95</v>
      </c>
      <c r="AD217" s="2">
        <v>50.0</v>
      </c>
      <c r="AE217" s="2">
        <v>340.0</v>
      </c>
      <c r="AF217" s="2">
        <v>1.0</v>
      </c>
      <c r="AG217" s="3">
        <f t="shared" si="6"/>
        <v>9.95</v>
      </c>
      <c r="AH217" s="3">
        <f t="shared" si="7"/>
        <v>9.75</v>
      </c>
      <c r="AI217" s="4">
        <f t="shared" si="8"/>
        <v>84.03055556</v>
      </c>
    </row>
    <row r="218" hidden="1">
      <c r="A218" s="1" t="s">
        <v>659</v>
      </c>
      <c r="B218" s="1" t="s">
        <v>660</v>
      </c>
      <c r="C218" s="2" t="s">
        <v>55</v>
      </c>
      <c r="D218" s="2" t="s">
        <v>661</v>
      </c>
      <c r="E218" s="2">
        <f>VLOOKUP(B218, 'ME-Subhashree'!$B$2:$F$56,5)</f>
        <v>35</v>
      </c>
      <c r="F218" s="2">
        <v>21.0</v>
      </c>
      <c r="G218" s="2">
        <f t="shared" si="1"/>
        <v>28</v>
      </c>
      <c r="H218" s="2">
        <v>4.0</v>
      </c>
      <c r="I218" s="2">
        <v>5.0</v>
      </c>
      <c r="J218" s="2">
        <v>20.0</v>
      </c>
      <c r="K218" s="3">
        <f t="shared" si="2"/>
        <v>4.472222222</v>
      </c>
      <c r="L218" s="2">
        <v>90.0</v>
      </c>
      <c r="M218" s="2">
        <v>175.0</v>
      </c>
      <c r="O218" s="3">
        <f t="shared" si="3"/>
        <v>175</v>
      </c>
      <c r="P218" s="2">
        <v>98.0</v>
      </c>
      <c r="Q218" s="2">
        <f t="shared" si="4"/>
        <v>13.775</v>
      </c>
      <c r="R218" s="2">
        <v>6.0</v>
      </c>
      <c r="S218" s="2">
        <v>2.0</v>
      </c>
      <c r="T218" s="2">
        <v>6.0</v>
      </c>
      <c r="U218" s="2">
        <v>5.0</v>
      </c>
      <c r="V218" s="2">
        <v>12.0</v>
      </c>
      <c r="W218" s="2">
        <v>13.0</v>
      </c>
      <c r="X218" s="2">
        <v>18.0</v>
      </c>
      <c r="Y218" s="2">
        <v>25.0</v>
      </c>
      <c r="Z218" s="2">
        <v>28.0</v>
      </c>
      <c r="AA218" s="2">
        <v>30.0</v>
      </c>
      <c r="AB218" s="2">
        <v>28.0</v>
      </c>
      <c r="AC218" s="2">
        <f t="shared" si="5"/>
        <v>8.65</v>
      </c>
      <c r="AD218" s="2">
        <v>40.0</v>
      </c>
      <c r="AF218" s="2">
        <v>1.0</v>
      </c>
      <c r="AG218" s="3">
        <f t="shared" si="6"/>
        <v>8.65</v>
      </c>
      <c r="AH218" s="3">
        <f t="shared" si="7"/>
        <v>1</v>
      </c>
      <c r="AI218" s="4">
        <f t="shared" si="8"/>
        <v>55.89722222</v>
      </c>
    </row>
    <row r="219" hidden="1">
      <c r="A219" s="1" t="s">
        <v>662</v>
      </c>
      <c r="B219" s="1" t="s">
        <v>663</v>
      </c>
      <c r="C219" s="2" t="s">
        <v>42</v>
      </c>
      <c r="D219" s="2" t="s">
        <v>664</v>
      </c>
      <c r="E219" s="2">
        <f>VLOOKUP(B219, 'ME-Subhashree'!$B$2:$F$56,5)</f>
        <v>53</v>
      </c>
      <c r="F219" s="2">
        <v>33.0</v>
      </c>
      <c r="G219" s="2">
        <f t="shared" si="1"/>
        <v>43</v>
      </c>
      <c r="H219" s="2">
        <v>15.0</v>
      </c>
      <c r="I219" s="2">
        <v>19.0</v>
      </c>
      <c r="J219" s="2">
        <v>33.0</v>
      </c>
      <c r="K219" s="3">
        <f t="shared" si="2"/>
        <v>12.16666667</v>
      </c>
      <c r="L219" s="2">
        <v>100.0</v>
      </c>
      <c r="M219" s="2">
        <v>200.0</v>
      </c>
      <c r="O219" s="3">
        <f t="shared" si="3"/>
        <v>200</v>
      </c>
      <c r="P219" s="2">
        <v>91.0</v>
      </c>
      <c r="Q219" s="2">
        <f t="shared" si="4"/>
        <v>14.55</v>
      </c>
      <c r="R219" s="2">
        <v>7.0</v>
      </c>
      <c r="S219" s="2">
        <v>10.0</v>
      </c>
      <c r="T219" s="2">
        <v>15.0</v>
      </c>
      <c r="U219" s="2">
        <v>15.0</v>
      </c>
      <c r="V219" s="2">
        <v>15.0</v>
      </c>
      <c r="W219" s="2">
        <v>15.0</v>
      </c>
      <c r="X219" s="2">
        <v>20.0</v>
      </c>
      <c r="Y219" s="2">
        <v>30.0</v>
      </c>
      <c r="Z219" s="2">
        <v>27.0</v>
      </c>
      <c r="AA219" s="2">
        <v>30.0</v>
      </c>
      <c r="AB219" s="2">
        <v>30.0</v>
      </c>
      <c r="AC219" s="2">
        <f t="shared" si="5"/>
        <v>10.7</v>
      </c>
      <c r="AD219" s="2">
        <v>40.0</v>
      </c>
      <c r="AE219" s="2">
        <v>340.0</v>
      </c>
      <c r="AF219" s="2">
        <v>1.0</v>
      </c>
      <c r="AG219" s="3">
        <f t="shared" si="6"/>
        <v>10.7</v>
      </c>
      <c r="AH219" s="3">
        <f t="shared" si="7"/>
        <v>9.5</v>
      </c>
      <c r="AI219" s="4">
        <f t="shared" si="8"/>
        <v>89.91666667</v>
      </c>
    </row>
    <row r="220" hidden="1">
      <c r="A220" s="1" t="s">
        <v>665</v>
      </c>
      <c r="B220" s="1" t="s">
        <v>666</v>
      </c>
      <c r="C220" s="2" t="s">
        <v>2</v>
      </c>
      <c r="D220" s="2" t="s">
        <v>667</v>
      </c>
      <c r="E220" s="2">
        <f>VLOOKUP(B220, 'ME-Subhashree'!$B$2:$F$56,5)</f>
        <v>40</v>
      </c>
      <c r="F220" s="2">
        <v>27.0</v>
      </c>
      <c r="G220" s="2">
        <f t="shared" si="1"/>
        <v>33.5</v>
      </c>
      <c r="H220" s="2">
        <v>9.0</v>
      </c>
      <c r="I220" s="2">
        <v>12.0</v>
      </c>
      <c r="J220" s="2">
        <v>31.0</v>
      </c>
      <c r="K220" s="3">
        <f t="shared" si="2"/>
        <v>8.694444444</v>
      </c>
      <c r="L220" s="2">
        <v>95.0</v>
      </c>
      <c r="M220" s="2">
        <v>180.0</v>
      </c>
      <c r="O220" s="3">
        <f t="shared" si="3"/>
        <v>180</v>
      </c>
      <c r="P220" s="2">
        <v>90.0</v>
      </c>
      <c r="Q220" s="2">
        <f t="shared" si="4"/>
        <v>13.75</v>
      </c>
      <c r="R220" s="2">
        <v>7.0</v>
      </c>
      <c r="S220" s="2">
        <v>3.0</v>
      </c>
      <c r="T220" s="2">
        <v>15.0</v>
      </c>
      <c r="U220" s="2">
        <v>14.0</v>
      </c>
      <c r="V220" s="2">
        <v>13.0</v>
      </c>
      <c r="W220" s="2">
        <v>15.0</v>
      </c>
      <c r="X220" s="2">
        <v>20.0</v>
      </c>
      <c r="Y220" s="2">
        <v>28.0</v>
      </c>
      <c r="Z220" s="2">
        <v>28.0</v>
      </c>
      <c r="AA220" s="2">
        <v>29.0</v>
      </c>
      <c r="AB220" s="2">
        <v>29.0</v>
      </c>
      <c r="AC220" s="2">
        <f t="shared" si="5"/>
        <v>10.05</v>
      </c>
      <c r="AD220" s="2">
        <v>50.0</v>
      </c>
      <c r="AE220" s="2">
        <v>300.0</v>
      </c>
      <c r="AF220" s="2">
        <v>1.0</v>
      </c>
      <c r="AG220" s="3">
        <f t="shared" si="6"/>
        <v>10.05</v>
      </c>
      <c r="AH220" s="3">
        <f t="shared" si="7"/>
        <v>8.75</v>
      </c>
      <c r="AI220" s="4">
        <f t="shared" si="8"/>
        <v>74.74444444</v>
      </c>
    </row>
    <row r="221" hidden="1">
      <c r="A221" s="1" t="s">
        <v>668</v>
      </c>
      <c r="B221" s="1" t="s">
        <v>669</v>
      </c>
      <c r="C221" s="2" t="s">
        <v>6</v>
      </c>
      <c r="D221" s="2" t="s">
        <v>670</v>
      </c>
      <c r="E221" s="2">
        <f>VLOOKUP(B221, 'ME-Subhashree'!$B$2:$F$56,5)</f>
        <v>43</v>
      </c>
      <c r="F221" s="2">
        <v>36.0</v>
      </c>
      <c r="G221" s="2">
        <f t="shared" si="1"/>
        <v>39.5</v>
      </c>
      <c r="H221" s="2">
        <v>16.0</v>
      </c>
      <c r="I221" s="2">
        <v>20.0</v>
      </c>
      <c r="J221" s="2">
        <v>41.0</v>
      </c>
      <c r="K221" s="3">
        <f t="shared" si="2"/>
        <v>13.55555556</v>
      </c>
      <c r="L221" s="2">
        <v>95.0</v>
      </c>
      <c r="M221" s="2">
        <v>195.0</v>
      </c>
      <c r="O221" s="3">
        <f t="shared" si="3"/>
        <v>195</v>
      </c>
      <c r="P221" s="2">
        <v>100.0</v>
      </c>
      <c r="Q221" s="2">
        <f t="shared" si="4"/>
        <v>14.625</v>
      </c>
      <c r="R221" s="2">
        <v>7.0</v>
      </c>
      <c r="S221" s="2">
        <v>7.0</v>
      </c>
      <c r="T221" s="2">
        <v>9.0</v>
      </c>
      <c r="U221" s="2">
        <v>14.0</v>
      </c>
      <c r="V221" s="2">
        <v>15.0</v>
      </c>
      <c r="W221" s="2">
        <v>15.0</v>
      </c>
      <c r="X221" s="2">
        <v>18.0</v>
      </c>
      <c r="Y221" s="2">
        <v>29.0</v>
      </c>
      <c r="Z221" s="2">
        <v>28.0</v>
      </c>
      <c r="AA221" s="2">
        <v>30.0</v>
      </c>
      <c r="AB221" s="2">
        <v>30.0</v>
      </c>
      <c r="AC221" s="2">
        <f t="shared" si="5"/>
        <v>10.1</v>
      </c>
      <c r="AD221" s="2">
        <v>50.0</v>
      </c>
      <c r="AE221" s="2">
        <v>300.0</v>
      </c>
      <c r="AF221" s="2">
        <v>1.0</v>
      </c>
      <c r="AG221" s="3">
        <f t="shared" si="6"/>
        <v>10.1</v>
      </c>
      <c r="AH221" s="3">
        <f t="shared" si="7"/>
        <v>8.75</v>
      </c>
      <c r="AI221" s="4">
        <f t="shared" si="8"/>
        <v>86.53055556</v>
      </c>
    </row>
    <row r="222" hidden="1">
      <c r="A222" s="1" t="s">
        <v>671</v>
      </c>
      <c r="B222" s="1" t="s">
        <v>672</v>
      </c>
      <c r="C222" s="2" t="s">
        <v>6</v>
      </c>
      <c r="D222" s="2" t="s">
        <v>673</v>
      </c>
      <c r="E222" s="2">
        <f>VLOOKUP(B222, 'ME-Subhashree'!$B$2:$F$56,5)</f>
        <v>46</v>
      </c>
      <c r="F222" s="2">
        <v>36.0</v>
      </c>
      <c r="G222" s="2">
        <f t="shared" si="1"/>
        <v>41</v>
      </c>
      <c r="H222" s="2">
        <v>16.0</v>
      </c>
      <c r="I222" s="2">
        <v>18.5</v>
      </c>
      <c r="J222" s="2">
        <v>34.0</v>
      </c>
      <c r="K222" s="3">
        <f t="shared" si="2"/>
        <v>12.40277778</v>
      </c>
      <c r="L222" s="2">
        <v>90.0</v>
      </c>
      <c r="M222" s="2">
        <v>200.0</v>
      </c>
      <c r="O222" s="3">
        <f t="shared" si="3"/>
        <v>200</v>
      </c>
      <c r="P222" s="2">
        <v>100.0</v>
      </c>
      <c r="Q222" s="2">
        <f t="shared" si="4"/>
        <v>14.5</v>
      </c>
      <c r="R222" s="2">
        <v>6.0</v>
      </c>
      <c r="S222" s="2">
        <v>10.0</v>
      </c>
      <c r="T222" s="2">
        <v>15.0</v>
      </c>
      <c r="U222" s="2">
        <v>10.0</v>
      </c>
      <c r="V222" s="2">
        <v>12.0</v>
      </c>
      <c r="W222" s="2">
        <v>15.0</v>
      </c>
      <c r="X222" s="2">
        <v>20.0</v>
      </c>
      <c r="Y222" s="2">
        <v>30.0</v>
      </c>
      <c r="Z222" s="2">
        <v>28.0</v>
      </c>
      <c r="AA222" s="2">
        <v>30.0</v>
      </c>
      <c r="AB222" s="2">
        <v>30.0</v>
      </c>
      <c r="AC222" s="2">
        <f t="shared" si="5"/>
        <v>10.3</v>
      </c>
      <c r="AD222" s="2">
        <v>50.0</v>
      </c>
      <c r="AE222" s="2">
        <v>310.0</v>
      </c>
      <c r="AF222" s="2">
        <v>1.0</v>
      </c>
      <c r="AG222" s="3">
        <f t="shared" si="6"/>
        <v>10.3</v>
      </c>
      <c r="AH222" s="3">
        <f t="shared" si="7"/>
        <v>9</v>
      </c>
      <c r="AI222" s="4">
        <f t="shared" si="8"/>
        <v>87.20277778</v>
      </c>
    </row>
    <row r="223" hidden="1">
      <c r="A223" s="1" t="s">
        <v>674</v>
      </c>
      <c r="B223" s="1" t="s">
        <v>675</v>
      </c>
      <c r="C223" s="2" t="s">
        <v>25</v>
      </c>
      <c r="D223" s="2" t="s">
        <v>676</v>
      </c>
      <c r="E223" s="2">
        <f>VLOOKUP(B223, 'ME-Subhashree'!$B$2:$F$56,5)</f>
        <v>43</v>
      </c>
      <c r="F223" s="2">
        <v>22.0</v>
      </c>
      <c r="G223" s="2">
        <f t="shared" si="1"/>
        <v>32.5</v>
      </c>
      <c r="H223" s="2">
        <v>6.5</v>
      </c>
      <c r="I223" s="2">
        <v>15.0</v>
      </c>
      <c r="J223" s="2">
        <v>20.0</v>
      </c>
      <c r="K223" s="3">
        <f t="shared" si="2"/>
        <v>7.597222222</v>
      </c>
      <c r="L223" s="2">
        <v>85.0</v>
      </c>
      <c r="M223" s="2">
        <v>170.0</v>
      </c>
      <c r="N223" s="2">
        <v>190.0</v>
      </c>
      <c r="O223" s="3">
        <f t="shared" si="3"/>
        <v>190</v>
      </c>
      <c r="P223" s="2">
        <v>90.0</v>
      </c>
      <c r="Q223" s="2">
        <f t="shared" si="4"/>
        <v>13.5</v>
      </c>
      <c r="R223" s="2">
        <v>7.0</v>
      </c>
      <c r="S223" s="2">
        <v>5.0</v>
      </c>
      <c r="T223" s="2">
        <v>9.0</v>
      </c>
      <c r="U223" s="2">
        <v>0.0</v>
      </c>
      <c r="V223" s="2">
        <v>14.0</v>
      </c>
      <c r="W223" s="2">
        <v>15.0</v>
      </c>
      <c r="X223" s="2">
        <v>19.0</v>
      </c>
      <c r="Y223" s="2">
        <v>22.0</v>
      </c>
      <c r="Z223" s="2">
        <v>24.0</v>
      </c>
      <c r="AA223" s="2">
        <v>28.0</v>
      </c>
      <c r="AB223" s="2">
        <v>28.0</v>
      </c>
      <c r="AC223" s="2">
        <f t="shared" si="5"/>
        <v>8.55</v>
      </c>
      <c r="AD223" s="2">
        <v>40.0</v>
      </c>
      <c r="AE223" s="2">
        <v>320.0</v>
      </c>
      <c r="AF223" s="2">
        <v>1.0</v>
      </c>
      <c r="AG223" s="3">
        <f t="shared" si="6"/>
        <v>8.55</v>
      </c>
      <c r="AH223" s="3">
        <f t="shared" si="7"/>
        <v>9</v>
      </c>
      <c r="AI223" s="4">
        <f t="shared" si="8"/>
        <v>71.14722222</v>
      </c>
    </row>
    <row r="224" hidden="1">
      <c r="A224" s="1" t="s">
        <v>677</v>
      </c>
      <c r="B224" s="1" t="s">
        <v>678</v>
      </c>
      <c r="C224" s="2" t="s">
        <v>55</v>
      </c>
      <c r="D224" s="2" t="s">
        <v>679</v>
      </c>
      <c r="E224" s="2">
        <f>VLOOKUP(B224, 'ME-Subhashree'!$B$2:$F$56,5)</f>
        <v>27</v>
      </c>
      <c r="F224" s="2">
        <v>14.0</v>
      </c>
      <c r="G224" s="2">
        <f t="shared" si="1"/>
        <v>20.5</v>
      </c>
      <c r="H224" s="2">
        <v>2.0</v>
      </c>
      <c r="I224" s="2">
        <v>6.0</v>
      </c>
      <c r="J224" s="2">
        <v>27.0</v>
      </c>
      <c r="K224" s="3">
        <f t="shared" si="2"/>
        <v>5</v>
      </c>
      <c r="L224" s="2">
        <v>80.0</v>
      </c>
      <c r="M224" s="2">
        <v>140.0</v>
      </c>
      <c r="O224" s="3">
        <f t="shared" si="3"/>
        <v>140</v>
      </c>
      <c r="P224" s="2">
        <v>80.0</v>
      </c>
      <c r="Q224" s="2">
        <f t="shared" si="4"/>
        <v>11.5</v>
      </c>
      <c r="R224" s="2">
        <v>0.0</v>
      </c>
      <c r="S224" s="2">
        <v>10.0</v>
      </c>
      <c r="T224" s="2">
        <v>9.0</v>
      </c>
      <c r="U224" s="2">
        <v>5.0</v>
      </c>
      <c r="V224" s="2">
        <v>15.0</v>
      </c>
      <c r="W224" s="2">
        <v>13.0</v>
      </c>
      <c r="X224" s="2">
        <v>16.0</v>
      </c>
      <c r="Y224" s="2">
        <v>29.0</v>
      </c>
      <c r="Z224" s="2">
        <v>0.0</v>
      </c>
      <c r="AA224" s="2">
        <v>30.0</v>
      </c>
      <c r="AB224" s="2">
        <v>27.0</v>
      </c>
      <c r="AC224" s="2">
        <f t="shared" si="5"/>
        <v>7.7</v>
      </c>
      <c r="AD224" s="2">
        <v>0.0</v>
      </c>
      <c r="AE224" s="2">
        <v>250.0</v>
      </c>
      <c r="AF224" s="2">
        <v>1.0</v>
      </c>
      <c r="AG224" s="3">
        <f t="shared" si="6"/>
        <v>7.7</v>
      </c>
      <c r="AH224" s="3">
        <f t="shared" si="7"/>
        <v>6.25</v>
      </c>
      <c r="AI224" s="4">
        <f t="shared" si="8"/>
        <v>50.95</v>
      </c>
    </row>
    <row r="225" hidden="1">
      <c r="A225" s="1" t="s">
        <v>680</v>
      </c>
      <c r="B225" s="1" t="s">
        <v>681</v>
      </c>
      <c r="C225" s="2" t="s">
        <v>6</v>
      </c>
      <c r="D225" s="2" t="s">
        <v>682</v>
      </c>
      <c r="E225" s="2">
        <f>VLOOKUP(B225, 'ME-Subhashree'!$B$2:$F$56,5)</f>
        <v>41</v>
      </c>
      <c r="F225" s="2">
        <v>32.0</v>
      </c>
      <c r="G225" s="2">
        <f t="shared" si="1"/>
        <v>36.5</v>
      </c>
      <c r="H225" s="2">
        <v>9.0</v>
      </c>
      <c r="I225" s="2">
        <v>14.0</v>
      </c>
      <c r="J225" s="2">
        <v>36.0</v>
      </c>
      <c r="K225" s="3">
        <f t="shared" si="2"/>
        <v>9.75</v>
      </c>
      <c r="L225" s="2">
        <v>100.0</v>
      </c>
      <c r="M225" s="2">
        <v>190.0</v>
      </c>
      <c r="O225" s="3">
        <f t="shared" si="3"/>
        <v>190</v>
      </c>
      <c r="P225" s="2">
        <v>98.0</v>
      </c>
      <c r="Q225" s="2">
        <f t="shared" si="4"/>
        <v>14.65</v>
      </c>
      <c r="R225" s="2">
        <v>7.0</v>
      </c>
      <c r="S225" s="2">
        <v>8.0</v>
      </c>
      <c r="T225" s="2">
        <v>9.0</v>
      </c>
      <c r="U225" s="2">
        <v>15.0</v>
      </c>
      <c r="V225" s="2">
        <v>15.0</v>
      </c>
      <c r="W225" s="2">
        <v>14.0</v>
      </c>
      <c r="X225" s="2">
        <v>20.0</v>
      </c>
      <c r="Y225" s="2">
        <v>29.0</v>
      </c>
      <c r="Z225" s="2">
        <v>27.0</v>
      </c>
      <c r="AA225" s="2">
        <v>29.0</v>
      </c>
      <c r="AB225" s="2">
        <v>28.0</v>
      </c>
      <c r="AC225" s="2">
        <f t="shared" si="5"/>
        <v>10.05</v>
      </c>
      <c r="AD225" s="2">
        <v>50.0</v>
      </c>
      <c r="AE225" s="2">
        <v>300.0</v>
      </c>
      <c r="AF225" s="2">
        <v>1.0</v>
      </c>
      <c r="AG225" s="3">
        <f t="shared" si="6"/>
        <v>10.05</v>
      </c>
      <c r="AH225" s="3">
        <f t="shared" si="7"/>
        <v>8.75</v>
      </c>
      <c r="AI225" s="4">
        <f t="shared" si="8"/>
        <v>79.7</v>
      </c>
    </row>
    <row r="226" hidden="1">
      <c r="A226" s="1" t="s">
        <v>683</v>
      </c>
      <c r="B226" s="1" t="s">
        <v>684</v>
      </c>
      <c r="C226" s="2" t="s">
        <v>2</v>
      </c>
      <c r="D226" s="2" t="s">
        <v>685</v>
      </c>
      <c r="E226" s="2">
        <f>VLOOKUP(B226, 'ME-Subhashree'!$B$2:$F$56,5)</f>
        <v>45</v>
      </c>
      <c r="F226" s="2">
        <v>24.0</v>
      </c>
      <c r="G226" s="2">
        <f t="shared" si="1"/>
        <v>34.5</v>
      </c>
      <c r="H226" s="2">
        <v>13.0</v>
      </c>
      <c r="I226" s="2">
        <v>13.0</v>
      </c>
      <c r="J226" s="2">
        <v>34.0</v>
      </c>
      <c r="K226" s="3">
        <f t="shared" si="2"/>
        <v>10.27777778</v>
      </c>
      <c r="L226" s="2">
        <v>100.0</v>
      </c>
      <c r="M226" s="2">
        <v>200.0</v>
      </c>
      <c r="O226" s="3">
        <f t="shared" si="3"/>
        <v>200</v>
      </c>
      <c r="P226" s="2">
        <v>95.0</v>
      </c>
      <c r="Q226" s="2">
        <f t="shared" si="4"/>
        <v>14.75</v>
      </c>
      <c r="R226" s="2">
        <v>7.0</v>
      </c>
      <c r="S226" s="2">
        <v>8.0</v>
      </c>
      <c r="T226" s="2">
        <v>9.0</v>
      </c>
      <c r="U226" s="2">
        <v>10.0</v>
      </c>
      <c r="V226" s="2">
        <v>15.0</v>
      </c>
      <c r="W226" s="2">
        <v>14.0</v>
      </c>
      <c r="X226" s="2">
        <v>19.0</v>
      </c>
      <c r="Y226" s="2">
        <v>30.0</v>
      </c>
      <c r="Z226" s="2">
        <v>30.0</v>
      </c>
      <c r="AA226" s="2">
        <v>29.0</v>
      </c>
      <c r="AB226" s="2">
        <v>29.0</v>
      </c>
      <c r="AC226" s="2">
        <f t="shared" si="5"/>
        <v>10</v>
      </c>
      <c r="AD226" s="2">
        <v>50.0</v>
      </c>
      <c r="AE226" s="2">
        <v>300.0</v>
      </c>
      <c r="AF226" s="2">
        <v>1.0</v>
      </c>
      <c r="AG226" s="3">
        <f t="shared" si="6"/>
        <v>10</v>
      </c>
      <c r="AH226" s="3">
        <f t="shared" si="7"/>
        <v>8.75</v>
      </c>
      <c r="AI226" s="4">
        <f t="shared" si="8"/>
        <v>78.27777778</v>
      </c>
    </row>
    <row r="227" hidden="1">
      <c r="A227" s="1" t="s">
        <v>686</v>
      </c>
      <c r="B227" s="1" t="s">
        <v>687</v>
      </c>
      <c r="C227" s="2" t="s">
        <v>55</v>
      </c>
      <c r="D227" s="2" t="s">
        <v>688</v>
      </c>
      <c r="E227" s="2">
        <f>VLOOKUP(B227, 'ME-Subhashree'!$B$2:$F$56,5)</f>
        <v>24</v>
      </c>
      <c r="F227" s="2">
        <v>15.0</v>
      </c>
      <c r="G227" s="2">
        <f t="shared" si="1"/>
        <v>19.5</v>
      </c>
      <c r="H227" s="2">
        <v>2.0</v>
      </c>
      <c r="I227" s="2">
        <v>9.5</v>
      </c>
      <c r="J227" s="2">
        <v>18.0</v>
      </c>
      <c r="K227" s="3">
        <f t="shared" si="2"/>
        <v>4.875</v>
      </c>
      <c r="L227" s="2">
        <v>80.0</v>
      </c>
      <c r="M227" s="2">
        <v>155.0</v>
      </c>
      <c r="O227" s="3">
        <f t="shared" si="3"/>
        <v>155</v>
      </c>
      <c r="P227" s="2">
        <v>98.0</v>
      </c>
      <c r="Q227" s="2">
        <f t="shared" si="4"/>
        <v>12.775</v>
      </c>
      <c r="R227" s="2">
        <v>5.0</v>
      </c>
      <c r="S227" s="2">
        <v>5.0</v>
      </c>
      <c r="T227" s="2">
        <v>12.0</v>
      </c>
      <c r="U227" s="2">
        <v>12.0</v>
      </c>
      <c r="V227" s="2">
        <v>15.0</v>
      </c>
      <c r="W227" s="2">
        <v>12.0</v>
      </c>
      <c r="X227" s="2">
        <v>20.0</v>
      </c>
      <c r="Y227" s="2">
        <v>22.0</v>
      </c>
      <c r="Z227" s="2">
        <v>17.0</v>
      </c>
      <c r="AA227" s="2">
        <v>29.0</v>
      </c>
      <c r="AB227" s="2">
        <v>28.0</v>
      </c>
      <c r="AC227" s="2">
        <f t="shared" si="5"/>
        <v>8.85</v>
      </c>
      <c r="AD227" s="2">
        <v>50.0</v>
      </c>
      <c r="AE227" s="2">
        <v>250.0</v>
      </c>
      <c r="AF227" s="2">
        <v>1.0</v>
      </c>
      <c r="AG227" s="3">
        <f t="shared" si="6"/>
        <v>8.85</v>
      </c>
      <c r="AH227" s="3">
        <f t="shared" si="7"/>
        <v>7.5</v>
      </c>
      <c r="AI227" s="4">
        <f t="shared" si="8"/>
        <v>53.5</v>
      </c>
    </row>
    <row r="228" hidden="1">
      <c r="A228" s="1" t="s">
        <v>689</v>
      </c>
      <c r="B228" s="1" t="s">
        <v>690</v>
      </c>
      <c r="C228" s="2" t="s">
        <v>32</v>
      </c>
      <c r="D228" s="2" t="s">
        <v>691</v>
      </c>
      <c r="E228" s="2">
        <f>VLOOKUP(B228, 'ME-Subhashree'!$B$2:$F$56,5)</f>
        <v>25</v>
      </c>
      <c r="F228" s="2">
        <v>13.0</v>
      </c>
      <c r="G228" s="2">
        <f t="shared" si="1"/>
        <v>19</v>
      </c>
      <c r="H228" s="2">
        <v>6.0</v>
      </c>
      <c r="I228" s="2">
        <v>13.0</v>
      </c>
      <c r="J228" s="2">
        <v>36.0</v>
      </c>
      <c r="K228" s="3">
        <f t="shared" si="2"/>
        <v>8.75</v>
      </c>
      <c r="L228" s="2">
        <v>100.0</v>
      </c>
      <c r="M228" s="2">
        <v>200.0</v>
      </c>
      <c r="O228" s="3">
        <f t="shared" si="3"/>
        <v>200</v>
      </c>
      <c r="P228" s="2">
        <v>80.0</v>
      </c>
      <c r="Q228" s="2">
        <f t="shared" si="4"/>
        <v>14</v>
      </c>
      <c r="R228" s="2">
        <v>0.0</v>
      </c>
      <c r="S228" s="2">
        <v>8.0</v>
      </c>
      <c r="T228" s="2">
        <v>15.0</v>
      </c>
      <c r="U228" s="2">
        <v>12.0</v>
      </c>
      <c r="V228" s="2">
        <v>15.0</v>
      </c>
      <c r="W228" s="2">
        <v>10.0</v>
      </c>
      <c r="X228" s="2">
        <v>20.0</v>
      </c>
      <c r="Y228" s="2">
        <v>30.0</v>
      </c>
      <c r="Z228" s="2">
        <v>30.0</v>
      </c>
      <c r="AA228" s="2">
        <v>30.0</v>
      </c>
      <c r="AB228" s="2">
        <v>29.0</v>
      </c>
      <c r="AC228" s="2">
        <f t="shared" si="5"/>
        <v>9.95</v>
      </c>
      <c r="AD228" s="2">
        <v>50.0</v>
      </c>
      <c r="AE228" s="2">
        <v>340.0</v>
      </c>
      <c r="AF228" s="2">
        <v>1.0</v>
      </c>
      <c r="AG228" s="3">
        <f t="shared" si="6"/>
        <v>9.95</v>
      </c>
      <c r="AH228" s="3">
        <f t="shared" si="7"/>
        <v>9.75</v>
      </c>
      <c r="AI228" s="4">
        <f t="shared" si="8"/>
        <v>61.45</v>
      </c>
    </row>
    <row r="229" hidden="1">
      <c r="A229" s="1" t="s">
        <v>692</v>
      </c>
      <c r="B229" s="1" t="s">
        <v>693</v>
      </c>
      <c r="C229" s="2" t="s">
        <v>2</v>
      </c>
      <c r="D229" s="2" t="s">
        <v>694</v>
      </c>
      <c r="E229" s="2">
        <f>VLOOKUP(B229, 'ME-Subhashree'!$B$2:$F$56,5)</f>
        <v>37</v>
      </c>
      <c r="F229" s="2">
        <v>27.0</v>
      </c>
      <c r="G229" s="2">
        <f t="shared" si="1"/>
        <v>32</v>
      </c>
      <c r="H229" s="2">
        <v>14.0</v>
      </c>
      <c r="I229" s="2">
        <v>12.5</v>
      </c>
      <c r="J229" s="2">
        <v>25.0</v>
      </c>
      <c r="K229" s="3">
        <f t="shared" si="2"/>
        <v>9.402777778</v>
      </c>
      <c r="L229" s="2">
        <v>100.0</v>
      </c>
      <c r="M229" s="2">
        <v>200.0</v>
      </c>
      <c r="O229" s="3">
        <f t="shared" si="3"/>
        <v>200</v>
      </c>
      <c r="P229" s="2">
        <v>80.0</v>
      </c>
      <c r="Q229" s="2">
        <f t="shared" si="4"/>
        <v>14</v>
      </c>
      <c r="R229" s="2">
        <v>7.0</v>
      </c>
      <c r="S229" s="2">
        <v>10.0</v>
      </c>
      <c r="T229" s="2">
        <v>10.0</v>
      </c>
      <c r="U229" s="2">
        <v>10.0</v>
      </c>
      <c r="V229" s="2">
        <v>15.0</v>
      </c>
      <c r="W229" s="2">
        <v>15.0</v>
      </c>
      <c r="X229" s="2">
        <v>20.0</v>
      </c>
      <c r="Y229" s="2">
        <v>25.0</v>
      </c>
      <c r="Z229" s="2">
        <v>30.0</v>
      </c>
      <c r="AA229" s="2">
        <v>29.0</v>
      </c>
      <c r="AB229" s="2">
        <v>29.0</v>
      </c>
      <c r="AC229" s="2">
        <f t="shared" si="5"/>
        <v>10</v>
      </c>
      <c r="AD229" s="2">
        <v>30.0</v>
      </c>
      <c r="AE229" s="2">
        <v>320.0</v>
      </c>
      <c r="AF229" s="2">
        <v>1.0</v>
      </c>
      <c r="AG229" s="3">
        <f t="shared" si="6"/>
        <v>10</v>
      </c>
      <c r="AH229" s="3">
        <f t="shared" si="7"/>
        <v>8.75</v>
      </c>
      <c r="AI229" s="4">
        <f t="shared" si="8"/>
        <v>74.15277778</v>
      </c>
    </row>
    <row r="230">
      <c r="A230" s="1" t="s">
        <v>695</v>
      </c>
      <c r="B230" s="1" t="s">
        <v>696</v>
      </c>
      <c r="C230" s="2" t="s">
        <v>96</v>
      </c>
      <c r="D230" s="2" t="s">
        <v>697</v>
      </c>
      <c r="E230" s="2">
        <v>18.0</v>
      </c>
      <c r="F230" s="2">
        <v>7.0</v>
      </c>
      <c r="G230" s="2">
        <f t="shared" si="1"/>
        <v>12.5</v>
      </c>
      <c r="H230" s="2">
        <v>5.0</v>
      </c>
      <c r="I230" s="2">
        <v>0.0</v>
      </c>
      <c r="J230" s="2">
        <v>40.0</v>
      </c>
      <c r="K230" s="3">
        <f t="shared" si="2"/>
        <v>5.694444444</v>
      </c>
      <c r="L230" s="2">
        <v>100.0</v>
      </c>
      <c r="M230" s="2">
        <v>125.0</v>
      </c>
      <c r="O230" s="3">
        <f t="shared" si="3"/>
        <v>125</v>
      </c>
      <c r="P230" s="2">
        <v>0.0</v>
      </c>
      <c r="Q230" s="2">
        <f t="shared" si="4"/>
        <v>8.125</v>
      </c>
      <c r="R230" s="2">
        <v>7.0</v>
      </c>
      <c r="S230" s="2">
        <v>7.0</v>
      </c>
      <c r="T230" s="2">
        <v>15.0</v>
      </c>
      <c r="U230" s="2">
        <v>15.0</v>
      </c>
      <c r="V230" s="2">
        <v>15.0</v>
      </c>
      <c r="W230" s="2">
        <v>13.0</v>
      </c>
      <c r="X230" s="2">
        <v>20.0</v>
      </c>
      <c r="Y230" s="2">
        <v>0.0</v>
      </c>
      <c r="Z230" s="2">
        <v>0.0</v>
      </c>
      <c r="AA230" s="2">
        <v>29.0</v>
      </c>
      <c r="AB230" s="2">
        <v>27.0</v>
      </c>
      <c r="AC230" s="2">
        <f t="shared" si="5"/>
        <v>7.4</v>
      </c>
      <c r="AD230" s="2">
        <v>50.0</v>
      </c>
      <c r="AE230" s="2">
        <v>320.0</v>
      </c>
      <c r="AF230" s="2">
        <v>1.0</v>
      </c>
      <c r="AG230" s="3">
        <f t="shared" si="6"/>
        <v>7.4</v>
      </c>
      <c r="AH230" s="3">
        <f t="shared" si="7"/>
        <v>9.25</v>
      </c>
      <c r="AI230" s="4">
        <f t="shared" si="8"/>
        <v>42.96944444</v>
      </c>
      <c r="AJ230" s="2" t="s">
        <v>59</v>
      </c>
    </row>
    <row r="231" hidden="1">
      <c r="A231" s="1" t="s">
        <v>698</v>
      </c>
      <c r="B231" s="1" t="s">
        <v>699</v>
      </c>
      <c r="C231" s="2" t="s">
        <v>55</v>
      </c>
      <c r="D231" s="2" t="s">
        <v>700</v>
      </c>
      <c r="E231" s="2">
        <f>VLOOKUP(B231, 'ME-Subhashree'!$B$2:$F$56,5)</f>
        <v>27</v>
      </c>
      <c r="F231" s="2">
        <v>21.0</v>
      </c>
      <c r="G231" s="2">
        <f t="shared" si="1"/>
        <v>24</v>
      </c>
      <c r="H231" s="2">
        <v>7.0</v>
      </c>
      <c r="I231" s="2">
        <v>10.0</v>
      </c>
      <c r="J231" s="2">
        <v>29.0</v>
      </c>
      <c r="K231" s="3">
        <f t="shared" si="2"/>
        <v>7.472222222</v>
      </c>
      <c r="L231" s="2">
        <v>80.0</v>
      </c>
      <c r="M231" s="2">
        <v>150.0</v>
      </c>
      <c r="O231" s="3">
        <f t="shared" si="3"/>
        <v>150</v>
      </c>
      <c r="P231" s="2">
        <v>0.0</v>
      </c>
      <c r="Q231" s="2">
        <f t="shared" si="4"/>
        <v>7.75</v>
      </c>
      <c r="R231" s="2">
        <v>6.0</v>
      </c>
      <c r="S231" s="2">
        <v>5.0</v>
      </c>
      <c r="T231" s="2">
        <v>14.0</v>
      </c>
      <c r="U231" s="2">
        <v>10.0</v>
      </c>
      <c r="V231" s="2">
        <v>15.0</v>
      </c>
      <c r="W231" s="2">
        <v>14.0</v>
      </c>
      <c r="X231" s="2">
        <v>20.0</v>
      </c>
      <c r="Y231" s="2">
        <v>30.0</v>
      </c>
      <c r="Z231" s="2">
        <v>28.0</v>
      </c>
      <c r="AA231" s="2">
        <v>27.0</v>
      </c>
      <c r="AB231" s="2">
        <v>29.0</v>
      </c>
      <c r="AC231" s="2">
        <f t="shared" si="5"/>
        <v>9.9</v>
      </c>
      <c r="AD231" s="2">
        <v>50.0</v>
      </c>
      <c r="AE231" s="2">
        <v>50.0</v>
      </c>
      <c r="AF231" s="2">
        <v>1.0</v>
      </c>
      <c r="AG231" s="3">
        <f t="shared" si="6"/>
        <v>9.9</v>
      </c>
      <c r="AH231" s="3">
        <f t="shared" si="7"/>
        <v>2.5</v>
      </c>
      <c r="AI231" s="4">
        <f t="shared" si="8"/>
        <v>51.62222222</v>
      </c>
    </row>
    <row r="232" hidden="1">
      <c r="A232" s="1" t="s">
        <v>701</v>
      </c>
      <c r="B232" s="1" t="s">
        <v>702</v>
      </c>
      <c r="C232" s="2" t="s">
        <v>55</v>
      </c>
      <c r="D232" s="2" t="s">
        <v>703</v>
      </c>
      <c r="E232" s="2">
        <f>VLOOKUP(B232, 'ME-Subhashree'!$B$2:$F$56,5)</f>
        <v>32</v>
      </c>
      <c r="F232" s="2">
        <v>20.0</v>
      </c>
      <c r="G232" s="2">
        <f t="shared" si="1"/>
        <v>26</v>
      </c>
      <c r="H232" s="2">
        <v>3.0</v>
      </c>
      <c r="I232" s="2">
        <v>2.0</v>
      </c>
      <c r="J232" s="2">
        <v>16.0</v>
      </c>
      <c r="K232" s="3">
        <f t="shared" si="2"/>
        <v>3.027777778</v>
      </c>
      <c r="L232" s="2">
        <v>100.0</v>
      </c>
      <c r="N232" s="2">
        <v>170.0</v>
      </c>
      <c r="O232" s="3">
        <f t="shared" si="3"/>
        <v>170</v>
      </c>
      <c r="P232" s="2">
        <v>0.0</v>
      </c>
      <c r="Q232" s="2">
        <f t="shared" si="4"/>
        <v>9.25</v>
      </c>
      <c r="R232" s="2">
        <v>7.0</v>
      </c>
      <c r="S232" s="2">
        <v>1.0</v>
      </c>
      <c r="T232" s="2">
        <v>15.0</v>
      </c>
      <c r="U232" s="2">
        <v>10.0</v>
      </c>
      <c r="V232" s="2">
        <v>15.0</v>
      </c>
      <c r="W232" s="2">
        <v>13.0</v>
      </c>
      <c r="X232" s="2">
        <v>20.0</v>
      </c>
      <c r="Y232" s="2">
        <v>0.0</v>
      </c>
      <c r="Z232" s="2">
        <v>0.0</v>
      </c>
      <c r="AA232" s="2">
        <v>30.0</v>
      </c>
      <c r="AB232" s="2">
        <v>27.0</v>
      </c>
      <c r="AC232" s="2">
        <f t="shared" si="5"/>
        <v>6.9</v>
      </c>
      <c r="AD232" s="2">
        <v>0.0</v>
      </c>
      <c r="AE232" s="2">
        <v>330.0</v>
      </c>
      <c r="AF232" s="2">
        <v>1.0</v>
      </c>
      <c r="AG232" s="3">
        <f t="shared" si="6"/>
        <v>6.9</v>
      </c>
      <c r="AH232" s="3">
        <f t="shared" si="7"/>
        <v>8.25</v>
      </c>
      <c r="AI232" s="4">
        <f t="shared" si="8"/>
        <v>53.42777778</v>
      </c>
    </row>
    <row r="233" hidden="1">
      <c r="A233" s="1" t="s">
        <v>704</v>
      </c>
      <c r="B233" s="1" t="s">
        <v>705</v>
      </c>
      <c r="C233" s="2" t="s">
        <v>25</v>
      </c>
      <c r="D233" s="2" t="s">
        <v>706</v>
      </c>
      <c r="E233" s="2">
        <f>VLOOKUP(B233, 'ME-Subhashree'!$B$2:$F$56,5)</f>
        <v>31</v>
      </c>
      <c r="F233" s="2">
        <v>19.0</v>
      </c>
      <c r="G233" s="2">
        <f t="shared" si="1"/>
        <v>25</v>
      </c>
      <c r="H233" s="2">
        <v>8.0</v>
      </c>
      <c r="I233" s="2">
        <v>16.0</v>
      </c>
      <c r="J233" s="2">
        <v>16.0</v>
      </c>
      <c r="K233" s="3">
        <f t="shared" si="2"/>
        <v>7.777777778</v>
      </c>
      <c r="L233" s="2">
        <v>100.0</v>
      </c>
      <c r="M233" s="2">
        <v>180.0</v>
      </c>
      <c r="N233" s="2">
        <v>160.0</v>
      </c>
      <c r="O233" s="3">
        <f t="shared" si="3"/>
        <v>180</v>
      </c>
      <c r="P233" s="2">
        <v>100.0</v>
      </c>
      <c r="Q233" s="2">
        <f t="shared" si="4"/>
        <v>14.5</v>
      </c>
      <c r="R233" s="2">
        <v>7.0</v>
      </c>
      <c r="S233" s="2">
        <v>4.0</v>
      </c>
      <c r="T233" s="2">
        <v>12.0</v>
      </c>
      <c r="U233" s="2">
        <v>15.0</v>
      </c>
      <c r="V233" s="2">
        <v>15.0</v>
      </c>
      <c r="W233" s="2">
        <v>14.0</v>
      </c>
      <c r="X233" s="2">
        <v>20.0</v>
      </c>
      <c r="Y233" s="2">
        <v>30.0</v>
      </c>
      <c r="Z233" s="2">
        <v>30.0</v>
      </c>
      <c r="AA233" s="2">
        <v>29.0</v>
      </c>
      <c r="AB233" s="2">
        <v>29.0</v>
      </c>
      <c r="AC233" s="2">
        <f t="shared" si="5"/>
        <v>10.25</v>
      </c>
      <c r="AD233" s="2">
        <v>30.0</v>
      </c>
      <c r="AE233" s="2">
        <v>340.0</v>
      </c>
      <c r="AF233" s="2">
        <v>1.0</v>
      </c>
      <c r="AG233" s="3">
        <f t="shared" si="6"/>
        <v>10.25</v>
      </c>
      <c r="AH233" s="3">
        <f t="shared" si="7"/>
        <v>9.25</v>
      </c>
      <c r="AI233" s="4">
        <f t="shared" si="8"/>
        <v>66.77777778</v>
      </c>
    </row>
    <row r="234" hidden="1">
      <c r="A234" s="1" t="s">
        <v>707</v>
      </c>
      <c r="B234" s="1" t="s">
        <v>708</v>
      </c>
      <c r="C234" s="2" t="s">
        <v>6</v>
      </c>
      <c r="D234" s="2" t="s">
        <v>709</v>
      </c>
      <c r="E234" s="2">
        <f>VLOOKUP(B234, 'ME-Subhashree'!$B$2:$F$56,5)</f>
        <v>40</v>
      </c>
      <c r="F234" s="2">
        <v>34.0</v>
      </c>
      <c r="G234" s="2">
        <f t="shared" si="1"/>
        <v>37</v>
      </c>
      <c r="H234" s="2">
        <v>9.0</v>
      </c>
      <c r="I234" s="2">
        <v>18.5</v>
      </c>
      <c r="J234" s="2">
        <v>45.0</v>
      </c>
      <c r="K234" s="3">
        <f t="shared" si="2"/>
        <v>11.875</v>
      </c>
      <c r="L234" s="2">
        <v>100.0</v>
      </c>
      <c r="M234" s="2">
        <v>200.0</v>
      </c>
      <c r="O234" s="3">
        <f t="shared" si="3"/>
        <v>200</v>
      </c>
      <c r="P234" s="2">
        <v>100.0</v>
      </c>
      <c r="Q234" s="2">
        <f t="shared" si="4"/>
        <v>15</v>
      </c>
      <c r="R234" s="2">
        <v>7.0</v>
      </c>
      <c r="S234" s="2">
        <v>10.0</v>
      </c>
      <c r="T234" s="2">
        <v>15.0</v>
      </c>
      <c r="U234" s="2">
        <v>15.0</v>
      </c>
      <c r="V234" s="2">
        <v>15.0</v>
      </c>
      <c r="W234" s="2">
        <v>15.0</v>
      </c>
      <c r="X234" s="2">
        <v>20.0</v>
      </c>
      <c r="Y234" s="2">
        <v>30.0</v>
      </c>
      <c r="Z234" s="2">
        <v>30.0</v>
      </c>
      <c r="AA234" s="2">
        <v>30.0</v>
      </c>
      <c r="AB234" s="2">
        <v>30.0</v>
      </c>
      <c r="AC234" s="2">
        <f t="shared" si="5"/>
        <v>10.85</v>
      </c>
      <c r="AD234" s="2">
        <v>20.0</v>
      </c>
      <c r="AE234" s="2">
        <v>330.0</v>
      </c>
      <c r="AF234" s="2">
        <v>1.0</v>
      </c>
      <c r="AG234" s="3">
        <f t="shared" si="6"/>
        <v>10.85</v>
      </c>
      <c r="AH234" s="3">
        <f t="shared" si="7"/>
        <v>8.75</v>
      </c>
      <c r="AI234" s="4">
        <f t="shared" si="8"/>
        <v>83.475</v>
      </c>
    </row>
    <row r="235" hidden="1">
      <c r="A235" s="1" t="s">
        <v>710</v>
      </c>
      <c r="B235" s="1" t="s">
        <v>711</v>
      </c>
      <c r="C235" s="2" t="s">
        <v>25</v>
      </c>
      <c r="D235" s="2" t="s">
        <v>712</v>
      </c>
      <c r="E235" s="2">
        <f>VLOOKUP(B235, 'ME-Subhashree'!$B$2:$F$56,5)</f>
        <v>39</v>
      </c>
      <c r="F235" s="2">
        <v>21.0</v>
      </c>
      <c r="G235" s="2">
        <f t="shared" si="1"/>
        <v>30</v>
      </c>
      <c r="H235" s="2">
        <v>9.0</v>
      </c>
      <c r="I235" s="2">
        <v>8.0</v>
      </c>
      <c r="J235" s="2">
        <v>16.0</v>
      </c>
      <c r="K235" s="3">
        <f t="shared" si="2"/>
        <v>6.027777778</v>
      </c>
      <c r="L235" s="2">
        <v>100.0</v>
      </c>
      <c r="M235" s="2">
        <v>150.0</v>
      </c>
      <c r="O235" s="3">
        <f t="shared" si="3"/>
        <v>150</v>
      </c>
      <c r="P235" s="2">
        <v>100.0</v>
      </c>
      <c r="Q235" s="2">
        <f t="shared" si="4"/>
        <v>13.75</v>
      </c>
      <c r="R235" s="2">
        <v>4.0</v>
      </c>
      <c r="S235" s="2">
        <v>2.0</v>
      </c>
      <c r="T235" s="2">
        <v>12.0</v>
      </c>
      <c r="U235" s="2">
        <v>15.0</v>
      </c>
      <c r="V235" s="2">
        <v>15.0</v>
      </c>
      <c r="W235" s="2">
        <v>10.0</v>
      </c>
      <c r="X235" s="2">
        <v>20.0</v>
      </c>
      <c r="Y235" s="2">
        <v>30.0</v>
      </c>
      <c r="Z235" s="2">
        <v>30.0</v>
      </c>
      <c r="AA235" s="2">
        <v>29.0</v>
      </c>
      <c r="AB235" s="2">
        <v>29.0</v>
      </c>
      <c r="AC235" s="2">
        <f t="shared" si="5"/>
        <v>9.8</v>
      </c>
      <c r="AD235" s="2">
        <v>50.0</v>
      </c>
      <c r="AE235" s="2">
        <v>340.0</v>
      </c>
      <c r="AF235" s="2">
        <v>1.0</v>
      </c>
      <c r="AG235" s="3">
        <f t="shared" si="6"/>
        <v>9.8</v>
      </c>
      <c r="AH235" s="3">
        <f t="shared" si="7"/>
        <v>9.75</v>
      </c>
      <c r="AI235" s="4">
        <f t="shared" si="8"/>
        <v>69.32777778</v>
      </c>
    </row>
    <row r="236" hidden="1">
      <c r="A236" s="1" t="s">
        <v>713</v>
      </c>
      <c r="B236" s="1" t="s">
        <v>714</v>
      </c>
      <c r="C236" s="2" t="s">
        <v>2</v>
      </c>
      <c r="D236" s="2" t="s">
        <v>715</v>
      </c>
      <c r="E236" s="2">
        <f>VLOOKUP(B236, 'ME-Subhashree'!$B$2:$F$56,5)</f>
        <v>35</v>
      </c>
      <c r="F236" s="2">
        <v>30.0</v>
      </c>
      <c r="G236" s="2">
        <f t="shared" si="1"/>
        <v>32.5</v>
      </c>
      <c r="H236" s="2">
        <v>9.0</v>
      </c>
      <c r="I236" s="2">
        <v>17.0</v>
      </c>
      <c r="J236" s="2">
        <v>45.0</v>
      </c>
      <c r="K236" s="3">
        <f t="shared" si="2"/>
        <v>11.5</v>
      </c>
      <c r="L236" s="2">
        <v>100.0</v>
      </c>
      <c r="M236" s="2">
        <v>150.0</v>
      </c>
      <c r="O236" s="3">
        <f t="shared" si="3"/>
        <v>150</v>
      </c>
      <c r="P236" s="2">
        <v>100.0</v>
      </c>
      <c r="Q236" s="2">
        <f t="shared" si="4"/>
        <v>13.75</v>
      </c>
      <c r="R236" s="2">
        <v>7.0</v>
      </c>
      <c r="S236" s="2">
        <v>5.0</v>
      </c>
      <c r="T236" s="2">
        <v>13.0</v>
      </c>
      <c r="U236" s="2">
        <v>10.0</v>
      </c>
      <c r="V236" s="2">
        <v>15.0</v>
      </c>
      <c r="W236" s="2">
        <v>15.0</v>
      </c>
      <c r="X236" s="2">
        <v>20.0</v>
      </c>
      <c r="Y236" s="2">
        <v>30.0</v>
      </c>
      <c r="Z236" s="2">
        <v>30.0</v>
      </c>
      <c r="AA236" s="2">
        <v>29.0</v>
      </c>
      <c r="AB236" s="2">
        <v>28.0</v>
      </c>
      <c r="AC236" s="2">
        <f t="shared" si="5"/>
        <v>10.1</v>
      </c>
      <c r="AD236" s="2">
        <v>30.0</v>
      </c>
      <c r="AE236" s="2">
        <v>340.0</v>
      </c>
      <c r="AF236" s="2">
        <v>1.0</v>
      </c>
      <c r="AG236" s="3">
        <f t="shared" si="6"/>
        <v>10.1</v>
      </c>
      <c r="AH236" s="3">
        <f t="shared" si="7"/>
        <v>9.25</v>
      </c>
      <c r="AI236" s="4">
        <f t="shared" si="8"/>
        <v>77.1</v>
      </c>
    </row>
    <row r="237" hidden="1">
      <c r="A237" s="1" t="s">
        <v>716</v>
      </c>
      <c r="B237" s="1" t="s">
        <v>717</v>
      </c>
      <c r="C237" s="2" t="s">
        <v>2</v>
      </c>
      <c r="D237" s="2" t="s">
        <v>718</v>
      </c>
      <c r="E237" s="2">
        <f>VLOOKUP(B237, 'ME-Subhashree'!$B$2:$F$56,5)</f>
        <v>39</v>
      </c>
      <c r="F237" s="2">
        <v>28.0</v>
      </c>
      <c r="G237" s="2">
        <f t="shared" si="1"/>
        <v>33.5</v>
      </c>
      <c r="H237" s="2">
        <v>7.0</v>
      </c>
      <c r="I237" s="2">
        <v>15.5</v>
      </c>
      <c r="J237" s="2">
        <v>29.0</v>
      </c>
      <c r="K237" s="3">
        <f t="shared" si="2"/>
        <v>8.847222222</v>
      </c>
      <c r="L237" s="2">
        <v>100.0</v>
      </c>
      <c r="M237" s="2">
        <v>200.0</v>
      </c>
      <c r="O237" s="3">
        <f t="shared" si="3"/>
        <v>200</v>
      </c>
      <c r="P237" s="2">
        <v>80.0</v>
      </c>
      <c r="Q237" s="2">
        <f t="shared" si="4"/>
        <v>14</v>
      </c>
      <c r="R237" s="2">
        <v>7.0</v>
      </c>
      <c r="S237" s="2">
        <v>4.0</v>
      </c>
      <c r="T237" s="2">
        <v>15.0</v>
      </c>
      <c r="U237" s="2">
        <v>15.0</v>
      </c>
      <c r="V237" s="2">
        <v>15.0</v>
      </c>
      <c r="W237" s="2">
        <v>15.0</v>
      </c>
      <c r="X237" s="2">
        <v>20.0</v>
      </c>
      <c r="Y237" s="2">
        <v>25.0</v>
      </c>
      <c r="Z237" s="2">
        <v>30.0</v>
      </c>
      <c r="AA237" s="2">
        <v>29.0</v>
      </c>
      <c r="AB237" s="2">
        <v>27.0</v>
      </c>
      <c r="AC237" s="2">
        <f t="shared" si="5"/>
        <v>10.1</v>
      </c>
      <c r="AD237" s="2">
        <v>30.0</v>
      </c>
      <c r="AE237" s="2">
        <v>330.0</v>
      </c>
      <c r="AF237" s="2">
        <v>1.0</v>
      </c>
      <c r="AG237" s="3">
        <f t="shared" si="6"/>
        <v>10.1</v>
      </c>
      <c r="AH237" s="3">
        <f t="shared" si="7"/>
        <v>9</v>
      </c>
      <c r="AI237" s="4">
        <f t="shared" si="8"/>
        <v>75.44722222</v>
      </c>
    </row>
    <row r="238" hidden="1">
      <c r="A238" s="1" t="s">
        <v>719</v>
      </c>
      <c r="B238" s="1" t="s">
        <v>720</v>
      </c>
      <c r="C238" s="2" t="s">
        <v>25</v>
      </c>
      <c r="D238" s="2" t="s">
        <v>721</v>
      </c>
      <c r="E238" s="2">
        <f>VLOOKUP(B238, 'ME-Subhashree'!$B$2:$F$56,5)</f>
        <v>38</v>
      </c>
      <c r="F238" s="2">
        <v>19.0</v>
      </c>
      <c r="G238" s="2">
        <f t="shared" si="1"/>
        <v>28.5</v>
      </c>
      <c r="H238" s="2">
        <v>8.5</v>
      </c>
      <c r="I238" s="2">
        <v>15.5</v>
      </c>
      <c r="J238" s="2">
        <v>31.0</v>
      </c>
      <c r="K238" s="3">
        <f t="shared" si="2"/>
        <v>9.444444444</v>
      </c>
      <c r="L238" s="2">
        <v>100.0</v>
      </c>
      <c r="M238" s="2">
        <v>150.0</v>
      </c>
      <c r="O238" s="3">
        <f t="shared" si="3"/>
        <v>150</v>
      </c>
      <c r="P238" s="2">
        <v>100.0</v>
      </c>
      <c r="Q238" s="2">
        <f t="shared" si="4"/>
        <v>13.75</v>
      </c>
      <c r="R238" s="2">
        <v>7.0</v>
      </c>
      <c r="S238" s="2">
        <v>5.0</v>
      </c>
      <c r="T238" s="2">
        <v>12.0</v>
      </c>
      <c r="U238" s="2">
        <v>15.0</v>
      </c>
      <c r="V238" s="2">
        <v>15.0</v>
      </c>
      <c r="W238" s="2">
        <v>15.0</v>
      </c>
      <c r="X238" s="2">
        <v>20.0</v>
      </c>
      <c r="Y238" s="2">
        <v>30.0</v>
      </c>
      <c r="Z238" s="2">
        <v>30.0</v>
      </c>
      <c r="AA238" s="2">
        <v>29.0</v>
      </c>
      <c r="AB238" s="2">
        <v>29.0</v>
      </c>
      <c r="AC238" s="2">
        <f t="shared" si="5"/>
        <v>10.35</v>
      </c>
      <c r="AD238" s="2">
        <v>30.0</v>
      </c>
      <c r="AE238" s="2">
        <v>340.0</v>
      </c>
      <c r="AF238" s="2">
        <v>1.0</v>
      </c>
      <c r="AG238" s="3">
        <f t="shared" si="6"/>
        <v>10.35</v>
      </c>
      <c r="AH238" s="3">
        <f t="shared" si="7"/>
        <v>9.25</v>
      </c>
      <c r="AI238" s="4">
        <f t="shared" si="8"/>
        <v>71.29444444</v>
      </c>
    </row>
    <row r="239" hidden="1">
      <c r="A239" s="1" t="s">
        <v>722</v>
      </c>
      <c r="B239" s="1" t="s">
        <v>723</v>
      </c>
      <c r="C239" s="2" t="s">
        <v>6</v>
      </c>
      <c r="D239" s="2" t="s">
        <v>724</v>
      </c>
      <c r="E239" s="2">
        <f>VLOOKUP(B239, 'ME-Subhashree'!$B$2:$F$56,5)</f>
        <v>39</v>
      </c>
      <c r="F239" s="2">
        <v>31.0</v>
      </c>
      <c r="G239" s="2">
        <f t="shared" si="1"/>
        <v>35</v>
      </c>
      <c r="H239" s="2">
        <v>11.0</v>
      </c>
      <c r="I239" s="2">
        <v>20.0</v>
      </c>
      <c r="J239" s="2">
        <v>45.0</v>
      </c>
      <c r="K239" s="3">
        <f t="shared" si="2"/>
        <v>12.75</v>
      </c>
      <c r="L239" s="2">
        <v>100.0</v>
      </c>
      <c r="M239" s="2">
        <v>200.0</v>
      </c>
      <c r="O239" s="3">
        <f t="shared" si="3"/>
        <v>200</v>
      </c>
      <c r="P239" s="2">
        <v>100.0</v>
      </c>
      <c r="Q239" s="2">
        <f t="shared" si="4"/>
        <v>15</v>
      </c>
      <c r="R239" s="2">
        <v>7.0</v>
      </c>
      <c r="S239" s="2">
        <v>8.0</v>
      </c>
      <c r="T239" s="2">
        <v>12.0</v>
      </c>
      <c r="U239" s="2">
        <v>15.0</v>
      </c>
      <c r="V239" s="2">
        <v>15.0</v>
      </c>
      <c r="W239" s="2">
        <v>15.0</v>
      </c>
      <c r="X239" s="2">
        <v>20.0</v>
      </c>
      <c r="Y239" s="2">
        <v>25.0</v>
      </c>
      <c r="Z239" s="2">
        <v>30.0</v>
      </c>
      <c r="AA239" s="2">
        <v>30.0</v>
      </c>
      <c r="AB239" s="2">
        <v>30.0</v>
      </c>
      <c r="AC239" s="2">
        <f t="shared" si="5"/>
        <v>10.35</v>
      </c>
      <c r="AD239" s="2">
        <v>50.0</v>
      </c>
      <c r="AE239" s="2">
        <v>330.0</v>
      </c>
      <c r="AF239" s="2">
        <v>1.0</v>
      </c>
      <c r="AG239" s="3">
        <f t="shared" si="6"/>
        <v>10.35</v>
      </c>
      <c r="AH239" s="3">
        <f t="shared" si="7"/>
        <v>9.5</v>
      </c>
      <c r="AI239" s="4">
        <f t="shared" si="8"/>
        <v>82.6</v>
      </c>
    </row>
    <row r="240" hidden="1">
      <c r="A240" s="1" t="s">
        <v>725</v>
      </c>
      <c r="B240" s="1" t="s">
        <v>726</v>
      </c>
      <c r="C240" s="2" t="s">
        <v>2</v>
      </c>
      <c r="D240" s="2" t="s">
        <v>727</v>
      </c>
      <c r="E240" s="2">
        <f>VLOOKUP(B240, 'ME-Subhashree'!$B$2:$F$56,5)</f>
        <v>40</v>
      </c>
      <c r="F240" s="2">
        <v>25.0</v>
      </c>
      <c r="G240" s="2">
        <f t="shared" si="1"/>
        <v>32.5</v>
      </c>
      <c r="H240" s="2">
        <v>8.0</v>
      </c>
      <c r="I240" s="2">
        <v>18.0</v>
      </c>
      <c r="J240" s="2">
        <v>34.0</v>
      </c>
      <c r="K240" s="3">
        <f t="shared" si="2"/>
        <v>10.27777778</v>
      </c>
      <c r="L240" s="2">
        <v>100.0</v>
      </c>
      <c r="M240" s="2">
        <v>150.0</v>
      </c>
      <c r="O240" s="3">
        <f t="shared" si="3"/>
        <v>150</v>
      </c>
      <c r="P240" s="2">
        <v>100.0</v>
      </c>
      <c r="Q240" s="2">
        <f t="shared" si="4"/>
        <v>13.75</v>
      </c>
      <c r="R240" s="2">
        <v>7.0</v>
      </c>
      <c r="S240" s="2">
        <v>9.0</v>
      </c>
      <c r="T240" s="2">
        <v>10.0</v>
      </c>
      <c r="U240" s="2">
        <v>10.0</v>
      </c>
      <c r="V240" s="2">
        <v>15.0</v>
      </c>
      <c r="W240" s="2">
        <v>15.0</v>
      </c>
      <c r="X240" s="2">
        <v>20.0</v>
      </c>
      <c r="Y240" s="2">
        <v>29.0</v>
      </c>
      <c r="Z240" s="2">
        <v>25.0</v>
      </c>
      <c r="AA240" s="2">
        <v>28.0</v>
      </c>
      <c r="AB240" s="2">
        <v>28.0</v>
      </c>
      <c r="AC240" s="2">
        <f t="shared" si="5"/>
        <v>9.8</v>
      </c>
      <c r="AD240" s="2">
        <v>0.0</v>
      </c>
      <c r="AE240" s="2">
        <v>320.0</v>
      </c>
      <c r="AF240" s="2">
        <v>1.0</v>
      </c>
      <c r="AG240" s="3">
        <f t="shared" si="6"/>
        <v>9.8</v>
      </c>
      <c r="AH240" s="3">
        <f t="shared" si="7"/>
        <v>8</v>
      </c>
      <c r="AI240" s="4">
        <f t="shared" si="8"/>
        <v>74.32777778</v>
      </c>
    </row>
    <row r="241" hidden="1">
      <c r="A241" s="1" t="s">
        <v>728</v>
      </c>
      <c r="B241" s="1" t="s">
        <v>729</v>
      </c>
      <c r="C241" s="2" t="s">
        <v>2</v>
      </c>
      <c r="D241" s="2" t="s">
        <v>730</v>
      </c>
      <c r="E241" s="2">
        <f>VLOOKUP(B241, 'ME-Subhashree'!$B$2:$F$56,5)</f>
        <v>29</v>
      </c>
      <c r="F241" s="2">
        <v>27.0</v>
      </c>
      <c r="G241" s="2">
        <f t="shared" si="1"/>
        <v>28</v>
      </c>
      <c r="H241" s="2">
        <v>9.0</v>
      </c>
      <c r="I241" s="2">
        <v>17.0</v>
      </c>
      <c r="J241" s="2">
        <v>39.0</v>
      </c>
      <c r="K241" s="3">
        <f t="shared" si="2"/>
        <v>10.83333333</v>
      </c>
      <c r="L241" s="2">
        <v>100.0</v>
      </c>
      <c r="M241" s="2">
        <v>200.0</v>
      </c>
      <c r="O241" s="3">
        <f t="shared" si="3"/>
        <v>200</v>
      </c>
      <c r="P241" s="2">
        <v>100.0</v>
      </c>
      <c r="Q241" s="2">
        <f t="shared" si="4"/>
        <v>15</v>
      </c>
      <c r="R241" s="2">
        <v>6.0</v>
      </c>
      <c r="S241" s="2">
        <v>7.0</v>
      </c>
      <c r="T241" s="2">
        <v>11.0</v>
      </c>
      <c r="U241" s="2">
        <v>10.0</v>
      </c>
      <c r="V241" s="2">
        <v>15.0</v>
      </c>
      <c r="W241" s="2">
        <v>15.0</v>
      </c>
      <c r="X241" s="2">
        <v>20.0</v>
      </c>
      <c r="Y241" s="2">
        <v>30.0</v>
      </c>
      <c r="Z241" s="2">
        <v>30.0</v>
      </c>
      <c r="AA241" s="2">
        <v>30.0</v>
      </c>
      <c r="AB241" s="2">
        <v>30.0</v>
      </c>
      <c r="AC241" s="2">
        <f t="shared" si="5"/>
        <v>10.2</v>
      </c>
      <c r="AD241" s="2">
        <v>40.0</v>
      </c>
      <c r="AE241" s="2">
        <v>330.0</v>
      </c>
      <c r="AF241" s="2">
        <v>1.0</v>
      </c>
      <c r="AG241" s="3">
        <f t="shared" si="6"/>
        <v>10.2</v>
      </c>
      <c r="AH241" s="3">
        <f t="shared" si="7"/>
        <v>9.25</v>
      </c>
      <c r="AI241" s="4">
        <f t="shared" si="8"/>
        <v>73.28333333</v>
      </c>
    </row>
    <row r="242" hidden="1">
      <c r="A242" s="1" t="s">
        <v>731</v>
      </c>
      <c r="B242" s="1" t="s">
        <v>732</v>
      </c>
      <c r="C242" s="2" t="s">
        <v>2</v>
      </c>
      <c r="D242" s="2" t="s">
        <v>733</v>
      </c>
      <c r="E242" s="2">
        <f>VLOOKUP(B242, 'ME-Subhashree'!$B$2:$F$56,5)</f>
        <v>38</v>
      </c>
      <c r="F242" s="2">
        <v>32.0</v>
      </c>
      <c r="G242" s="2">
        <f t="shared" si="1"/>
        <v>35</v>
      </c>
      <c r="H242" s="2">
        <v>4.0</v>
      </c>
      <c r="I242" s="2">
        <v>11.5</v>
      </c>
      <c r="J242" s="2">
        <v>23.0</v>
      </c>
      <c r="K242" s="3">
        <f t="shared" si="2"/>
        <v>6.430555556</v>
      </c>
      <c r="L242" s="2">
        <v>100.0</v>
      </c>
      <c r="M242" s="2">
        <v>170.0</v>
      </c>
      <c r="N242" s="2">
        <v>180.0</v>
      </c>
      <c r="O242" s="3">
        <f t="shared" si="3"/>
        <v>180</v>
      </c>
      <c r="P242" s="2">
        <v>100.0</v>
      </c>
      <c r="Q242" s="2">
        <f t="shared" si="4"/>
        <v>14.5</v>
      </c>
      <c r="R242" s="2">
        <v>7.0</v>
      </c>
      <c r="S242" s="2">
        <v>9.0</v>
      </c>
      <c r="T242" s="2">
        <v>12.0</v>
      </c>
      <c r="U242" s="2">
        <v>15.0</v>
      </c>
      <c r="V242" s="2">
        <v>15.0</v>
      </c>
      <c r="W242" s="2">
        <v>12.0</v>
      </c>
      <c r="X242" s="2">
        <v>20.0</v>
      </c>
      <c r="Y242" s="2">
        <v>30.0</v>
      </c>
      <c r="Z242" s="2">
        <v>28.0</v>
      </c>
      <c r="AA242" s="2">
        <v>29.0</v>
      </c>
      <c r="AB242" s="2">
        <v>28.0</v>
      </c>
      <c r="AC242" s="2">
        <f t="shared" si="5"/>
        <v>10.25</v>
      </c>
      <c r="AD242" s="2">
        <v>30.0</v>
      </c>
      <c r="AE242" s="2">
        <v>340.0</v>
      </c>
      <c r="AF242" s="2">
        <v>1.0</v>
      </c>
      <c r="AG242" s="3">
        <f t="shared" si="6"/>
        <v>10.25</v>
      </c>
      <c r="AH242" s="3">
        <f t="shared" si="7"/>
        <v>9.25</v>
      </c>
      <c r="AI242" s="4">
        <f t="shared" si="8"/>
        <v>75.43055556</v>
      </c>
    </row>
    <row r="243" hidden="1">
      <c r="A243" s="1" t="s">
        <v>734</v>
      </c>
      <c r="B243" s="1" t="s">
        <v>735</v>
      </c>
      <c r="C243" s="2" t="s">
        <v>55</v>
      </c>
      <c r="D243" s="2" t="s">
        <v>736</v>
      </c>
      <c r="E243" s="2">
        <f>VLOOKUP(B243, 'ME-Subhashree'!$B$2:$F$56,5)</f>
        <v>28</v>
      </c>
      <c r="F243" s="2">
        <v>16.0</v>
      </c>
      <c r="G243" s="2">
        <f t="shared" si="1"/>
        <v>22</v>
      </c>
      <c r="H243" s="2">
        <v>5.0</v>
      </c>
      <c r="I243" s="2">
        <v>2.0</v>
      </c>
      <c r="J243" s="2">
        <v>9.0</v>
      </c>
      <c r="K243" s="3">
        <f t="shared" si="2"/>
        <v>2.75</v>
      </c>
      <c r="L243" s="2">
        <v>50.0</v>
      </c>
      <c r="M243" s="2">
        <v>125.0</v>
      </c>
      <c r="O243" s="3">
        <f t="shared" si="3"/>
        <v>125</v>
      </c>
      <c r="P243" s="2">
        <v>100.0</v>
      </c>
      <c r="Q243" s="2">
        <f t="shared" si="4"/>
        <v>10.625</v>
      </c>
      <c r="R243" s="2">
        <v>6.0</v>
      </c>
      <c r="S243" s="2">
        <v>5.0</v>
      </c>
      <c r="T243" s="2">
        <v>12.0</v>
      </c>
      <c r="U243" s="2">
        <v>12.0</v>
      </c>
      <c r="V243" s="2">
        <v>12.0</v>
      </c>
      <c r="W243" s="2">
        <v>11.0</v>
      </c>
      <c r="X243" s="2">
        <v>20.0</v>
      </c>
      <c r="Y243" s="2">
        <v>30.0</v>
      </c>
      <c r="Z243" s="2">
        <v>28.0</v>
      </c>
      <c r="AB243" s="2">
        <v>29.0</v>
      </c>
      <c r="AC243" s="2">
        <f t="shared" si="5"/>
        <v>8.25</v>
      </c>
      <c r="AD243" s="2">
        <v>30.0</v>
      </c>
      <c r="AE243" s="2">
        <v>300.0</v>
      </c>
      <c r="AF243" s="2">
        <v>1.0</v>
      </c>
      <c r="AG243" s="3">
        <f t="shared" si="6"/>
        <v>8.25</v>
      </c>
      <c r="AH243" s="3">
        <f t="shared" si="7"/>
        <v>8.25</v>
      </c>
      <c r="AI243" s="4">
        <f t="shared" si="8"/>
        <v>51.875</v>
      </c>
    </row>
    <row r="244" hidden="1">
      <c r="A244" s="1" t="s">
        <v>737</v>
      </c>
      <c r="B244" s="1" t="s">
        <v>738</v>
      </c>
      <c r="C244" s="2" t="s">
        <v>32</v>
      </c>
      <c r="D244" s="2" t="s">
        <v>739</v>
      </c>
      <c r="E244" s="2">
        <f>VLOOKUP(B244, 'ME-Subhashree'!$B$2:$F$56,5)</f>
        <v>29</v>
      </c>
      <c r="F244" s="2">
        <v>23.0</v>
      </c>
      <c r="G244" s="2">
        <f t="shared" si="1"/>
        <v>26</v>
      </c>
      <c r="H244" s="2">
        <v>3.0</v>
      </c>
      <c r="I244" s="2">
        <v>7.0</v>
      </c>
      <c r="J244" s="2">
        <v>24.0</v>
      </c>
      <c r="K244" s="3">
        <f t="shared" si="2"/>
        <v>5.166666667</v>
      </c>
      <c r="L244" s="2">
        <v>100.0</v>
      </c>
      <c r="M244" s="2">
        <v>150.0</v>
      </c>
      <c r="O244" s="3">
        <f t="shared" si="3"/>
        <v>150</v>
      </c>
      <c r="P244" s="2">
        <v>100.0</v>
      </c>
      <c r="Q244" s="2">
        <f t="shared" si="4"/>
        <v>13.75</v>
      </c>
      <c r="R244" s="2">
        <v>0.0</v>
      </c>
      <c r="S244" s="2">
        <v>6.0</v>
      </c>
      <c r="T244" s="2">
        <v>15.0</v>
      </c>
      <c r="U244" s="2">
        <v>10.0</v>
      </c>
      <c r="V244" s="2">
        <v>15.0</v>
      </c>
      <c r="W244" s="2">
        <v>15.0</v>
      </c>
      <c r="X244" s="2">
        <v>20.0</v>
      </c>
      <c r="Y244" s="2">
        <v>30.0</v>
      </c>
      <c r="Z244" s="2">
        <v>30.0</v>
      </c>
      <c r="AA244" s="2">
        <v>28.0</v>
      </c>
      <c r="AB244" s="2">
        <v>28.0</v>
      </c>
      <c r="AC244" s="2">
        <f t="shared" si="5"/>
        <v>9.85</v>
      </c>
      <c r="AD244" s="2">
        <v>30.0</v>
      </c>
      <c r="AE244" s="2">
        <v>300.0</v>
      </c>
      <c r="AF244" s="2">
        <v>1.0</v>
      </c>
      <c r="AG244" s="3">
        <f t="shared" si="6"/>
        <v>9.85</v>
      </c>
      <c r="AH244" s="3">
        <f t="shared" si="7"/>
        <v>8.25</v>
      </c>
      <c r="AI244" s="4">
        <f t="shared" si="8"/>
        <v>63.01666667</v>
      </c>
    </row>
    <row r="245">
      <c r="A245" s="1" t="s">
        <v>740</v>
      </c>
      <c r="B245" s="1" t="s">
        <v>741</v>
      </c>
      <c r="C245" s="2" t="s">
        <v>96</v>
      </c>
      <c r="D245" s="2" t="s">
        <v>742</v>
      </c>
      <c r="E245" s="2">
        <f>VLOOKUP(B245, 'ME-Subhashree'!$B$2:$F$56,5)</f>
        <v>6</v>
      </c>
      <c r="F245" s="2">
        <v>6.0</v>
      </c>
      <c r="G245" s="2">
        <f t="shared" si="1"/>
        <v>6</v>
      </c>
      <c r="H245" s="2">
        <v>3.0</v>
      </c>
      <c r="I245" s="2">
        <v>1.0</v>
      </c>
      <c r="J245" s="2">
        <v>40.0</v>
      </c>
      <c r="K245" s="3">
        <f t="shared" si="2"/>
        <v>5.444444444</v>
      </c>
      <c r="L245" s="2">
        <v>100.0</v>
      </c>
      <c r="M245" s="2">
        <v>100.0</v>
      </c>
      <c r="O245" s="3">
        <f t="shared" si="3"/>
        <v>100</v>
      </c>
      <c r="P245" s="2">
        <v>100.0</v>
      </c>
      <c r="Q245" s="2">
        <f t="shared" si="4"/>
        <v>12.5</v>
      </c>
      <c r="R245" s="2">
        <v>6.0</v>
      </c>
      <c r="S245" s="2">
        <v>4.0</v>
      </c>
      <c r="T245" s="2">
        <v>10.0</v>
      </c>
      <c r="U245" s="2">
        <v>10.0</v>
      </c>
      <c r="V245" s="2">
        <v>15.0</v>
      </c>
      <c r="W245" s="2">
        <v>15.0</v>
      </c>
      <c r="X245" s="2">
        <v>20.0</v>
      </c>
      <c r="Y245" s="2">
        <v>30.0</v>
      </c>
      <c r="Z245" s="2">
        <v>30.0</v>
      </c>
      <c r="AB245" s="2">
        <v>28.0</v>
      </c>
      <c r="AC245" s="2">
        <f t="shared" si="5"/>
        <v>8.4</v>
      </c>
      <c r="AD245" s="2">
        <v>40.0</v>
      </c>
      <c r="AE245" s="2">
        <v>330.0</v>
      </c>
      <c r="AF245" s="2">
        <v>1.0</v>
      </c>
      <c r="AG245" s="3">
        <f t="shared" si="6"/>
        <v>8.4</v>
      </c>
      <c r="AH245" s="3">
        <f t="shared" si="7"/>
        <v>9.25</v>
      </c>
      <c r="AI245" s="4">
        <f t="shared" si="8"/>
        <v>41.59444444</v>
      </c>
      <c r="AJ245" s="2" t="s">
        <v>187</v>
      </c>
    </row>
    <row r="246" hidden="1">
      <c r="A246" s="1" t="s">
        <v>743</v>
      </c>
      <c r="B246" s="1" t="s">
        <v>744</v>
      </c>
      <c r="C246" s="2" t="s">
        <v>25</v>
      </c>
      <c r="D246" s="2" t="s">
        <v>745</v>
      </c>
      <c r="E246" s="2">
        <f>VLOOKUP(B246, 'ME-Subhashree'!$B$2:$F$56,5)</f>
        <v>38</v>
      </c>
      <c r="F246" s="2">
        <v>25.0</v>
      </c>
      <c r="G246" s="2">
        <f t="shared" si="1"/>
        <v>31.5</v>
      </c>
      <c r="H246" s="2">
        <v>8.0</v>
      </c>
      <c r="I246" s="2">
        <v>5.5</v>
      </c>
      <c r="J246" s="2">
        <v>42.0</v>
      </c>
      <c r="K246" s="3">
        <f t="shared" si="2"/>
        <v>8.041666667</v>
      </c>
      <c r="L246" s="2">
        <v>100.0</v>
      </c>
      <c r="M246" s="2">
        <v>125.0</v>
      </c>
      <c r="O246" s="3">
        <f t="shared" si="3"/>
        <v>125</v>
      </c>
      <c r="P246" s="2">
        <v>100.0</v>
      </c>
      <c r="Q246" s="2">
        <f t="shared" si="4"/>
        <v>13.125</v>
      </c>
      <c r="R246" s="2">
        <v>6.0</v>
      </c>
      <c r="S246" s="2">
        <v>6.0</v>
      </c>
      <c r="T246" s="2">
        <v>12.0</v>
      </c>
      <c r="U246" s="2">
        <v>12.0</v>
      </c>
      <c r="V246" s="2">
        <v>15.0</v>
      </c>
      <c r="W246" s="2">
        <v>15.0</v>
      </c>
      <c r="X246" s="2">
        <v>20.0</v>
      </c>
      <c r="Y246" s="2">
        <v>30.0</v>
      </c>
      <c r="Z246" s="2">
        <v>30.0</v>
      </c>
      <c r="AA246" s="2">
        <v>28.0</v>
      </c>
      <c r="AC246" s="2">
        <f t="shared" si="5"/>
        <v>8.7</v>
      </c>
      <c r="AD246" s="2">
        <v>30.0</v>
      </c>
      <c r="AE246" s="2">
        <v>340.0</v>
      </c>
      <c r="AF246" s="2">
        <v>1.0</v>
      </c>
      <c r="AG246" s="3">
        <f t="shared" si="6"/>
        <v>8.7</v>
      </c>
      <c r="AH246" s="3">
        <f t="shared" si="7"/>
        <v>9.25</v>
      </c>
      <c r="AI246" s="4">
        <f t="shared" si="8"/>
        <v>70.61666667</v>
      </c>
    </row>
    <row r="247" hidden="1">
      <c r="A247" s="1" t="s">
        <v>746</v>
      </c>
      <c r="B247" s="1" t="s">
        <v>747</v>
      </c>
      <c r="C247" s="2" t="s">
        <v>32</v>
      </c>
      <c r="D247" s="2" t="s">
        <v>748</v>
      </c>
      <c r="E247" s="2">
        <f>VLOOKUP(B247, 'ME-Subhashree'!$B$2:$F$56,5)</f>
        <v>26</v>
      </c>
      <c r="F247" s="2">
        <v>34.0</v>
      </c>
      <c r="G247" s="2">
        <f t="shared" si="1"/>
        <v>30</v>
      </c>
      <c r="H247" s="2">
        <v>9.0</v>
      </c>
      <c r="I247" s="2">
        <v>7.5</v>
      </c>
      <c r="J247" s="2">
        <v>14.0</v>
      </c>
      <c r="K247" s="3">
        <f t="shared" si="2"/>
        <v>5.680555556</v>
      </c>
      <c r="L247" s="2">
        <v>90.0</v>
      </c>
      <c r="M247" s="2">
        <v>175.0</v>
      </c>
      <c r="O247" s="3">
        <f t="shared" si="3"/>
        <v>175</v>
      </c>
      <c r="Q247" s="2">
        <f t="shared" si="4"/>
        <v>8.875</v>
      </c>
      <c r="R247" s="2">
        <v>7.0</v>
      </c>
      <c r="S247" s="2">
        <v>7.0</v>
      </c>
      <c r="T247" s="2">
        <v>12.0</v>
      </c>
      <c r="U247" s="2">
        <v>10.0</v>
      </c>
      <c r="V247" s="2">
        <v>14.0</v>
      </c>
      <c r="W247" s="2">
        <v>13.5</v>
      </c>
      <c r="X247" s="2">
        <v>19.5</v>
      </c>
      <c r="Y247" s="2">
        <v>27.58</v>
      </c>
      <c r="Z247" s="2">
        <v>27.11</v>
      </c>
      <c r="AA247" s="2">
        <v>29.0</v>
      </c>
      <c r="AB247" s="2">
        <v>28.0</v>
      </c>
      <c r="AC247" s="2">
        <f t="shared" si="5"/>
        <v>9.7345</v>
      </c>
      <c r="AD247" s="2">
        <v>43.0</v>
      </c>
      <c r="AE247" s="2">
        <v>345.0</v>
      </c>
      <c r="AF247" s="2">
        <v>1.0</v>
      </c>
      <c r="AG247" s="3">
        <f t="shared" si="6"/>
        <v>9.7345</v>
      </c>
      <c r="AH247" s="3">
        <f t="shared" si="7"/>
        <v>9.7</v>
      </c>
      <c r="AI247" s="4">
        <f t="shared" si="8"/>
        <v>63.99005556</v>
      </c>
    </row>
    <row r="248" hidden="1">
      <c r="A248" s="1" t="s">
        <v>749</v>
      </c>
      <c r="B248" s="1" t="s">
        <v>750</v>
      </c>
      <c r="C248" s="2" t="s">
        <v>222</v>
      </c>
      <c r="D248" s="2" t="s">
        <v>751</v>
      </c>
      <c r="E248" s="2">
        <f>VLOOKUP(B248, 'ME-Subhashree'!$B$2:$F$56,5)</f>
        <v>27</v>
      </c>
      <c r="F248" s="2">
        <v>29.0</v>
      </c>
      <c r="G248" s="2">
        <f t="shared" si="1"/>
        <v>28</v>
      </c>
      <c r="H248" s="2">
        <v>5.0</v>
      </c>
      <c r="I248" s="2">
        <v>6.0</v>
      </c>
      <c r="J248" s="2">
        <v>14.0</v>
      </c>
      <c r="K248" s="3">
        <f t="shared" si="2"/>
        <v>4.305555556</v>
      </c>
      <c r="L248" s="2">
        <v>70.0</v>
      </c>
      <c r="M248" s="2">
        <v>179.0</v>
      </c>
      <c r="O248" s="3">
        <f t="shared" si="3"/>
        <v>179</v>
      </c>
      <c r="Q248" s="2">
        <f t="shared" si="4"/>
        <v>7.975</v>
      </c>
      <c r="R248" s="2">
        <v>7.0</v>
      </c>
      <c r="S248" s="2">
        <v>7.0</v>
      </c>
      <c r="T248" s="2">
        <v>10.0</v>
      </c>
      <c r="U248" s="2">
        <v>10.0</v>
      </c>
      <c r="W248" s="2">
        <v>13.0</v>
      </c>
      <c r="X248" s="2">
        <v>17.0</v>
      </c>
      <c r="AC248" s="2">
        <f t="shared" si="5"/>
        <v>3.2</v>
      </c>
      <c r="AF248" s="2">
        <v>1.0</v>
      </c>
      <c r="AG248" s="3">
        <f t="shared" si="6"/>
        <v>3.2</v>
      </c>
      <c r="AH248" s="3">
        <f t="shared" si="7"/>
        <v>0</v>
      </c>
      <c r="AI248" s="4">
        <f t="shared" si="8"/>
        <v>43.48055556</v>
      </c>
    </row>
    <row r="249" hidden="1">
      <c r="A249" s="1" t="s">
        <v>752</v>
      </c>
      <c r="B249" s="1" t="s">
        <v>753</v>
      </c>
      <c r="C249" s="2" t="s">
        <v>2</v>
      </c>
      <c r="D249" s="2" t="s">
        <v>754</v>
      </c>
      <c r="E249" s="2">
        <f>VLOOKUP(B249, 'ME-Subhashree'!$B$2:$F$56,5)</f>
        <v>40</v>
      </c>
      <c r="F249" s="2">
        <v>30.0</v>
      </c>
      <c r="G249" s="2">
        <f t="shared" si="1"/>
        <v>35</v>
      </c>
      <c r="H249" s="2">
        <v>8.0</v>
      </c>
      <c r="I249" s="2">
        <v>11.5</v>
      </c>
      <c r="J249" s="2">
        <v>33.0</v>
      </c>
      <c r="K249" s="3">
        <f t="shared" si="2"/>
        <v>8.541666667</v>
      </c>
      <c r="L249" s="2">
        <v>100.0</v>
      </c>
      <c r="M249" s="2">
        <v>180.0</v>
      </c>
      <c r="O249" s="3">
        <f t="shared" si="3"/>
        <v>180</v>
      </c>
      <c r="P249" s="2">
        <v>94.0</v>
      </c>
      <c r="Q249" s="2">
        <f t="shared" si="4"/>
        <v>14.2</v>
      </c>
      <c r="R249" s="2">
        <v>6.0</v>
      </c>
      <c r="S249" s="2">
        <v>5.0</v>
      </c>
      <c r="T249" s="2">
        <v>12.0</v>
      </c>
      <c r="U249" s="2">
        <v>15.0</v>
      </c>
      <c r="V249" s="2">
        <v>13.0</v>
      </c>
      <c r="W249" s="2">
        <v>14.0</v>
      </c>
      <c r="X249" s="2">
        <v>20.0</v>
      </c>
      <c r="Y249" s="2">
        <v>29.69</v>
      </c>
      <c r="Z249" s="2">
        <v>27.89</v>
      </c>
      <c r="AA249" s="2">
        <v>29.0</v>
      </c>
      <c r="AB249" s="2">
        <v>30.0</v>
      </c>
      <c r="AC249" s="2">
        <f t="shared" si="5"/>
        <v>10.079</v>
      </c>
      <c r="AD249" s="2">
        <v>43.0</v>
      </c>
      <c r="AE249" s="2">
        <v>330.0</v>
      </c>
      <c r="AF249" s="2">
        <v>1.0</v>
      </c>
      <c r="AG249" s="3">
        <f t="shared" si="6"/>
        <v>10.079</v>
      </c>
      <c r="AH249" s="3">
        <f t="shared" si="7"/>
        <v>9.325</v>
      </c>
      <c r="AI249" s="4">
        <f t="shared" si="8"/>
        <v>77.14566667</v>
      </c>
    </row>
    <row r="250" hidden="1">
      <c r="A250" s="1" t="s">
        <v>755</v>
      </c>
      <c r="B250" s="1" t="s">
        <v>756</v>
      </c>
      <c r="C250" s="2" t="s">
        <v>6</v>
      </c>
      <c r="D250" s="2" t="s">
        <v>757</v>
      </c>
      <c r="E250" s="2">
        <f>VLOOKUP(B250, 'ME-Subhashree'!$B$2:$F$56,5)</f>
        <v>44</v>
      </c>
      <c r="F250" s="2">
        <v>31.0</v>
      </c>
      <c r="G250" s="2">
        <f t="shared" si="1"/>
        <v>37.5</v>
      </c>
      <c r="H250" s="2">
        <v>7.0</v>
      </c>
      <c r="I250" s="2">
        <v>18.0</v>
      </c>
      <c r="J250" s="2">
        <v>28.0</v>
      </c>
      <c r="K250" s="3">
        <f t="shared" si="2"/>
        <v>9.361111111</v>
      </c>
      <c r="L250" s="2">
        <v>95.0</v>
      </c>
      <c r="M250" s="2">
        <v>185.0</v>
      </c>
      <c r="O250" s="3">
        <f t="shared" si="3"/>
        <v>185</v>
      </c>
      <c r="P250" s="2">
        <v>91.0</v>
      </c>
      <c r="Q250" s="2">
        <f t="shared" si="4"/>
        <v>13.925</v>
      </c>
      <c r="R250" s="2">
        <v>7.0</v>
      </c>
      <c r="S250" s="2">
        <v>10.0</v>
      </c>
      <c r="T250" s="2">
        <v>13.0</v>
      </c>
      <c r="U250" s="2">
        <v>13.0</v>
      </c>
      <c r="V250" s="2">
        <v>15.0</v>
      </c>
      <c r="W250" s="2">
        <v>12.5</v>
      </c>
      <c r="X250" s="2">
        <v>20.0</v>
      </c>
      <c r="Y250" s="2">
        <v>28.12</v>
      </c>
      <c r="Z250" s="2">
        <v>28.42</v>
      </c>
      <c r="AA250" s="2">
        <v>29.0</v>
      </c>
      <c r="AB250" s="2">
        <v>28.0</v>
      </c>
      <c r="AC250" s="2">
        <f t="shared" si="5"/>
        <v>10.202</v>
      </c>
      <c r="AD250" s="2">
        <v>48.0</v>
      </c>
      <c r="AE250" s="2">
        <v>340.0</v>
      </c>
      <c r="AF250" s="2">
        <v>1.0</v>
      </c>
      <c r="AG250" s="3">
        <f t="shared" si="6"/>
        <v>10.202</v>
      </c>
      <c r="AH250" s="3">
        <f t="shared" si="7"/>
        <v>9.7</v>
      </c>
      <c r="AI250" s="4">
        <f t="shared" si="8"/>
        <v>80.68811111</v>
      </c>
    </row>
    <row r="251" hidden="1">
      <c r="A251" s="1" t="s">
        <v>758</v>
      </c>
      <c r="B251" s="1" t="s">
        <v>759</v>
      </c>
      <c r="C251" s="2" t="s">
        <v>2</v>
      </c>
      <c r="D251" s="2" t="s">
        <v>760</v>
      </c>
      <c r="E251" s="2">
        <f>VLOOKUP(B251, 'ME-Subhashree'!$B$2:$F$56,5)</f>
        <v>42</v>
      </c>
      <c r="F251" s="2">
        <v>26.0</v>
      </c>
      <c r="G251" s="2">
        <f t="shared" si="1"/>
        <v>34</v>
      </c>
      <c r="H251" s="2">
        <v>9.0</v>
      </c>
      <c r="I251" s="2">
        <v>15.0</v>
      </c>
      <c r="J251" s="2">
        <v>27.0</v>
      </c>
      <c r="K251" s="3">
        <f t="shared" si="2"/>
        <v>9</v>
      </c>
      <c r="L251" s="2">
        <v>80.0</v>
      </c>
      <c r="M251" s="2">
        <v>200.0</v>
      </c>
      <c r="O251" s="3">
        <f t="shared" si="3"/>
        <v>200</v>
      </c>
      <c r="P251" s="2">
        <v>93.0</v>
      </c>
      <c r="Q251" s="2">
        <f t="shared" si="4"/>
        <v>13.65</v>
      </c>
      <c r="R251" s="2">
        <v>7.0</v>
      </c>
      <c r="S251" s="2">
        <v>6.0</v>
      </c>
      <c r="T251" s="2">
        <v>7.0</v>
      </c>
      <c r="U251" s="2">
        <v>10.0</v>
      </c>
      <c r="V251" s="2">
        <v>14.5</v>
      </c>
      <c r="W251" s="2">
        <v>13.0</v>
      </c>
      <c r="X251" s="2">
        <v>20.0</v>
      </c>
      <c r="Y251" s="2">
        <v>25.31</v>
      </c>
      <c r="Z251" s="2">
        <v>25.0</v>
      </c>
      <c r="AA251" s="2">
        <v>29.0</v>
      </c>
      <c r="AB251" s="2">
        <v>28.0</v>
      </c>
      <c r="AC251" s="2">
        <f t="shared" si="5"/>
        <v>9.2405</v>
      </c>
      <c r="AD251" s="2">
        <v>50.0</v>
      </c>
      <c r="AE251" s="2">
        <v>345.0</v>
      </c>
      <c r="AF251" s="2">
        <v>1.0</v>
      </c>
      <c r="AG251" s="3">
        <f t="shared" si="6"/>
        <v>9.2405</v>
      </c>
      <c r="AH251" s="3">
        <f t="shared" si="7"/>
        <v>9.875</v>
      </c>
      <c r="AI251" s="4">
        <f t="shared" si="8"/>
        <v>75.7655</v>
      </c>
    </row>
    <row r="252" hidden="1">
      <c r="A252" s="1" t="s">
        <v>761</v>
      </c>
      <c r="B252" s="1" t="s">
        <v>762</v>
      </c>
      <c r="C252" s="2" t="s">
        <v>25</v>
      </c>
      <c r="D252" s="2" t="s">
        <v>763</v>
      </c>
      <c r="E252" s="2">
        <f>VLOOKUP(B252, 'ME-Subhashree'!$B$2:$F$56,5)</f>
        <v>29</v>
      </c>
      <c r="F252" s="2">
        <v>29.0</v>
      </c>
      <c r="G252" s="2">
        <f t="shared" si="1"/>
        <v>29</v>
      </c>
      <c r="H252" s="2">
        <v>10.0</v>
      </c>
      <c r="I252" s="2">
        <v>13.0</v>
      </c>
      <c r="J252" s="2">
        <v>33.0</v>
      </c>
      <c r="K252" s="3">
        <f t="shared" si="2"/>
        <v>9.416666667</v>
      </c>
      <c r="L252" s="2">
        <v>87.0</v>
      </c>
      <c r="M252" s="2">
        <v>190.0</v>
      </c>
      <c r="O252" s="3">
        <f t="shared" si="3"/>
        <v>190</v>
      </c>
      <c r="P252" s="2">
        <v>95.0</v>
      </c>
      <c r="Q252" s="2">
        <f t="shared" si="4"/>
        <v>13.85</v>
      </c>
      <c r="R252" s="2">
        <v>7.0</v>
      </c>
      <c r="S252" s="2">
        <v>6.0</v>
      </c>
      <c r="T252" s="2">
        <v>14.0</v>
      </c>
      <c r="U252" s="2">
        <v>11.0</v>
      </c>
      <c r="V252" s="2">
        <v>13.0</v>
      </c>
      <c r="W252" s="2">
        <v>13.0</v>
      </c>
      <c r="X252" s="2">
        <v>20.0</v>
      </c>
      <c r="Y252" s="2">
        <v>25.62</v>
      </c>
      <c r="Z252" s="2">
        <v>29.74</v>
      </c>
      <c r="AA252" s="2">
        <v>29.0</v>
      </c>
      <c r="AB252" s="2">
        <v>29.0</v>
      </c>
      <c r="AC252" s="2">
        <f t="shared" si="5"/>
        <v>9.868</v>
      </c>
      <c r="AD252" s="2">
        <v>0.0</v>
      </c>
      <c r="AE252" s="2">
        <v>340.0</v>
      </c>
      <c r="AF252" s="2">
        <v>0.5</v>
      </c>
      <c r="AG252" s="3">
        <f t="shared" si="6"/>
        <v>4.934</v>
      </c>
      <c r="AH252" s="3">
        <f t="shared" si="7"/>
        <v>8.5</v>
      </c>
      <c r="AI252" s="4">
        <f t="shared" si="8"/>
        <v>65.70066667</v>
      </c>
    </row>
    <row r="253" hidden="1">
      <c r="A253" s="1" t="s">
        <v>764</v>
      </c>
      <c r="B253" s="1" t="s">
        <v>765</v>
      </c>
      <c r="C253" s="2" t="s">
        <v>6</v>
      </c>
      <c r="D253" s="2" t="s">
        <v>766</v>
      </c>
      <c r="E253" s="2">
        <f>VLOOKUP(B253, 'ME-Subhashree'!$B$2:$F$56,5)</f>
        <v>48</v>
      </c>
      <c r="F253" s="2">
        <v>32.0</v>
      </c>
      <c r="G253" s="2">
        <f t="shared" si="1"/>
        <v>40</v>
      </c>
      <c r="H253" s="2">
        <v>9.0</v>
      </c>
      <c r="I253" s="2">
        <v>11.0</v>
      </c>
      <c r="J253" s="2">
        <v>25.0</v>
      </c>
      <c r="K253" s="3">
        <f t="shared" si="2"/>
        <v>7.777777778</v>
      </c>
      <c r="L253" s="2">
        <v>100.0</v>
      </c>
      <c r="M253" s="2">
        <v>180.0</v>
      </c>
      <c r="O253" s="3">
        <f t="shared" si="3"/>
        <v>180</v>
      </c>
      <c r="P253" s="2">
        <v>70.0</v>
      </c>
      <c r="Q253" s="2">
        <f t="shared" si="4"/>
        <v>13</v>
      </c>
      <c r="R253" s="2">
        <v>7.0</v>
      </c>
      <c r="S253" s="2">
        <v>7.0</v>
      </c>
      <c r="T253" s="2">
        <v>10.0</v>
      </c>
      <c r="U253" s="2">
        <v>10.0</v>
      </c>
      <c r="V253" s="2">
        <v>15.0</v>
      </c>
      <c r="W253" s="2">
        <v>14.0</v>
      </c>
      <c r="X253" s="2">
        <v>20.0</v>
      </c>
      <c r="Y253" s="2">
        <v>26.56</v>
      </c>
      <c r="Z253" s="2">
        <v>27.63</v>
      </c>
      <c r="AA253" s="2">
        <v>28.0</v>
      </c>
      <c r="AB253" s="2">
        <v>27.0</v>
      </c>
      <c r="AC253" s="2">
        <f t="shared" si="5"/>
        <v>9.6095</v>
      </c>
      <c r="AD253" s="2">
        <v>50.0</v>
      </c>
      <c r="AE253" s="2">
        <v>345.0</v>
      </c>
      <c r="AF253" s="2">
        <v>1.0</v>
      </c>
      <c r="AG253" s="3">
        <f t="shared" si="6"/>
        <v>9.6095</v>
      </c>
      <c r="AH253" s="3">
        <f t="shared" si="7"/>
        <v>9.875</v>
      </c>
      <c r="AI253" s="4">
        <f t="shared" si="8"/>
        <v>80.26227778</v>
      </c>
    </row>
    <row r="254" hidden="1">
      <c r="A254" s="1" t="s">
        <v>767</v>
      </c>
      <c r="B254" s="1" t="s">
        <v>768</v>
      </c>
      <c r="C254" s="2" t="s">
        <v>6</v>
      </c>
      <c r="D254" s="2" t="s">
        <v>769</v>
      </c>
      <c r="E254" s="2">
        <f>VLOOKUP(B254, 'ME-Subhashree'!$B$2:$F$56,5)</f>
        <v>47</v>
      </c>
      <c r="F254" s="2">
        <v>28.0</v>
      </c>
      <c r="G254" s="2">
        <f t="shared" si="1"/>
        <v>37.5</v>
      </c>
      <c r="H254" s="2">
        <v>11.0</v>
      </c>
      <c r="I254" s="2">
        <v>12.5</v>
      </c>
      <c r="J254" s="2">
        <v>25.0</v>
      </c>
      <c r="K254" s="3">
        <f t="shared" si="2"/>
        <v>8.652777778</v>
      </c>
      <c r="L254" s="2">
        <v>90.0</v>
      </c>
      <c r="M254" s="2">
        <v>195.0</v>
      </c>
      <c r="O254" s="3">
        <f t="shared" si="3"/>
        <v>195</v>
      </c>
      <c r="P254" s="2">
        <v>96.0</v>
      </c>
      <c r="Q254" s="2">
        <f t="shared" si="4"/>
        <v>14.175</v>
      </c>
      <c r="R254" s="2">
        <v>7.0</v>
      </c>
      <c r="S254" s="2">
        <v>7.0</v>
      </c>
      <c r="T254" s="2">
        <v>12.0</v>
      </c>
      <c r="U254" s="2">
        <v>15.0</v>
      </c>
      <c r="V254" s="2">
        <v>15.0</v>
      </c>
      <c r="W254" s="2">
        <v>13.5</v>
      </c>
      <c r="X254" s="2">
        <v>19.5</v>
      </c>
      <c r="Y254" s="2">
        <v>25.62</v>
      </c>
      <c r="Z254" s="2">
        <v>26.84</v>
      </c>
      <c r="AA254" s="2">
        <v>30.0</v>
      </c>
      <c r="AB254" s="2">
        <v>30.0</v>
      </c>
      <c r="AC254" s="2">
        <f t="shared" si="5"/>
        <v>10.073</v>
      </c>
      <c r="AD254" s="2">
        <v>43.0</v>
      </c>
      <c r="AE254" s="2">
        <v>345.0</v>
      </c>
      <c r="AF254" s="2">
        <v>1.0</v>
      </c>
      <c r="AG254" s="3">
        <f t="shared" si="6"/>
        <v>10.073</v>
      </c>
      <c r="AH254" s="3">
        <f t="shared" si="7"/>
        <v>9.7</v>
      </c>
      <c r="AI254" s="4">
        <f t="shared" si="8"/>
        <v>80.10077778</v>
      </c>
    </row>
    <row r="255" hidden="1">
      <c r="A255" s="1" t="s">
        <v>770</v>
      </c>
      <c r="B255" s="1" t="s">
        <v>771</v>
      </c>
      <c r="C255" s="2" t="s">
        <v>2</v>
      </c>
      <c r="D255" s="2" t="s">
        <v>772</v>
      </c>
      <c r="E255" s="2">
        <f>VLOOKUP(B255, 'ME-Subhashree'!$B$2:$F$56,5)</f>
        <v>34</v>
      </c>
      <c r="F255" s="2">
        <v>30.0</v>
      </c>
      <c r="G255" s="2">
        <f t="shared" si="1"/>
        <v>32</v>
      </c>
      <c r="H255" s="2">
        <v>12.0</v>
      </c>
      <c r="I255" s="2">
        <v>9.5</v>
      </c>
      <c r="J255" s="2">
        <v>27.0</v>
      </c>
      <c r="K255" s="3">
        <f t="shared" si="2"/>
        <v>8.375</v>
      </c>
      <c r="L255" s="2">
        <v>90.0</v>
      </c>
      <c r="M255" s="2">
        <v>200.0</v>
      </c>
      <c r="O255" s="3">
        <f t="shared" si="3"/>
        <v>200</v>
      </c>
      <c r="P255" s="2">
        <v>90.0</v>
      </c>
      <c r="Q255" s="2">
        <f t="shared" si="4"/>
        <v>14</v>
      </c>
      <c r="R255" s="2">
        <v>7.0</v>
      </c>
      <c r="S255" s="2">
        <v>4.0</v>
      </c>
      <c r="T255" s="2">
        <v>15.0</v>
      </c>
      <c r="U255" s="2">
        <v>12.0</v>
      </c>
      <c r="V255" s="2">
        <v>15.0</v>
      </c>
      <c r="W255" s="2">
        <v>14.0</v>
      </c>
      <c r="X255" s="2">
        <v>20.0</v>
      </c>
      <c r="Y255" s="2">
        <v>28.44</v>
      </c>
      <c r="Z255" s="2">
        <v>27.89</v>
      </c>
      <c r="AA255" s="2">
        <v>30.0</v>
      </c>
      <c r="AB255" s="2">
        <v>29.0</v>
      </c>
      <c r="AC255" s="2">
        <f t="shared" si="5"/>
        <v>10.1165</v>
      </c>
      <c r="AD255" s="2">
        <v>49.0</v>
      </c>
      <c r="AE255" s="2">
        <v>345.0</v>
      </c>
      <c r="AF255" s="2">
        <v>1.0</v>
      </c>
      <c r="AG255" s="3">
        <f t="shared" si="6"/>
        <v>10.1165</v>
      </c>
      <c r="AH255" s="3">
        <f t="shared" si="7"/>
        <v>9.85</v>
      </c>
      <c r="AI255" s="4">
        <f t="shared" si="8"/>
        <v>74.3415</v>
      </c>
    </row>
    <row r="256" hidden="1">
      <c r="A256" s="1" t="s">
        <v>773</v>
      </c>
      <c r="B256" s="1" t="s">
        <v>774</v>
      </c>
      <c r="C256" s="2" t="s">
        <v>6</v>
      </c>
      <c r="D256" s="2" t="s">
        <v>773</v>
      </c>
      <c r="E256" s="2">
        <f>VLOOKUP(B256, 'ME-Subhashree'!$B$2:$F$56,5)</f>
        <v>40</v>
      </c>
      <c r="F256" s="2">
        <v>34.0</v>
      </c>
      <c r="G256" s="2">
        <f t="shared" si="1"/>
        <v>37</v>
      </c>
      <c r="H256" s="2">
        <v>8.0</v>
      </c>
      <c r="I256" s="2">
        <v>17.0</v>
      </c>
      <c r="J256" s="2">
        <v>27.0</v>
      </c>
      <c r="K256" s="3">
        <f t="shared" si="2"/>
        <v>9.25</v>
      </c>
      <c r="L256" s="2">
        <v>95.0</v>
      </c>
      <c r="M256" s="2">
        <v>190.0</v>
      </c>
      <c r="O256" s="3">
        <f t="shared" si="3"/>
        <v>190</v>
      </c>
      <c r="P256" s="2">
        <v>92.0</v>
      </c>
      <c r="Q256" s="2">
        <f t="shared" si="4"/>
        <v>14.1</v>
      </c>
      <c r="R256" s="2">
        <v>7.0</v>
      </c>
      <c r="S256" s="2">
        <v>6.0</v>
      </c>
      <c r="T256" s="2">
        <v>14.0</v>
      </c>
      <c r="U256" s="2">
        <v>10.0</v>
      </c>
      <c r="V256" s="2">
        <v>14.0</v>
      </c>
      <c r="W256" s="2">
        <v>13.5</v>
      </c>
      <c r="X256" s="2">
        <v>20.0</v>
      </c>
      <c r="Y256" s="2">
        <v>25.0</v>
      </c>
      <c r="Z256" s="2">
        <v>26.32</v>
      </c>
      <c r="AA256" s="2">
        <v>29.0</v>
      </c>
      <c r="AB256" s="2">
        <v>29.0</v>
      </c>
      <c r="AC256" s="2">
        <f t="shared" si="5"/>
        <v>9.691</v>
      </c>
      <c r="AD256" s="2">
        <v>43.0</v>
      </c>
      <c r="AE256" s="2">
        <v>345.0</v>
      </c>
      <c r="AF256" s="2">
        <v>1.0</v>
      </c>
      <c r="AG256" s="3">
        <f t="shared" si="6"/>
        <v>9.691</v>
      </c>
      <c r="AH256" s="3">
        <f t="shared" si="7"/>
        <v>9.7</v>
      </c>
      <c r="AI256" s="4">
        <f t="shared" si="8"/>
        <v>79.741</v>
      </c>
    </row>
    <row r="257" hidden="1">
      <c r="A257" s="1" t="s">
        <v>775</v>
      </c>
      <c r="B257" s="1" t="s">
        <v>776</v>
      </c>
      <c r="C257" s="2" t="s">
        <v>222</v>
      </c>
      <c r="D257" s="2" t="s">
        <v>777</v>
      </c>
      <c r="E257" s="2">
        <f>VLOOKUP(B257, 'ME-Subhashree'!$B$2:$F$56,5)</f>
        <v>19</v>
      </c>
      <c r="F257" s="2">
        <v>13.0</v>
      </c>
      <c r="G257" s="2">
        <f t="shared" si="1"/>
        <v>16</v>
      </c>
      <c r="H257" s="2">
        <v>6.5</v>
      </c>
      <c r="J257" s="2">
        <v>4.0</v>
      </c>
      <c r="K257" s="3">
        <f t="shared" si="2"/>
        <v>2.069444444</v>
      </c>
      <c r="L257" s="2">
        <v>85.0</v>
      </c>
      <c r="M257" s="2">
        <v>180.0</v>
      </c>
      <c r="O257" s="3">
        <f t="shared" si="3"/>
        <v>180</v>
      </c>
      <c r="Q257" s="2">
        <f t="shared" si="4"/>
        <v>8.75</v>
      </c>
      <c r="R257" s="2">
        <v>3.0</v>
      </c>
      <c r="S257" s="2">
        <v>5.0</v>
      </c>
      <c r="T257" s="2">
        <v>13.0</v>
      </c>
      <c r="U257" s="2">
        <v>0.0</v>
      </c>
      <c r="X257" s="2">
        <v>7.0</v>
      </c>
      <c r="Y257" s="2">
        <v>25.62</v>
      </c>
      <c r="AA257" s="2">
        <v>27.0</v>
      </c>
      <c r="AB257" s="2">
        <v>27.0</v>
      </c>
      <c r="AC257" s="2">
        <f t="shared" si="5"/>
        <v>5.381</v>
      </c>
      <c r="AD257" s="2">
        <v>49.0</v>
      </c>
      <c r="AE257" s="2">
        <v>340.0</v>
      </c>
      <c r="AF257" s="2">
        <v>0.5</v>
      </c>
      <c r="AG257" s="3">
        <f t="shared" si="6"/>
        <v>2.6905</v>
      </c>
      <c r="AH257" s="3">
        <f t="shared" si="7"/>
        <v>9.725</v>
      </c>
      <c r="AI257" s="4">
        <f t="shared" si="8"/>
        <v>39.23494444</v>
      </c>
    </row>
    <row r="258" hidden="1">
      <c r="A258" s="1" t="s">
        <v>778</v>
      </c>
      <c r="B258" s="1" t="s">
        <v>779</v>
      </c>
      <c r="C258" s="2" t="s">
        <v>6</v>
      </c>
      <c r="D258" s="2" t="s">
        <v>780</v>
      </c>
      <c r="E258" s="2">
        <f>VLOOKUP(B258, 'ME-Subhashree'!$B$2:$F$56,5)</f>
        <v>47</v>
      </c>
      <c r="F258" s="2">
        <v>35.0</v>
      </c>
      <c r="G258" s="2">
        <f t="shared" si="1"/>
        <v>41</v>
      </c>
      <c r="H258" s="2">
        <v>12.0</v>
      </c>
      <c r="I258" s="2">
        <v>9.5</v>
      </c>
      <c r="J258" s="2">
        <v>20.0</v>
      </c>
      <c r="K258" s="3">
        <f t="shared" si="2"/>
        <v>7.597222222</v>
      </c>
      <c r="L258" s="2">
        <v>100.0</v>
      </c>
      <c r="M258" s="2">
        <v>198.0</v>
      </c>
      <c r="O258" s="3">
        <f t="shared" si="3"/>
        <v>198</v>
      </c>
      <c r="P258" s="2">
        <v>94.0</v>
      </c>
      <c r="Q258" s="2">
        <f t="shared" si="4"/>
        <v>14.65</v>
      </c>
      <c r="S258" s="2">
        <v>8.0</v>
      </c>
      <c r="T258" s="2">
        <v>12.0</v>
      </c>
      <c r="U258" s="2">
        <v>14.0</v>
      </c>
      <c r="V258" s="2">
        <v>14.0</v>
      </c>
      <c r="W258" s="2">
        <v>14.0</v>
      </c>
      <c r="X258" s="2">
        <v>17.0</v>
      </c>
      <c r="Y258" s="2">
        <v>28.0</v>
      </c>
      <c r="Z258" s="2">
        <v>27.37</v>
      </c>
      <c r="AB258" s="2">
        <v>30.0</v>
      </c>
      <c r="AC258" s="2">
        <f t="shared" si="5"/>
        <v>8.2185</v>
      </c>
      <c r="AD258" s="2">
        <v>43.0</v>
      </c>
      <c r="AE258" s="2">
        <v>343.0</v>
      </c>
      <c r="AF258" s="2">
        <v>1.0</v>
      </c>
      <c r="AG258" s="3">
        <f t="shared" si="6"/>
        <v>8.2185</v>
      </c>
      <c r="AH258" s="3">
        <f t="shared" si="7"/>
        <v>9.65</v>
      </c>
      <c r="AI258" s="4">
        <f t="shared" si="8"/>
        <v>81.11572222</v>
      </c>
    </row>
    <row r="259" hidden="1">
      <c r="A259" s="1" t="s">
        <v>781</v>
      </c>
      <c r="B259" s="1" t="s">
        <v>782</v>
      </c>
      <c r="C259" s="2" t="s">
        <v>222</v>
      </c>
      <c r="D259" s="2" t="s">
        <v>783</v>
      </c>
      <c r="E259" s="2">
        <f>VLOOKUP(B259, 'ME-Subhashree'!$B$2:$F$56,5)</f>
        <v>34</v>
      </c>
      <c r="F259" s="2">
        <v>22.0</v>
      </c>
      <c r="G259" s="2">
        <f t="shared" si="1"/>
        <v>28</v>
      </c>
      <c r="J259" s="2">
        <v>-1.0</v>
      </c>
      <c r="K259" s="3">
        <f t="shared" si="2"/>
        <v>-0.1111111111</v>
      </c>
      <c r="M259" s="2">
        <v>175.0</v>
      </c>
      <c r="O259" s="3">
        <f t="shared" si="3"/>
        <v>175</v>
      </c>
      <c r="Q259" s="2">
        <f t="shared" si="4"/>
        <v>4.375</v>
      </c>
      <c r="R259" s="2">
        <v>7.0</v>
      </c>
      <c r="S259" s="2">
        <v>9.0</v>
      </c>
      <c r="T259" s="2">
        <v>0.0</v>
      </c>
      <c r="U259" s="2">
        <v>12.0</v>
      </c>
      <c r="W259" s="2">
        <v>13.5</v>
      </c>
      <c r="X259" s="2">
        <v>17.0</v>
      </c>
      <c r="Y259" s="2">
        <v>27.14</v>
      </c>
      <c r="AC259" s="2">
        <f t="shared" si="5"/>
        <v>4.282</v>
      </c>
      <c r="AF259" s="2">
        <v>1.0</v>
      </c>
      <c r="AG259" s="3">
        <f t="shared" si="6"/>
        <v>4.282</v>
      </c>
      <c r="AH259" s="3">
        <f t="shared" si="7"/>
        <v>0</v>
      </c>
      <c r="AI259" s="4">
        <f t="shared" si="8"/>
        <v>36.54588889</v>
      </c>
    </row>
    <row r="260" hidden="1">
      <c r="A260" s="1" t="s">
        <v>784</v>
      </c>
      <c r="B260" s="1" t="s">
        <v>785</v>
      </c>
      <c r="C260" s="2" t="s">
        <v>6</v>
      </c>
      <c r="D260" s="2" t="s">
        <v>786</v>
      </c>
      <c r="E260" s="2">
        <f>VLOOKUP(B260, 'ME-Subhashree'!$B$2:$F$56,5)</f>
        <v>50</v>
      </c>
      <c r="F260" s="2">
        <v>31.0</v>
      </c>
      <c r="G260" s="2">
        <f t="shared" si="1"/>
        <v>40.5</v>
      </c>
      <c r="H260" s="2">
        <v>12.0</v>
      </c>
      <c r="I260" s="2">
        <v>17.5</v>
      </c>
      <c r="J260" s="2">
        <v>35.0</v>
      </c>
      <c r="K260" s="3">
        <f t="shared" si="2"/>
        <v>11.26388889</v>
      </c>
      <c r="L260" s="2">
        <v>97.0</v>
      </c>
      <c r="M260" s="2">
        <v>197.0</v>
      </c>
      <c r="O260" s="3">
        <f t="shared" si="3"/>
        <v>197</v>
      </c>
      <c r="P260" s="2">
        <v>91.0</v>
      </c>
      <c r="Q260" s="2">
        <f t="shared" si="4"/>
        <v>14.325</v>
      </c>
      <c r="R260" s="2">
        <v>7.0</v>
      </c>
      <c r="S260" s="2">
        <v>7.0</v>
      </c>
      <c r="T260" s="2">
        <v>14.0</v>
      </c>
      <c r="U260" s="2">
        <v>10.0</v>
      </c>
      <c r="V260" s="2">
        <v>15.0</v>
      </c>
      <c r="W260" s="2">
        <v>13.5</v>
      </c>
      <c r="X260" s="2">
        <v>20.0</v>
      </c>
      <c r="Y260" s="2">
        <v>25.0</v>
      </c>
      <c r="Z260" s="2">
        <v>30.0</v>
      </c>
      <c r="AA260" s="2">
        <v>30.0</v>
      </c>
      <c r="AB260" s="2">
        <v>30.0</v>
      </c>
      <c r="AC260" s="2">
        <f t="shared" si="5"/>
        <v>10.075</v>
      </c>
      <c r="AD260" s="2">
        <v>48.0</v>
      </c>
      <c r="AE260" s="2">
        <v>345.0</v>
      </c>
      <c r="AF260" s="2">
        <v>1.0</v>
      </c>
      <c r="AG260" s="3">
        <f t="shared" si="6"/>
        <v>10.075</v>
      </c>
      <c r="AH260" s="3">
        <f t="shared" si="7"/>
        <v>9.825</v>
      </c>
      <c r="AI260" s="4">
        <f t="shared" si="8"/>
        <v>85.98888889</v>
      </c>
    </row>
    <row r="261" hidden="1">
      <c r="A261" s="1" t="s">
        <v>787</v>
      </c>
      <c r="B261" s="1" t="s">
        <v>788</v>
      </c>
      <c r="C261" s="2" t="s">
        <v>25</v>
      </c>
      <c r="D261" s="2" t="s">
        <v>789</v>
      </c>
      <c r="E261" s="2">
        <f>VLOOKUP(B261, 'ME-Subhashree'!$B$2:$F$56,5)</f>
        <v>36</v>
      </c>
      <c r="F261" s="2">
        <v>30.0</v>
      </c>
      <c r="G261" s="2">
        <f t="shared" si="1"/>
        <v>33</v>
      </c>
      <c r="H261" s="2">
        <v>6.5</v>
      </c>
      <c r="I261" s="2">
        <v>7.0</v>
      </c>
      <c r="J261" s="2">
        <v>26.0</v>
      </c>
      <c r="K261" s="3">
        <f t="shared" si="2"/>
        <v>6.263888889</v>
      </c>
      <c r="L261" s="2">
        <v>95.0</v>
      </c>
      <c r="M261" s="2">
        <v>167.0</v>
      </c>
      <c r="O261" s="3">
        <f t="shared" si="3"/>
        <v>167</v>
      </c>
      <c r="P261" s="2">
        <v>93.0</v>
      </c>
      <c r="Q261" s="2">
        <f t="shared" si="4"/>
        <v>13.575</v>
      </c>
      <c r="R261" s="2">
        <v>6.0</v>
      </c>
      <c r="S261" s="2">
        <v>6.0</v>
      </c>
      <c r="T261" s="2">
        <v>7.0</v>
      </c>
      <c r="U261" s="2">
        <v>12.0</v>
      </c>
      <c r="V261" s="2">
        <v>13.5</v>
      </c>
      <c r="W261" s="2">
        <v>13.5</v>
      </c>
      <c r="X261" s="2">
        <v>20.0</v>
      </c>
      <c r="Y261" s="2">
        <v>28.75</v>
      </c>
      <c r="Z261" s="2">
        <v>28.52</v>
      </c>
      <c r="AA261" s="2">
        <v>29.0</v>
      </c>
      <c r="AB261" s="2">
        <v>28.0</v>
      </c>
      <c r="AC261" s="2">
        <f t="shared" si="5"/>
        <v>9.6135</v>
      </c>
      <c r="AD261" s="2">
        <v>43.0</v>
      </c>
      <c r="AE261" s="2">
        <v>344.0</v>
      </c>
      <c r="AF261" s="2">
        <v>1.0</v>
      </c>
      <c r="AG261" s="3">
        <f t="shared" si="6"/>
        <v>9.6135</v>
      </c>
      <c r="AH261" s="3">
        <f t="shared" si="7"/>
        <v>9.675</v>
      </c>
      <c r="AI261" s="4">
        <f t="shared" si="8"/>
        <v>72.12738889</v>
      </c>
    </row>
    <row r="262" hidden="1">
      <c r="A262" s="1" t="s">
        <v>790</v>
      </c>
      <c r="B262" s="1" t="s">
        <v>791</v>
      </c>
      <c r="C262" s="2" t="s">
        <v>42</v>
      </c>
      <c r="D262" s="2" t="s">
        <v>792</v>
      </c>
      <c r="E262" s="2">
        <f>VLOOKUP(B262, 'ME-Subhashree'!$B$2:$F$56,5)</f>
        <v>52</v>
      </c>
      <c r="F262" s="2">
        <v>36.0</v>
      </c>
      <c r="G262" s="2">
        <f t="shared" si="1"/>
        <v>44</v>
      </c>
      <c r="H262" s="2">
        <v>14.0</v>
      </c>
      <c r="I262" s="2">
        <v>16.0</v>
      </c>
      <c r="J262" s="2">
        <v>32.0</v>
      </c>
      <c r="K262" s="3">
        <f t="shared" si="2"/>
        <v>11.05555556</v>
      </c>
      <c r="L262" s="2">
        <v>95.0</v>
      </c>
      <c r="M262" s="2">
        <v>200.0</v>
      </c>
      <c r="O262" s="3">
        <f t="shared" si="3"/>
        <v>200</v>
      </c>
      <c r="P262" s="2">
        <v>94.0</v>
      </c>
      <c r="Q262" s="2">
        <f t="shared" si="4"/>
        <v>14.45</v>
      </c>
      <c r="R262" s="2">
        <v>7.0</v>
      </c>
      <c r="S262" s="2">
        <v>9.0</v>
      </c>
      <c r="T262" s="2">
        <v>15.0</v>
      </c>
      <c r="U262" s="2">
        <v>15.0</v>
      </c>
      <c r="V262" s="2">
        <v>15.0</v>
      </c>
      <c r="W262" s="2">
        <v>14.5</v>
      </c>
      <c r="X262" s="2">
        <v>20.0</v>
      </c>
      <c r="Y262" s="2">
        <v>29.36</v>
      </c>
      <c r="Z262" s="2">
        <v>29.74</v>
      </c>
      <c r="AA262" s="2">
        <v>30.0</v>
      </c>
      <c r="AB262" s="2">
        <v>30.0</v>
      </c>
      <c r="AC262" s="2">
        <f t="shared" si="5"/>
        <v>10.73</v>
      </c>
      <c r="AD262" s="2">
        <v>43.0</v>
      </c>
      <c r="AE262" s="2">
        <v>345.0</v>
      </c>
      <c r="AF262" s="2">
        <v>1.0</v>
      </c>
      <c r="AG262" s="3">
        <f t="shared" si="6"/>
        <v>10.73</v>
      </c>
      <c r="AH262" s="3">
        <f t="shared" si="7"/>
        <v>9.7</v>
      </c>
      <c r="AI262" s="4">
        <f t="shared" si="8"/>
        <v>89.93555556</v>
      </c>
    </row>
    <row r="263" hidden="1">
      <c r="A263" s="1" t="s">
        <v>793</v>
      </c>
      <c r="B263" s="1" t="s">
        <v>794</v>
      </c>
      <c r="C263" s="2" t="s">
        <v>42</v>
      </c>
      <c r="D263" s="2" t="s">
        <v>795</v>
      </c>
      <c r="E263" s="2">
        <f>VLOOKUP(B263, 'ME-Subhashree'!$B$2:$F$56,5)</f>
        <v>51</v>
      </c>
      <c r="F263" s="2">
        <v>35.0</v>
      </c>
      <c r="G263" s="2">
        <f t="shared" si="1"/>
        <v>43</v>
      </c>
      <c r="H263" s="2">
        <v>16.0</v>
      </c>
      <c r="I263" s="2">
        <v>17.5</v>
      </c>
      <c r="J263" s="2">
        <v>35.0</v>
      </c>
      <c r="K263" s="3">
        <f t="shared" si="2"/>
        <v>12.26388889</v>
      </c>
      <c r="L263" s="2">
        <v>95.0</v>
      </c>
      <c r="M263" s="2">
        <v>200.0</v>
      </c>
      <c r="O263" s="3">
        <f t="shared" si="3"/>
        <v>200</v>
      </c>
      <c r="P263" s="2">
        <v>96.0</v>
      </c>
      <c r="Q263" s="2">
        <f t="shared" si="4"/>
        <v>14.55</v>
      </c>
      <c r="R263" s="2">
        <v>7.0</v>
      </c>
      <c r="S263" s="2">
        <v>7.0</v>
      </c>
      <c r="T263" s="2">
        <v>14.0</v>
      </c>
      <c r="U263" s="2">
        <v>10.0</v>
      </c>
      <c r="V263" s="2">
        <v>15.0</v>
      </c>
      <c r="W263" s="2">
        <v>14.0</v>
      </c>
      <c r="X263" s="2">
        <v>20.0</v>
      </c>
      <c r="Y263" s="2">
        <v>30.0</v>
      </c>
      <c r="Z263" s="2">
        <v>28.66</v>
      </c>
      <c r="AA263" s="2">
        <v>30.0</v>
      </c>
      <c r="AB263" s="2">
        <v>30.0</v>
      </c>
      <c r="AC263" s="2">
        <f t="shared" si="5"/>
        <v>10.283</v>
      </c>
      <c r="AD263" s="2">
        <v>44.0</v>
      </c>
      <c r="AE263" s="2">
        <v>345.0</v>
      </c>
      <c r="AF263" s="2">
        <v>1.0</v>
      </c>
      <c r="AG263" s="3">
        <f t="shared" si="6"/>
        <v>10.283</v>
      </c>
      <c r="AH263" s="3">
        <f t="shared" si="7"/>
        <v>9.725</v>
      </c>
      <c r="AI263" s="4">
        <f t="shared" si="8"/>
        <v>89.82188889</v>
      </c>
    </row>
    <row r="264" hidden="1">
      <c r="A264" s="1" t="s">
        <v>796</v>
      </c>
      <c r="B264" s="1" t="s">
        <v>797</v>
      </c>
      <c r="C264" s="2" t="s">
        <v>6</v>
      </c>
      <c r="D264" s="2" t="s">
        <v>798</v>
      </c>
      <c r="E264" s="2">
        <f>VLOOKUP(B264, 'ME-Subhashree'!$B$2:$F$56,5)</f>
        <v>41</v>
      </c>
      <c r="F264" s="2">
        <v>31.0</v>
      </c>
      <c r="G264" s="2">
        <f t="shared" si="1"/>
        <v>36</v>
      </c>
      <c r="H264" s="2">
        <v>14.0</v>
      </c>
      <c r="I264" s="2">
        <v>16.0</v>
      </c>
      <c r="J264" s="2">
        <v>26.0</v>
      </c>
      <c r="K264" s="3">
        <f t="shared" si="2"/>
        <v>10.38888889</v>
      </c>
      <c r="L264" s="2">
        <v>95.0</v>
      </c>
      <c r="M264" s="2">
        <v>200.0</v>
      </c>
      <c r="O264" s="3">
        <f t="shared" si="3"/>
        <v>200</v>
      </c>
      <c r="P264" s="2">
        <v>94.0</v>
      </c>
      <c r="Q264" s="2">
        <f t="shared" si="4"/>
        <v>14.45</v>
      </c>
      <c r="R264" s="2">
        <v>6.0</v>
      </c>
      <c r="S264" s="2">
        <v>9.0</v>
      </c>
      <c r="T264" s="2">
        <v>15.0</v>
      </c>
      <c r="U264" s="2">
        <v>12.0</v>
      </c>
      <c r="V264" s="2">
        <v>15.0</v>
      </c>
      <c r="W264" s="2">
        <v>14.0</v>
      </c>
      <c r="X264" s="2">
        <v>20.0</v>
      </c>
      <c r="Y264" s="2">
        <v>28.75</v>
      </c>
      <c r="Z264" s="2">
        <v>27.11</v>
      </c>
      <c r="AA264" s="2">
        <v>30.0</v>
      </c>
      <c r="AB264" s="2">
        <v>30.0</v>
      </c>
      <c r="AC264" s="2">
        <f t="shared" si="5"/>
        <v>10.343</v>
      </c>
      <c r="AD264" s="2">
        <v>42.0</v>
      </c>
      <c r="AE264" s="2">
        <v>342.0</v>
      </c>
      <c r="AF264" s="2">
        <v>1.0</v>
      </c>
      <c r="AG264" s="3">
        <f t="shared" si="6"/>
        <v>10.343</v>
      </c>
      <c r="AH264" s="3">
        <f t="shared" si="7"/>
        <v>9.6</v>
      </c>
      <c r="AI264" s="4">
        <f t="shared" si="8"/>
        <v>80.78188889</v>
      </c>
    </row>
    <row r="265" hidden="1">
      <c r="A265" s="1" t="s">
        <v>799</v>
      </c>
      <c r="B265" s="1" t="s">
        <v>800</v>
      </c>
      <c r="C265" s="2" t="s">
        <v>2</v>
      </c>
      <c r="D265" s="2" t="s">
        <v>801</v>
      </c>
      <c r="E265" s="2">
        <f>VLOOKUP(B265,'MM-Subhashree'!$B$2:F$26,5)</f>
        <v>35</v>
      </c>
      <c r="F265" s="2">
        <v>31.0</v>
      </c>
      <c r="G265" s="2">
        <f t="shared" si="1"/>
        <v>33</v>
      </c>
      <c r="H265" s="2">
        <v>8.0</v>
      </c>
      <c r="I265" s="2">
        <v>14.0</v>
      </c>
      <c r="J265" s="2">
        <v>40.0</v>
      </c>
      <c r="K265" s="3">
        <f t="shared" si="2"/>
        <v>9.944444444</v>
      </c>
      <c r="L265" s="2">
        <v>100.0</v>
      </c>
      <c r="M265" s="2">
        <v>196.0</v>
      </c>
      <c r="O265" s="3">
        <f t="shared" si="3"/>
        <v>196</v>
      </c>
      <c r="P265" s="2">
        <v>100.0</v>
      </c>
      <c r="Q265" s="2">
        <f t="shared" si="4"/>
        <v>14.9</v>
      </c>
      <c r="R265" s="2">
        <v>7.0</v>
      </c>
      <c r="S265" s="2">
        <v>9.0</v>
      </c>
      <c r="T265" s="2">
        <v>11.0</v>
      </c>
      <c r="U265" s="2">
        <v>14.0</v>
      </c>
      <c r="V265" s="2">
        <v>15.0</v>
      </c>
      <c r="W265" s="2">
        <v>12.5</v>
      </c>
      <c r="X265" s="2">
        <v>18.5</v>
      </c>
      <c r="Y265" s="2">
        <v>27.0</v>
      </c>
      <c r="Z265" s="2">
        <v>26.0</v>
      </c>
      <c r="AA265" s="2">
        <v>30.0</v>
      </c>
      <c r="AB265" s="2">
        <v>30.0</v>
      </c>
      <c r="AC265" s="2">
        <f t="shared" si="5"/>
        <v>10</v>
      </c>
      <c r="AD265" s="2">
        <v>50.0</v>
      </c>
      <c r="AE265" s="2">
        <v>350.0</v>
      </c>
      <c r="AF265" s="2">
        <v>1.0</v>
      </c>
      <c r="AG265" s="3">
        <f t="shared" si="6"/>
        <v>10</v>
      </c>
      <c r="AH265" s="3">
        <f t="shared" si="7"/>
        <v>10</v>
      </c>
      <c r="AI265" s="4">
        <f t="shared" si="8"/>
        <v>77.84444444</v>
      </c>
    </row>
    <row r="266" hidden="1">
      <c r="A266" s="1" t="s">
        <v>802</v>
      </c>
      <c r="B266" s="1" t="s">
        <v>803</v>
      </c>
      <c r="C266" s="2" t="s">
        <v>25</v>
      </c>
      <c r="D266" s="2" t="s">
        <v>804</v>
      </c>
      <c r="E266" s="2">
        <f>VLOOKUP(B266,'MM-Subhashree'!$B$2:F$26,5)</f>
        <v>38</v>
      </c>
      <c r="F266" s="2">
        <v>12.0</v>
      </c>
      <c r="G266" s="2">
        <f t="shared" si="1"/>
        <v>25</v>
      </c>
      <c r="H266" s="2">
        <v>4.0</v>
      </c>
      <c r="I266" s="2">
        <v>13.5</v>
      </c>
      <c r="J266" s="2">
        <v>39.0</v>
      </c>
      <c r="K266" s="3">
        <f t="shared" si="2"/>
        <v>8.708333333</v>
      </c>
      <c r="L266" s="2">
        <v>98.0</v>
      </c>
      <c r="M266" s="2">
        <v>185.0</v>
      </c>
      <c r="O266" s="3">
        <f t="shared" si="3"/>
        <v>185</v>
      </c>
      <c r="P266" s="2">
        <v>99.0</v>
      </c>
      <c r="Q266" s="2">
        <f t="shared" si="4"/>
        <v>14.475</v>
      </c>
      <c r="R266" s="2">
        <v>7.0</v>
      </c>
      <c r="S266" s="2">
        <v>3.0</v>
      </c>
      <c r="T266" s="2">
        <v>12.0</v>
      </c>
      <c r="U266" s="2">
        <v>14.0</v>
      </c>
      <c r="V266" s="2">
        <v>15.0</v>
      </c>
      <c r="W266" s="2">
        <v>11.0</v>
      </c>
      <c r="X266" s="2">
        <v>18.5</v>
      </c>
      <c r="Y266" s="2">
        <v>29.0</v>
      </c>
      <c r="Z266" s="2">
        <v>29.0</v>
      </c>
      <c r="AA266" s="2">
        <v>30.0</v>
      </c>
      <c r="AB266" s="2">
        <v>30.0</v>
      </c>
      <c r="AC266" s="2">
        <f t="shared" si="5"/>
        <v>9.925</v>
      </c>
      <c r="AD266" s="2">
        <v>48.0</v>
      </c>
      <c r="AE266" s="2">
        <v>350.0</v>
      </c>
      <c r="AF266" s="2">
        <v>1.0</v>
      </c>
      <c r="AG266" s="3">
        <f t="shared" si="6"/>
        <v>9.925</v>
      </c>
      <c r="AH266" s="3">
        <f t="shared" si="7"/>
        <v>9.95</v>
      </c>
      <c r="AI266" s="4">
        <f t="shared" si="8"/>
        <v>68.05833333</v>
      </c>
    </row>
    <row r="267" hidden="1">
      <c r="A267" s="1" t="s">
        <v>805</v>
      </c>
      <c r="B267" s="1" t="s">
        <v>806</v>
      </c>
      <c r="C267" s="2" t="s">
        <v>2</v>
      </c>
      <c r="D267" s="2" t="s">
        <v>807</v>
      </c>
      <c r="E267" s="2">
        <f>VLOOKUP(B267,'MM-Subhashree'!$B$2:F$26,5)</f>
        <v>33</v>
      </c>
      <c r="F267" s="2">
        <v>23.0</v>
      </c>
      <c r="G267" s="2">
        <f t="shared" si="1"/>
        <v>28</v>
      </c>
      <c r="H267" s="2">
        <v>9.5</v>
      </c>
      <c r="I267" s="2">
        <v>13.5</v>
      </c>
      <c r="J267" s="2">
        <v>38.0</v>
      </c>
      <c r="K267" s="3">
        <f t="shared" si="2"/>
        <v>9.972222222</v>
      </c>
      <c r="L267" s="2">
        <v>100.0</v>
      </c>
      <c r="M267" s="2">
        <v>193.0</v>
      </c>
      <c r="O267" s="3">
        <f t="shared" si="3"/>
        <v>193</v>
      </c>
      <c r="P267" s="2">
        <v>100.0</v>
      </c>
      <c r="Q267" s="2">
        <f t="shared" si="4"/>
        <v>14.825</v>
      </c>
      <c r="R267" s="2">
        <v>7.0</v>
      </c>
      <c r="S267" s="2">
        <v>6.0</v>
      </c>
      <c r="T267" s="2">
        <v>9.0</v>
      </c>
      <c r="U267" s="2">
        <v>14.0</v>
      </c>
      <c r="V267" s="2">
        <v>14.5</v>
      </c>
      <c r="W267" s="2">
        <v>14.0</v>
      </c>
      <c r="X267" s="2">
        <v>20.0</v>
      </c>
      <c r="Y267" s="2">
        <v>28.5</v>
      </c>
      <c r="Z267" s="2">
        <v>28.0</v>
      </c>
      <c r="AA267" s="2">
        <v>29.0</v>
      </c>
      <c r="AB267" s="2">
        <v>30.0</v>
      </c>
      <c r="AC267" s="2">
        <f t="shared" si="5"/>
        <v>10</v>
      </c>
      <c r="AD267" s="2">
        <v>49.0</v>
      </c>
      <c r="AE267" s="2">
        <v>350.0</v>
      </c>
      <c r="AF267" s="2">
        <v>1.0</v>
      </c>
      <c r="AG267" s="3">
        <f t="shared" si="6"/>
        <v>10</v>
      </c>
      <c r="AH267" s="3">
        <f t="shared" si="7"/>
        <v>9.975</v>
      </c>
      <c r="AI267" s="4">
        <f t="shared" si="8"/>
        <v>72.77222222</v>
      </c>
    </row>
    <row r="268" hidden="1">
      <c r="A268" s="1" t="s">
        <v>808</v>
      </c>
      <c r="B268" s="1" t="s">
        <v>809</v>
      </c>
      <c r="C268" s="2" t="s">
        <v>222</v>
      </c>
      <c r="D268" s="2" t="s">
        <v>810</v>
      </c>
      <c r="E268" s="2">
        <f>VLOOKUP(B268,'MM-Subhashree'!$B$2:F$26,5)</f>
        <v>20</v>
      </c>
      <c r="F268" s="2">
        <v>11.0</v>
      </c>
      <c r="G268" s="2">
        <f t="shared" si="1"/>
        <v>15.5</v>
      </c>
      <c r="I268" s="2">
        <v>5.0</v>
      </c>
      <c r="J268" s="2">
        <v>16.0</v>
      </c>
      <c r="K268" s="3">
        <f t="shared" si="2"/>
        <v>3.027777778</v>
      </c>
      <c r="N268" s="2">
        <v>165.0</v>
      </c>
      <c r="O268" s="3">
        <f t="shared" si="3"/>
        <v>165</v>
      </c>
      <c r="Q268" s="2">
        <f t="shared" si="4"/>
        <v>4.125</v>
      </c>
      <c r="R268" s="2">
        <v>6.0</v>
      </c>
      <c r="S268" s="2">
        <v>5.0</v>
      </c>
      <c r="T268" s="2">
        <v>6.0</v>
      </c>
      <c r="W268" s="2">
        <v>10.0</v>
      </c>
      <c r="X268" s="2">
        <v>18.0</v>
      </c>
      <c r="AA268" s="2">
        <v>28.0</v>
      </c>
      <c r="AC268" s="2">
        <f t="shared" si="5"/>
        <v>3.65</v>
      </c>
      <c r="AE268" s="2">
        <v>340.0</v>
      </c>
      <c r="AF268" s="2">
        <v>1.0</v>
      </c>
      <c r="AG268" s="3">
        <f t="shared" si="6"/>
        <v>3.65</v>
      </c>
      <c r="AH268" s="3">
        <f t="shared" si="7"/>
        <v>8.5</v>
      </c>
      <c r="AI268" s="4">
        <f t="shared" si="8"/>
        <v>34.80277778</v>
      </c>
    </row>
    <row r="269" hidden="1">
      <c r="A269" s="1" t="s">
        <v>811</v>
      </c>
      <c r="B269" s="1" t="s">
        <v>812</v>
      </c>
      <c r="C269" s="2" t="s">
        <v>6</v>
      </c>
      <c r="D269" s="2" t="s">
        <v>813</v>
      </c>
      <c r="E269" s="2">
        <f>VLOOKUP(B269,'MM-Subhashree'!$B$2:F$26,5)</f>
        <v>38</v>
      </c>
      <c r="F269" s="2">
        <v>38.0</v>
      </c>
      <c r="G269" s="2">
        <f t="shared" si="1"/>
        <v>38</v>
      </c>
      <c r="H269" s="2">
        <v>15.0</v>
      </c>
      <c r="I269" s="2">
        <v>20.0</v>
      </c>
      <c r="J269" s="2">
        <v>40.0</v>
      </c>
      <c r="K269" s="3">
        <f t="shared" si="2"/>
        <v>13.19444444</v>
      </c>
      <c r="L269" s="2">
        <v>98.0</v>
      </c>
      <c r="M269" s="2">
        <v>195.0</v>
      </c>
      <c r="O269" s="3">
        <f t="shared" si="3"/>
        <v>195</v>
      </c>
      <c r="P269" s="2">
        <v>100.0</v>
      </c>
      <c r="Q269" s="2">
        <f t="shared" si="4"/>
        <v>14.775</v>
      </c>
      <c r="R269" s="2">
        <v>7.0</v>
      </c>
      <c r="S269" s="2">
        <v>10.0</v>
      </c>
      <c r="T269" s="2">
        <v>9.0</v>
      </c>
      <c r="U269" s="2">
        <v>13.0</v>
      </c>
      <c r="V269" s="2">
        <v>15.0</v>
      </c>
      <c r="W269" s="2">
        <v>14.5</v>
      </c>
      <c r="X269" s="2">
        <v>20.0</v>
      </c>
      <c r="Y269" s="2">
        <v>27.5</v>
      </c>
      <c r="Z269" s="2">
        <v>27.0</v>
      </c>
      <c r="AA269" s="2">
        <v>30.0</v>
      </c>
      <c r="AB269" s="2">
        <v>30.0</v>
      </c>
      <c r="AC269" s="2">
        <f t="shared" si="5"/>
        <v>10.15</v>
      </c>
      <c r="AD269" s="2">
        <v>50.0</v>
      </c>
      <c r="AE269" s="2">
        <v>350.0</v>
      </c>
      <c r="AF269" s="2">
        <v>1.0</v>
      </c>
      <c r="AG269" s="3">
        <f t="shared" si="6"/>
        <v>10.15</v>
      </c>
      <c r="AH269" s="3">
        <f t="shared" si="7"/>
        <v>10</v>
      </c>
      <c r="AI269" s="4">
        <f t="shared" si="8"/>
        <v>86.11944444</v>
      </c>
    </row>
    <row r="270" hidden="1">
      <c r="A270" s="1" t="s">
        <v>814</v>
      </c>
      <c r="B270" s="1" t="s">
        <v>815</v>
      </c>
      <c r="C270" s="2" t="s">
        <v>32</v>
      </c>
      <c r="D270" s="2" t="s">
        <v>816</v>
      </c>
      <c r="E270" s="2">
        <f>VLOOKUP(B270,'MM-Subhashree'!$B$2:F$26,5)</f>
        <v>30</v>
      </c>
      <c r="F270" s="2">
        <v>4.0</v>
      </c>
      <c r="G270" s="2">
        <f t="shared" si="1"/>
        <v>17</v>
      </c>
      <c r="H270" s="2">
        <v>7.0</v>
      </c>
      <c r="I270" s="2">
        <v>13.0</v>
      </c>
      <c r="J270" s="2">
        <v>38.0</v>
      </c>
      <c r="K270" s="3">
        <f t="shared" si="2"/>
        <v>9.222222222</v>
      </c>
      <c r="L270" s="2">
        <v>87.0</v>
      </c>
      <c r="M270" s="2">
        <v>191.0</v>
      </c>
      <c r="O270" s="3">
        <f t="shared" si="3"/>
        <v>191</v>
      </c>
      <c r="P270" s="2">
        <v>99.0</v>
      </c>
      <c r="Q270" s="2">
        <f t="shared" si="4"/>
        <v>14.075</v>
      </c>
      <c r="R270" s="2">
        <v>7.0</v>
      </c>
      <c r="S270" s="2">
        <v>6.0</v>
      </c>
      <c r="T270" s="2">
        <v>9.0</v>
      </c>
      <c r="V270" s="2">
        <v>15.0</v>
      </c>
      <c r="W270" s="2">
        <v>15.0</v>
      </c>
      <c r="X270" s="2">
        <v>20.0</v>
      </c>
      <c r="Y270" s="2">
        <v>29.0</v>
      </c>
      <c r="Z270" s="2">
        <v>26.0</v>
      </c>
      <c r="AA270" s="2">
        <v>30.0</v>
      </c>
      <c r="AB270" s="2">
        <v>29.0</v>
      </c>
      <c r="AC270" s="2">
        <f t="shared" si="5"/>
        <v>9.3</v>
      </c>
      <c r="AD270" s="2">
        <v>49.0</v>
      </c>
      <c r="AE270" s="2">
        <v>350.0</v>
      </c>
      <c r="AF270" s="2">
        <v>1.0</v>
      </c>
      <c r="AG270" s="3">
        <f t="shared" si="6"/>
        <v>9.3</v>
      </c>
      <c r="AH270" s="3">
        <f t="shared" si="7"/>
        <v>9.975</v>
      </c>
      <c r="AI270" s="4">
        <f t="shared" si="8"/>
        <v>59.57222222</v>
      </c>
    </row>
    <row r="271" hidden="1">
      <c r="A271" s="1" t="s">
        <v>817</v>
      </c>
      <c r="B271" s="1" t="s">
        <v>818</v>
      </c>
      <c r="C271" s="2" t="s">
        <v>32</v>
      </c>
      <c r="D271" s="2" t="s">
        <v>819</v>
      </c>
      <c r="E271" s="2">
        <f>VLOOKUP(B271,'MM-Subhashree'!$B$2:F$26,5)</f>
        <v>37</v>
      </c>
      <c r="F271" s="2">
        <v>14.0</v>
      </c>
      <c r="G271" s="2">
        <f t="shared" si="1"/>
        <v>25.5</v>
      </c>
      <c r="H271" s="2">
        <v>9.0</v>
      </c>
      <c r="I271" s="2">
        <v>11.0</v>
      </c>
      <c r="J271" s="2">
        <v>16.0</v>
      </c>
      <c r="K271" s="3">
        <f t="shared" si="2"/>
        <v>6.777777778</v>
      </c>
      <c r="L271" s="2">
        <v>94.0</v>
      </c>
      <c r="M271" s="2">
        <v>170.0</v>
      </c>
      <c r="N271" s="2">
        <v>193.0</v>
      </c>
      <c r="O271" s="3">
        <f t="shared" si="3"/>
        <v>193</v>
      </c>
      <c r="P271" s="2">
        <v>100.0</v>
      </c>
      <c r="Q271" s="2">
        <f t="shared" si="4"/>
        <v>14.525</v>
      </c>
      <c r="R271" s="2">
        <v>7.0</v>
      </c>
      <c r="S271" s="2">
        <v>6.0</v>
      </c>
      <c r="T271" s="2">
        <v>12.0</v>
      </c>
      <c r="U271" s="2">
        <v>13.0</v>
      </c>
      <c r="V271" s="2">
        <v>15.0</v>
      </c>
      <c r="W271" s="2">
        <v>13.5</v>
      </c>
      <c r="X271" s="2">
        <v>18.5</v>
      </c>
      <c r="Y271" s="2">
        <v>28.5</v>
      </c>
      <c r="Z271" s="2">
        <v>28.5</v>
      </c>
      <c r="AA271" s="2">
        <v>30.0</v>
      </c>
      <c r="AC271" s="2">
        <f t="shared" si="5"/>
        <v>8.6</v>
      </c>
      <c r="AD271" s="2">
        <v>50.0</v>
      </c>
      <c r="AE271" s="2">
        <v>350.0</v>
      </c>
      <c r="AF271" s="2">
        <v>1.0</v>
      </c>
      <c r="AG271" s="3">
        <f t="shared" si="6"/>
        <v>8.6</v>
      </c>
      <c r="AH271" s="3">
        <f t="shared" si="7"/>
        <v>10</v>
      </c>
      <c r="AI271" s="4">
        <f t="shared" si="8"/>
        <v>65.40277778</v>
      </c>
    </row>
    <row r="272" hidden="1">
      <c r="A272" s="1" t="s">
        <v>820</v>
      </c>
      <c r="B272" s="1" t="s">
        <v>821</v>
      </c>
      <c r="C272" s="2" t="s">
        <v>25</v>
      </c>
      <c r="D272" s="2" t="s">
        <v>822</v>
      </c>
      <c r="E272" s="2">
        <f>VLOOKUP(B272,'MM-Subhashree'!$B$2:F$26,5)</f>
        <v>36</v>
      </c>
      <c r="F272" s="2">
        <v>17.0</v>
      </c>
      <c r="G272" s="2">
        <f t="shared" si="1"/>
        <v>26.5</v>
      </c>
      <c r="H272" s="2">
        <v>6.0</v>
      </c>
      <c r="I272" s="2">
        <v>13.5</v>
      </c>
      <c r="J272" s="2">
        <v>26.0</v>
      </c>
      <c r="K272" s="3">
        <f t="shared" si="2"/>
        <v>7.763888889</v>
      </c>
      <c r="L272" s="2">
        <v>100.0</v>
      </c>
      <c r="M272" s="2">
        <v>195.0</v>
      </c>
      <c r="O272" s="3">
        <f t="shared" si="3"/>
        <v>195</v>
      </c>
      <c r="P272" s="2">
        <v>99.0</v>
      </c>
      <c r="Q272" s="2">
        <f t="shared" si="4"/>
        <v>14.825</v>
      </c>
      <c r="R272" s="2">
        <v>7.0</v>
      </c>
      <c r="S272" s="2">
        <v>5.0</v>
      </c>
      <c r="T272" s="2">
        <v>12.0</v>
      </c>
      <c r="U272" s="2">
        <v>11.0</v>
      </c>
      <c r="V272" s="2">
        <v>14.5</v>
      </c>
      <c r="W272" s="2">
        <v>13.5</v>
      </c>
      <c r="X272" s="2">
        <v>20.0</v>
      </c>
      <c r="Y272" s="2">
        <v>28.0</v>
      </c>
      <c r="Z272" s="2">
        <v>25.0</v>
      </c>
      <c r="AA272" s="2">
        <v>30.0</v>
      </c>
      <c r="AB272" s="2">
        <v>30.0</v>
      </c>
      <c r="AC272" s="2">
        <f t="shared" si="5"/>
        <v>9.8</v>
      </c>
      <c r="AD272" s="2">
        <v>49.0</v>
      </c>
      <c r="AE272" s="2">
        <v>350.0</v>
      </c>
      <c r="AF272" s="2">
        <v>1.0</v>
      </c>
      <c r="AG272" s="3">
        <f t="shared" si="6"/>
        <v>9.8</v>
      </c>
      <c r="AH272" s="3">
        <f t="shared" si="7"/>
        <v>9.975</v>
      </c>
      <c r="AI272" s="4">
        <f t="shared" si="8"/>
        <v>68.86388889</v>
      </c>
    </row>
    <row r="273" hidden="1">
      <c r="A273" s="1" t="s">
        <v>823</v>
      </c>
      <c r="B273" s="1" t="s">
        <v>824</v>
      </c>
      <c r="C273" s="2" t="s">
        <v>32</v>
      </c>
      <c r="D273" s="2" t="s">
        <v>825</v>
      </c>
      <c r="E273" s="2">
        <f>VLOOKUP(B273,'MM-Subhashree'!$B$2:F$26,5)</f>
        <v>25</v>
      </c>
      <c r="F273" s="2">
        <v>27.0</v>
      </c>
      <c r="G273" s="2">
        <f t="shared" si="1"/>
        <v>26</v>
      </c>
      <c r="H273" s="2">
        <v>7.0</v>
      </c>
      <c r="I273" s="2">
        <v>11.0</v>
      </c>
      <c r="J273" s="2">
        <v>38.0</v>
      </c>
      <c r="K273" s="3">
        <f t="shared" si="2"/>
        <v>8.722222222</v>
      </c>
      <c r="L273" s="2">
        <v>90.0</v>
      </c>
      <c r="M273" s="2">
        <v>150.0</v>
      </c>
      <c r="N273" s="2">
        <v>195.0</v>
      </c>
      <c r="O273" s="3">
        <f t="shared" si="3"/>
        <v>195</v>
      </c>
      <c r="Q273" s="2">
        <f t="shared" si="4"/>
        <v>9.375</v>
      </c>
      <c r="R273" s="2">
        <v>7.0</v>
      </c>
      <c r="S273" s="2">
        <v>4.0</v>
      </c>
      <c r="U273" s="2">
        <v>13.0</v>
      </c>
      <c r="V273" s="2">
        <v>14.5</v>
      </c>
      <c r="W273" s="2">
        <v>11.0</v>
      </c>
      <c r="X273" s="2">
        <v>20.0</v>
      </c>
      <c r="Y273" s="2">
        <v>27.0</v>
      </c>
      <c r="AA273" s="2">
        <v>30.0</v>
      </c>
      <c r="AC273" s="2">
        <f t="shared" si="5"/>
        <v>6.325</v>
      </c>
      <c r="AD273" s="2">
        <v>50.0</v>
      </c>
      <c r="AE273" s="2">
        <v>350.0</v>
      </c>
      <c r="AF273" s="2">
        <v>1.0</v>
      </c>
      <c r="AG273" s="3">
        <f t="shared" si="6"/>
        <v>6.325</v>
      </c>
      <c r="AH273" s="3">
        <f t="shared" si="7"/>
        <v>10</v>
      </c>
      <c r="AI273" s="4">
        <f t="shared" si="8"/>
        <v>60.42222222</v>
      </c>
    </row>
    <row r="274" hidden="1">
      <c r="A274" s="1" t="s">
        <v>826</v>
      </c>
      <c r="B274" s="1" t="s">
        <v>827</v>
      </c>
      <c r="C274" s="2" t="s">
        <v>32</v>
      </c>
      <c r="D274" s="2" t="s">
        <v>828</v>
      </c>
      <c r="E274" s="2">
        <f>VLOOKUP(B274,'MM-Subhashree'!$B$2:F$26,5)</f>
        <v>28</v>
      </c>
      <c r="F274" s="2">
        <v>21.0</v>
      </c>
      <c r="G274" s="2">
        <f t="shared" si="1"/>
        <v>24.5</v>
      </c>
      <c r="H274" s="2">
        <v>4.0</v>
      </c>
      <c r="I274" s="2">
        <v>14.5</v>
      </c>
      <c r="J274" s="2">
        <v>38.0</v>
      </c>
      <c r="K274" s="3">
        <f t="shared" si="2"/>
        <v>8.847222222</v>
      </c>
      <c r="L274" s="2">
        <v>95.0</v>
      </c>
      <c r="M274" s="2">
        <v>168.0</v>
      </c>
      <c r="O274" s="3">
        <f t="shared" si="3"/>
        <v>168</v>
      </c>
      <c r="P274" s="2">
        <v>98.0</v>
      </c>
      <c r="Q274" s="2">
        <f t="shared" si="4"/>
        <v>13.85</v>
      </c>
      <c r="R274" s="2">
        <v>4.0</v>
      </c>
      <c r="S274" s="2">
        <v>8.0</v>
      </c>
      <c r="V274" s="2">
        <v>15.0</v>
      </c>
      <c r="W274" s="2">
        <v>11.5</v>
      </c>
      <c r="X274" s="2">
        <v>19.0</v>
      </c>
      <c r="Y274" s="2">
        <v>26.0</v>
      </c>
      <c r="Z274" s="2">
        <v>25.0</v>
      </c>
      <c r="AA274" s="2">
        <v>29.0</v>
      </c>
      <c r="AB274" s="2">
        <v>29.0</v>
      </c>
      <c r="AC274" s="2">
        <f t="shared" si="5"/>
        <v>8.325</v>
      </c>
      <c r="AD274" s="2">
        <v>49.0</v>
      </c>
      <c r="AE274" s="2">
        <v>350.0</v>
      </c>
      <c r="AF274" s="2">
        <v>1.0</v>
      </c>
      <c r="AG274" s="3">
        <f t="shared" si="6"/>
        <v>8.325</v>
      </c>
      <c r="AH274" s="3">
        <f t="shared" si="7"/>
        <v>9.975</v>
      </c>
      <c r="AI274" s="4">
        <f t="shared" si="8"/>
        <v>65.49722222</v>
      </c>
    </row>
    <row r="275" hidden="1">
      <c r="A275" s="1" t="s">
        <v>829</v>
      </c>
      <c r="B275" s="1" t="s">
        <v>830</v>
      </c>
      <c r="C275" s="2" t="s">
        <v>6</v>
      </c>
      <c r="D275" s="2" t="s">
        <v>831</v>
      </c>
      <c r="E275" s="2">
        <f>VLOOKUP(B275,'MM-Subhashree'!$B$2:F$26,5)</f>
        <v>53</v>
      </c>
      <c r="F275" s="2">
        <v>31.0</v>
      </c>
      <c r="G275" s="2">
        <f t="shared" si="1"/>
        <v>42</v>
      </c>
      <c r="H275" s="2">
        <v>16.0</v>
      </c>
      <c r="I275" s="2">
        <v>18.0</v>
      </c>
      <c r="J275" s="2">
        <v>39.0</v>
      </c>
      <c r="K275" s="3">
        <f t="shared" si="2"/>
        <v>12.83333333</v>
      </c>
      <c r="L275" s="2">
        <v>98.0</v>
      </c>
      <c r="M275" s="2">
        <v>160.0</v>
      </c>
      <c r="N275" s="2">
        <v>195.0</v>
      </c>
      <c r="O275" s="3">
        <f t="shared" si="3"/>
        <v>195</v>
      </c>
      <c r="P275" s="2">
        <v>100.0</v>
      </c>
      <c r="Q275" s="2">
        <f t="shared" si="4"/>
        <v>14.775</v>
      </c>
      <c r="R275" s="2">
        <v>7.0</v>
      </c>
      <c r="S275" s="2">
        <v>9.0</v>
      </c>
      <c r="T275" s="2">
        <v>15.0</v>
      </c>
      <c r="U275" s="2">
        <v>14.5</v>
      </c>
      <c r="V275" s="2">
        <v>15.0</v>
      </c>
      <c r="W275" s="2">
        <v>14.0</v>
      </c>
      <c r="X275" s="2">
        <v>20.0</v>
      </c>
      <c r="Y275" s="2">
        <v>29.0</v>
      </c>
      <c r="Z275" s="2">
        <v>27.0</v>
      </c>
      <c r="AA275" s="2">
        <v>30.0</v>
      </c>
      <c r="AC275" s="2">
        <f t="shared" si="5"/>
        <v>9.025</v>
      </c>
      <c r="AD275" s="2">
        <v>50.0</v>
      </c>
      <c r="AE275" s="2">
        <v>350.0</v>
      </c>
      <c r="AF275" s="2">
        <v>1.0</v>
      </c>
      <c r="AG275" s="3">
        <f t="shared" si="6"/>
        <v>9.025</v>
      </c>
      <c r="AH275" s="3">
        <f t="shared" si="7"/>
        <v>10</v>
      </c>
      <c r="AI275" s="4">
        <f t="shared" si="8"/>
        <v>88.63333333</v>
      </c>
    </row>
    <row r="276" hidden="1">
      <c r="A276" s="1" t="s">
        <v>832</v>
      </c>
      <c r="B276" s="1" t="s">
        <v>833</v>
      </c>
      <c r="C276" s="2" t="s">
        <v>32</v>
      </c>
      <c r="D276" s="2" t="s">
        <v>834</v>
      </c>
      <c r="E276" s="2">
        <f>VLOOKUP(B276,'MM-Subhashree'!$B$2:F$26,5)</f>
        <v>29</v>
      </c>
      <c r="F276" s="2">
        <v>8.0</v>
      </c>
      <c r="G276" s="2">
        <f t="shared" si="1"/>
        <v>18.5</v>
      </c>
      <c r="H276" s="2">
        <v>10.0</v>
      </c>
      <c r="I276" s="2">
        <v>13.5</v>
      </c>
      <c r="J276" s="2">
        <v>40.0</v>
      </c>
      <c r="K276" s="3">
        <f t="shared" si="2"/>
        <v>10.31944444</v>
      </c>
      <c r="L276" s="2">
        <v>85.0</v>
      </c>
      <c r="M276" s="2">
        <v>193.0</v>
      </c>
      <c r="O276" s="3">
        <f t="shared" si="3"/>
        <v>193</v>
      </c>
      <c r="P276" s="2">
        <v>98.0</v>
      </c>
      <c r="Q276" s="2">
        <f t="shared" si="4"/>
        <v>13.975</v>
      </c>
      <c r="R276" s="2">
        <v>5.0</v>
      </c>
      <c r="S276" s="2">
        <v>8.0</v>
      </c>
      <c r="T276" s="2">
        <v>9.0</v>
      </c>
      <c r="U276" s="2">
        <v>14.5</v>
      </c>
      <c r="V276" s="2">
        <v>15.0</v>
      </c>
      <c r="W276" s="2">
        <v>13.0</v>
      </c>
      <c r="X276" s="2">
        <v>19.5</v>
      </c>
      <c r="Y276" s="2">
        <v>27.0</v>
      </c>
      <c r="Z276" s="2">
        <v>26.0</v>
      </c>
      <c r="AA276" s="2">
        <v>30.0</v>
      </c>
      <c r="AB276" s="2">
        <v>30.0</v>
      </c>
      <c r="AC276" s="2">
        <f t="shared" si="5"/>
        <v>9.85</v>
      </c>
      <c r="AD276" s="2">
        <v>50.0</v>
      </c>
      <c r="AE276" s="2">
        <v>350.0</v>
      </c>
      <c r="AF276" s="2">
        <v>1.0</v>
      </c>
      <c r="AG276" s="3">
        <f t="shared" si="6"/>
        <v>9.85</v>
      </c>
      <c r="AH276" s="3">
        <f t="shared" si="7"/>
        <v>10</v>
      </c>
      <c r="AI276" s="4">
        <f t="shared" si="8"/>
        <v>62.64444444</v>
      </c>
    </row>
    <row r="277" hidden="1">
      <c r="A277" s="1" t="s">
        <v>835</v>
      </c>
      <c r="B277" s="1" t="s">
        <v>836</v>
      </c>
      <c r="C277" s="2" t="s">
        <v>2</v>
      </c>
      <c r="D277" s="2" t="s">
        <v>837</v>
      </c>
      <c r="E277" s="2">
        <f>VLOOKUP(B277,'MM-Subhashree'!$B$2:F$26,5)</f>
        <v>42</v>
      </c>
      <c r="F277" s="2">
        <v>17.0</v>
      </c>
      <c r="G277" s="2">
        <f t="shared" si="1"/>
        <v>29.5</v>
      </c>
      <c r="H277" s="2">
        <v>13.0</v>
      </c>
      <c r="I277" s="2">
        <v>15.0</v>
      </c>
      <c r="J277" s="2">
        <v>40.0</v>
      </c>
      <c r="K277" s="3">
        <f t="shared" si="2"/>
        <v>11.44444444</v>
      </c>
      <c r="L277" s="2">
        <v>96.0</v>
      </c>
      <c r="M277" s="2">
        <v>197.0</v>
      </c>
      <c r="O277" s="3">
        <f t="shared" si="3"/>
        <v>197</v>
      </c>
      <c r="P277" s="2">
        <v>100.0</v>
      </c>
      <c r="Q277" s="2">
        <f t="shared" si="4"/>
        <v>14.725</v>
      </c>
      <c r="R277" s="2">
        <v>7.0</v>
      </c>
      <c r="S277" s="2">
        <v>6.0</v>
      </c>
      <c r="T277" s="2">
        <v>12.0</v>
      </c>
      <c r="U277" s="2">
        <v>13.0</v>
      </c>
      <c r="V277" s="2">
        <v>15.0</v>
      </c>
      <c r="W277" s="2">
        <v>14.0</v>
      </c>
      <c r="X277" s="2">
        <v>19.5</v>
      </c>
      <c r="Y277" s="2">
        <v>28.0</v>
      </c>
      <c r="Z277" s="2">
        <v>27.0</v>
      </c>
      <c r="AA277" s="2">
        <v>29.0</v>
      </c>
      <c r="AB277" s="2">
        <v>30.0</v>
      </c>
      <c r="AC277" s="2">
        <f t="shared" si="5"/>
        <v>10.025</v>
      </c>
      <c r="AD277" s="2">
        <v>50.0</v>
      </c>
      <c r="AE277" s="2">
        <v>350.0</v>
      </c>
      <c r="AF277" s="2">
        <v>1.0</v>
      </c>
      <c r="AG277" s="3">
        <f t="shared" si="6"/>
        <v>10.025</v>
      </c>
      <c r="AH277" s="3">
        <f t="shared" si="7"/>
        <v>10</v>
      </c>
      <c r="AI277" s="4">
        <f t="shared" si="8"/>
        <v>75.69444444</v>
      </c>
    </row>
    <row r="278" hidden="1">
      <c r="A278" s="1" t="s">
        <v>838</v>
      </c>
      <c r="B278" s="1" t="s">
        <v>839</v>
      </c>
      <c r="C278" s="2" t="s">
        <v>32</v>
      </c>
      <c r="D278" s="2" t="s">
        <v>840</v>
      </c>
      <c r="E278" s="2">
        <f>VLOOKUP(B278,'MM-Subhashree'!$B$2:F$26,5)</f>
        <v>21</v>
      </c>
      <c r="F278" s="2">
        <v>16.0</v>
      </c>
      <c r="G278" s="2">
        <f t="shared" si="1"/>
        <v>18.5</v>
      </c>
      <c r="H278" s="2">
        <v>4.0</v>
      </c>
      <c r="I278" s="2">
        <v>1.0</v>
      </c>
      <c r="J278" s="2">
        <v>39.0</v>
      </c>
      <c r="K278" s="3">
        <f t="shared" si="2"/>
        <v>5.583333333</v>
      </c>
      <c r="L278" s="2">
        <v>100.0</v>
      </c>
      <c r="M278" s="2">
        <v>189.0</v>
      </c>
      <c r="O278" s="3">
        <f t="shared" si="3"/>
        <v>189</v>
      </c>
      <c r="P278" s="2">
        <v>98.0</v>
      </c>
      <c r="Q278" s="2">
        <f t="shared" si="4"/>
        <v>14.625</v>
      </c>
      <c r="R278" s="2">
        <v>7.0</v>
      </c>
      <c r="S278" s="2">
        <v>6.0</v>
      </c>
      <c r="T278" s="2">
        <v>14.0</v>
      </c>
      <c r="U278" s="2">
        <v>13.0</v>
      </c>
      <c r="V278" s="2">
        <v>14.5</v>
      </c>
      <c r="W278" s="2">
        <v>7.5</v>
      </c>
      <c r="X278" s="2">
        <v>19.5</v>
      </c>
      <c r="Y278" s="2">
        <v>28.0</v>
      </c>
      <c r="Z278" s="2">
        <v>25.0</v>
      </c>
      <c r="AA278" s="2">
        <v>29.0</v>
      </c>
      <c r="AB278" s="2">
        <v>28.0</v>
      </c>
      <c r="AC278" s="2">
        <f t="shared" si="5"/>
        <v>9.575</v>
      </c>
      <c r="AD278" s="2">
        <v>48.0</v>
      </c>
      <c r="AE278" s="2">
        <v>350.0</v>
      </c>
      <c r="AF278" s="2">
        <v>1.0</v>
      </c>
      <c r="AG278" s="3">
        <f t="shared" si="6"/>
        <v>9.575</v>
      </c>
      <c r="AH278" s="3">
        <f t="shared" si="7"/>
        <v>9.95</v>
      </c>
      <c r="AI278" s="4">
        <f t="shared" si="8"/>
        <v>58.23333333</v>
      </c>
    </row>
    <row r="279" hidden="1">
      <c r="A279" s="1" t="s">
        <v>841</v>
      </c>
      <c r="B279" s="1" t="s">
        <v>842</v>
      </c>
      <c r="C279" s="2" t="s">
        <v>25</v>
      </c>
      <c r="D279" s="2" t="s">
        <v>843</v>
      </c>
      <c r="E279" s="2">
        <f>VLOOKUP(B279,'MM-Subhashree'!$B$2:F$26,5)</f>
        <v>33</v>
      </c>
      <c r="F279" s="2">
        <v>13.0</v>
      </c>
      <c r="G279" s="2">
        <f t="shared" si="1"/>
        <v>23</v>
      </c>
      <c r="H279" s="2">
        <v>6.0</v>
      </c>
      <c r="I279" s="2">
        <v>9.0</v>
      </c>
      <c r="J279" s="2">
        <v>39.0</v>
      </c>
      <c r="K279" s="3">
        <f t="shared" si="2"/>
        <v>8.083333333</v>
      </c>
      <c r="L279" s="2">
        <v>100.0</v>
      </c>
      <c r="M279" s="2">
        <v>183.0</v>
      </c>
      <c r="O279" s="3">
        <f t="shared" si="3"/>
        <v>183</v>
      </c>
      <c r="P279" s="2">
        <v>98.0</v>
      </c>
      <c r="Q279" s="2">
        <f t="shared" si="4"/>
        <v>14.475</v>
      </c>
      <c r="R279" s="2">
        <v>7.0</v>
      </c>
      <c r="S279" s="2">
        <v>4.0</v>
      </c>
      <c r="T279" s="2">
        <v>12.0</v>
      </c>
      <c r="U279" s="2">
        <v>14.5</v>
      </c>
      <c r="V279" s="2">
        <v>15.0</v>
      </c>
      <c r="W279" s="2">
        <v>14.5</v>
      </c>
      <c r="X279" s="2">
        <v>19.0</v>
      </c>
      <c r="Y279" s="2">
        <v>27.0</v>
      </c>
      <c r="Z279" s="2">
        <v>28.0</v>
      </c>
      <c r="AA279" s="2">
        <v>29.0</v>
      </c>
      <c r="AB279" s="2">
        <v>30.0</v>
      </c>
      <c r="AC279" s="2">
        <f t="shared" si="5"/>
        <v>10</v>
      </c>
      <c r="AD279" s="2">
        <v>49.0</v>
      </c>
      <c r="AE279" s="2">
        <v>350.0</v>
      </c>
      <c r="AF279" s="2">
        <v>1.0</v>
      </c>
      <c r="AG279" s="3">
        <f t="shared" si="6"/>
        <v>10</v>
      </c>
      <c r="AH279" s="3">
        <f t="shared" si="7"/>
        <v>9.975</v>
      </c>
      <c r="AI279" s="4">
        <f t="shared" si="8"/>
        <v>65.53333333</v>
      </c>
    </row>
    <row r="280" hidden="1">
      <c r="A280" s="1" t="s">
        <v>844</v>
      </c>
      <c r="B280" s="1" t="s">
        <v>845</v>
      </c>
      <c r="C280" s="2" t="s">
        <v>32</v>
      </c>
      <c r="D280" s="2" t="s">
        <v>846</v>
      </c>
      <c r="E280" s="2">
        <f>VLOOKUP(B280,'MM-Subhashree'!$B$2:F$26,5)</f>
        <v>25</v>
      </c>
      <c r="F280" s="2">
        <v>10.0</v>
      </c>
      <c r="G280" s="2">
        <f t="shared" si="1"/>
        <v>17.5</v>
      </c>
      <c r="H280" s="2">
        <v>9.0</v>
      </c>
      <c r="I280" s="2">
        <v>13.0</v>
      </c>
      <c r="J280" s="2">
        <v>39.0</v>
      </c>
      <c r="K280" s="3">
        <f t="shared" si="2"/>
        <v>9.833333333</v>
      </c>
      <c r="L280" s="2">
        <v>82.0</v>
      </c>
      <c r="M280" s="2">
        <v>156.0</v>
      </c>
      <c r="O280" s="3">
        <f t="shared" si="3"/>
        <v>156</v>
      </c>
      <c r="P280" s="2">
        <v>98.0</v>
      </c>
      <c r="Q280" s="2">
        <f t="shared" si="4"/>
        <v>12.9</v>
      </c>
      <c r="R280" s="2">
        <v>7.0</v>
      </c>
      <c r="S280" s="2">
        <v>3.0</v>
      </c>
      <c r="T280" s="2">
        <v>6.0</v>
      </c>
      <c r="U280" s="2">
        <v>14.0</v>
      </c>
      <c r="V280" s="2">
        <v>15.0</v>
      </c>
      <c r="W280" s="2">
        <v>12.0</v>
      </c>
      <c r="X280" s="2">
        <v>19.0</v>
      </c>
      <c r="Y280" s="2">
        <v>29.0</v>
      </c>
      <c r="Z280" s="2">
        <v>28.0</v>
      </c>
      <c r="AA280" s="2">
        <v>29.0</v>
      </c>
      <c r="AB280" s="2">
        <v>29.0</v>
      </c>
      <c r="AC280" s="2">
        <f t="shared" si="5"/>
        <v>9.55</v>
      </c>
      <c r="AD280" s="2">
        <v>49.0</v>
      </c>
      <c r="AE280" s="2">
        <v>350.0</v>
      </c>
      <c r="AF280" s="2">
        <v>1.0</v>
      </c>
      <c r="AG280" s="3">
        <f t="shared" si="6"/>
        <v>9.55</v>
      </c>
      <c r="AH280" s="3">
        <f t="shared" si="7"/>
        <v>9.975</v>
      </c>
      <c r="AI280" s="4">
        <f t="shared" si="8"/>
        <v>59.75833333</v>
      </c>
    </row>
    <row r="281" hidden="1">
      <c r="A281" s="1" t="s">
        <v>847</v>
      </c>
      <c r="B281" s="1" t="s">
        <v>848</v>
      </c>
      <c r="C281" s="2" t="s">
        <v>25</v>
      </c>
      <c r="D281" s="2" t="s">
        <v>849</v>
      </c>
      <c r="E281" s="2">
        <f>VLOOKUP(B281,'MM-Subhashree'!$B$2:F$26,5)</f>
        <v>38</v>
      </c>
      <c r="F281" s="2">
        <v>27.0</v>
      </c>
      <c r="G281" s="2">
        <f t="shared" si="1"/>
        <v>32.5</v>
      </c>
      <c r="I281" s="2">
        <v>12.0</v>
      </c>
      <c r="J281" s="2">
        <v>40.0</v>
      </c>
      <c r="K281" s="3">
        <f t="shared" si="2"/>
        <v>7.444444444</v>
      </c>
      <c r="M281" s="2">
        <v>196.0</v>
      </c>
      <c r="O281" s="3">
        <f t="shared" si="3"/>
        <v>196</v>
      </c>
      <c r="P281" s="2">
        <v>100.0</v>
      </c>
      <c r="Q281" s="2">
        <f t="shared" si="4"/>
        <v>9.9</v>
      </c>
      <c r="R281" s="2">
        <v>7.0</v>
      </c>
      <c r="S281" s="2">
        <v>9.0</v>
      </c>
      <c r="T281" s="2">
        <v>10.0</v>
      </c>
      <c r="U281" s="2">
        <v>13.0</v>
      </c>
      <c r="V281" s="2">
        <v>15.0</v>
      </c>
      <c r="W281" s="2">
        <v>14.5</v>
      </c>
      <c r="X281" s="2">
        <v>19.5</v>
      </c>
      <c r="Z281" s="2">
        <v>27.0</v>
      </c>
      <c r="AA281" s="2">
        <v>30.0</v>
      </c>
      <c r="AC281" s="2">
        <f t="shared" si="5"/>
        <v>7.25</v>
      </c>
      <c r="AD281" s="2">
        <v>50.0</v>
      </c>
      <c r="AE281" s="2">
        <v>350.0</v>
      </c>
      <c r="AF281" s="2">
        <v>1.0</v>
      </c>
      <c r="AG281" s="3">
        <f t="shared" si="6"/>
        <v>7.25</v>
      </c>
      <c r="AH281" s="3">
        <f t="shared" si="7"/>
        <v>10</v>
      </c>
      <c r="AI281" s="4">
        <f t="shared" si="8"/>
        <v>67.09444444</v>
      </c>
    </row>
    <row r="282" hidden="1">
      <c r="A282" s="1" t="s">
        <v>850</v>
      </c>
      <c r="B282" s="1" t="s">
        <v>851</v>
      </c>
      <c r="C282" s="2" t="s">
        <v>25</v>
      </c>
      <c r="D282" s="2" t="s">
        <v>852</v>
      </c>
      <c r="E282" s="2">
        <f>VLOOKUP(B282,'MM-Subhashree'!$B$2:F$26,5)</f>
        <v>36</v>
      </c>
      <c r="F282" s="2">
        <v>22.0</v>
      </c>
      <c r="G282" s="2">
        <f t="shared" si="1"/>
        <v>29</v>
      </c>
      <c r="H282" s="2">
        <v>7.0</v>
      </c>
      <c r="I282" s="2">
        <v>18.0</v>
      </c>
      <c r="J282" s="2">
        <v>40.0</v>
      </c>
      <c r="K282" s="3">
        <f t="shared" si="2"/>
        <v>10.69444444</v>
      </c>
      <c r="L282" s="2">
        <v>90.0</v>
      </c>
      <c r="M282" s="2">
        <v>196.0</v>
      </c>
      <c r="O282" s="3">
        <f t="shared" si="3"/>
        <v>196</v>
      </c>
      <c r="P282" s="2">
        <v>100.0</v>
      </c>
      <c r="Q282" s="2">
        <f t="shared" si="4"/>
        <v>14.4</v>
      </c>
      <c r="R282" s="2">
        <v>7.0</v>
      </c>
      <c r="S282" s="2">
        <v>8.0</v>
      </c>
      <c r="T282" s="2">
        <v>14.0</v>
      </c>
      <c r="V282" s="2">
        <v>15.0</v>
      </c>
      <c r="W282" s="2">
        <v>15.0</v>
      </c>
      <c r="X282" s="2">
        <v>19.5</v>
      </c>
      <c r="Y282" s="2">
        <v>26.0</v>
      </c>
      <c r="Z282" s="2">
        <v>29.0</v>
      </c>
      <c r="AA282" s="2">
        <v>29.0</v>
      </c>
      <c r="AB282" s="2">
        <v>29.0</v>
      </c>
      <c r="AC282" s="2">
        <f t="shared" si="5"/>
        <v>9.575</v>
      </c>
      <c r="AD282" s="2">
        <v>50.0</v>
      </c>
      <c r="AE282" s="2">
        <v>350.0</v>
      </c>
      <c r="AF282" s="2">
        <v>0.5</v>
      </c>
      <c r="AG282" s="3">
        <f t="shared" si="6"/>
        <v>4.7875</v>
      </c>
      <c r="AH282" s="3">
        <f t="shared" si="7"/>
        <v>10</v>
      </c>
      <c r="AI282" s="4">
        <f t="shared" si="8"/>
        <v>68.88194444</v>
      </c>
    </row>
    <row r="283" hidden="1">
      <c r="A283" s="1" t="s">
        <v>853</v>
      </c>
      <c r="B283" s="1" t="s">
        <v>854</v>
      </c>
      <c r="C283" s="2" t="s">
        <v>6</v>
      </c>
      <c r="D283" s="2" t="s">
        <v>855</v>
      </c>
      <c r="E283" s="2">
        <f>VLOOKUP(B283,'MM-Subhashree'!$B$2:F$26,5)</f>
        <v>35</v>
      </c>
      <c r="F283" s="2">
        <v>37.0</v>
      </c>
      <c r="G283" s="2">
        <f t="shared" si="1"/>
        <v>36</v>
      </c>
      <c r="H283" s="2">
        <v>15.0</v>
      </c>
      <c r="I283" s="2">
        <v>18.0</v>
      </c>
      <c r="J283" s="2">
        <v>44.0</v>
      </c>
      <c r="K283" s="3">
        <f t="shared" si="2"/>
        <v>13.13888889</v>
      </c>
      <c r="L283" s="2">
        <v>100.0</v>
      </c>
      <c r="M283" s="2">
        <v>200.0</v>
      </c>
      <c r="O283" s="3">
        <f t="shared" si="3"/>
        <v>200</v>
      </c>
      <c r="P283" s="2">
        <v>100.0</v>
      </c>
      <c r="Q283" s="2">
        <f t="shared" si="4"/>
        <v>15</v>
      </c>
      <c r="R283" s="2">
        <v>6.0</v>
      </c>
      <c r="S283" s="2">
        <v>10.0</v>
      </c>
      <c r="T283" s="2">
        <v>12.0</v>
      </c>
      <c r="U283" s="2">
        <v>14.5</v>
      </c>
      <c r="V283" s="2">
        <v>15.0</v>
      </c>
      <c r="W283" s="2">
        <v>14.5</v>
      </c>
      <c r="X283" s="2">
        <v>20.0</v>
      </c>
      <c r="Y283" s="2">
        <v>27.0</v>
      </c>
      <c r="Z283" s="2">
        <v>27.0</v>
      </c>
      <c r="AA283" s="2">
        <v>30.0</v>
      </c>
      <c r="AB283" s="2">
        <v>30.0</v>
      </c>
      <c r="AC283" s="2">
        <f t="shared" si="5"/>
        <v>10.3</v>
      </c>
      <c r="AD283" s="2">
        <v>50.0</v>
      </c>
      <c r="AE283" s="2">
        <v>350.0</v>
      </c>
      <c r="AF283" s="2">
        <v>1.0</v>
      </c>
      <c r="AG283" s="3">
        <f t="shared" si="6"/>
        <v>10.3</v>
      </c>
      <c r="AH283" s="3">
        <f t="shared" si="7"/>
        <v>10</v>
      </c>
      <c r="AI283" s="4">
        <f t="shared" si="8"/>
        <v>84.43888889</v>
      </c>
    </row>
    <row r="284" hidden="1">
      <c r="A284" s="1" t="s">
        <v>856</v>
      </c>
      <c r="B284" s="1" t="s">
        <v>857</v>
      </c>
      <c r="C284" s="2" t="s">
        <v>6</v>
      </c>
      <c r="D284" s="2" t="s">
        <v>858</v>
      </c>
      <c r="E284" s="2">
        <f>VLOOKUP(B284,'MM-Subhashree'!$B$2:F$26,5)</f>
        <v>47</v>
      </c>
      <c r="F284" s="2">
        <v>30.0</v>
      </c>
      <c r="G284" s="2">
        <f t="shared" si="1"/>
        <v>38.5</v>
      </c>
      <c r="H284" s="2">
        <v>11.0</v>
      </c>
      <c r="I284" s="2">
        <v>17.0</v>
      </c>
      <c r="J284" s="2">
        <v>39.0</v>
      </c>
      <c r="K284" s="3">
        <f t="shared" si="2"/>
        <v>11.33333333</v>
      </c>
      <c r="L284" s="2">
        <v>100.0</v>
      </c>
      <c r="M284" s="2">
        <v>195.0</v>
      </c>
      <c r="O284" s="3">
        <f t="shared" si="3"/>
        <v>195</v>
      </c>
      <c r="P284" s="2">
        <v>100.0</v>
      </c>
      <c r="Q284" s="2">
        <f t="shared" si="4"/>
        <v>14.875</v>
      </c>
      <c r="R284" s="2">
        <v>7.0</v>
      </c>
      <c r="S284" s="2">
        <v>5.0</v>
      </c>
      <c r="T284" s="2">
        <v>13.0</v>
      </c>
      <c r="U284" s="2">
        <v>13.0</v>
      </c>
      <c r="V284" s="2">
        <v>15.0</v>
      </c>
      <c r="W284" s="2">
        <v>14.5</v>
      </c>
      <c r="X284" s="2">
        <v>19.0</v>
      </c>
      <c r="Y284" s="2">
        <v>28.0</v>
      </c>
      <c r="Z284" s="2">
        <v>25.0</v>
      </c>
      <c r="AA284" s="2">
        <v>30.0</v>
      </c>
      <c r="AB284" s="2">
        <v>30.0</v>
      </c>
      <c r="AC284" s="2">
        <f t="shared" si="5"/>
        <v>9.975</v>
      </c>
      <c r="AD284" s="2">
        <v>49.0</v>
      </c>
      <c r="AE284" s="2">
        <v>350.0</v>
      </c>
      <c r="AF284" s="2">
        <v>1.0</v>
      </c>
      <c r="AG284" s="3">
        <f t="shared" si="6"/>
        <v>9.975</v>
      </c>
      <c r="AH284" s="3">
        <f t="shared" si="7"/>
        <v>9.975</v>
      </c>
      <c r="AI284" s="4">
        <f t="shared" si="8"/>
        <v>84.65833333</v>
      </c>
    </row>
    <row r="285" hidden="1">
      <c r="A285" s="1" t="s">
        <v>859</v>
      </c>
      <c r="B285" s="1" t="s">
        <v>860</v>
      </c>
      <c r="C285" s="2" t="s">
        <v>6</v>
      </c>
      <c r="D285" s="2" t="s">
        <v>861</v>
      </c>
      <c r="E285" s="2">
        <f>VLOOKUP(B285,'MM-Subhashree'!$B$2:F$26,5)</f>
        <v>46</v>
      </c>
      <c r="F285" s="2">
        <v>28.0</v>
      </c>
      <c r="G285" s="2">
        <f t="shared" si="1"/>
        <v>37</v>
      </c>
      <c r="H285" s="2">
        <v>13.0</v>
      </c>
      <c r="I285" s="2">
        <v>15.5</v>
      </c>
      <c r="J285" s="2">
        <v>40.0</v>
      </c>
      <c r="K285" s="3">
        <f t="shared" si="2"/>
        <v>11.56944444</v>
      </c>
      <c r="L285" s="2">
        <v>100.0</v>
      </c>
      <c r="M285" s="2">
        <v>196.0</v>
      </c>
      <c r="O285" s="3">
        <f t="shared" si="3"/>
        <v>196</v>
      </c>
      <c r="P285" s="2">
        <v>100.0</v>
      </c>
      <c r="Q285" s="2">
        <f t="shared" si="4"/>
        <v>14.9</v>
      </c>
      <c r="R285" s="2">
        <v>7.0</v>
      </c>
      <c r="S285" s="2">
        <v>9.0</v>
      </c>
      <c r="T285" s="2">
        <v>15.0</v>
      </c>
      <c r="U285" s="2">
        <v>15.0</v>
      </c>
      <c r="V285" s="2">
        <v>15.0</v>
      </c>
      <c r="W285" s="2">
        <v>14.5</v>
      </c>
      <c r="X285" s="2">
        <v>20.0</v>
      </c>
      <c r="Y285" s="2">
        <v>27.5</v>
      </c>
      <c r="Z285" s="2">
        <v>27.5</v>
      </c>
      <c r="AA285" s="2">
        <v>30.0</v>
      </c>
      <c r="AB285" s="2">
        <v>27.0</v>
      </c>
      <c r="AC285" s="2">
        <f t="shared" si="5"/>
        <v>10.375</v>
      </c>
      <c r="AD285" s="2">
        <v>50.0</v>
      </c>
      <c r="AE285" s="2">
        <v>350.0</v>
      </c>
      <c r="AF285" s="2">
        <v>1.0</v>
      </c>
      <c r="AG285" s="3">
        <f t="shared" si="6"/>
        <v>10.375</v>
      </c>
      <c r="AH285" s="3">
        <f t="shared" si="7"/>
        <v>10</v>
      </c>
      <c r="AI285" s="4">
        <f t="shared" si="8"/>
        <v>83.84444444</v>
      </c>
    </row>
    <row r="286" hidden="1">
      <c r="A286" s="1" t="s">
        <v>862</v>
      </c>
      <c r="B286" s="1" t="s">
        <v>863</v>
      </c>
      <c r="C286" s="2" t="s">
        <v>2</v>
      </c>
      <c r="D286" s="2" t="s">
        <v>864</v>
      </c>
      <c r="E286" s="2">
        <f>VLOOKUP(B286,'MM-Subhashree'!$B$2:F$26,5)</f>
        <v>34</v>
      </c>
      <c r="F286" s="2">
        <v>28.0</v>
      </c>
      <c r="G286" s="2">
        <f t="shared" si="1"/>
        <v>31</v>
      </c>
      <c r="H286" s="2">
        <v>11.0</v>
      </c>
      <c r="I286" s="2">
        <v>15.0</v>
      </c>
      <c r="J286" s="2">
        <v>38.0</v>
      </c>
      <c r="K286" s="3">
        <f t="shared" si="2"/>
        <v>10.72222222</v>
      </c>
      <c r="L286" s="2">
        <v>96.0</v>
      </c>
      <c r="M286" s="2">
        <v>160.0</v>
      </c>
      <c r="N286" s="2">
        <v>190.0</v>
      </c>
      <c r="O286" s="3">
        <f t="shared" si="3"/>
        <v>190</v>
      </c>
      <c r="P286" s="2">
        <v>99.0</v>
      </c>
      <c r="Q286" s="2">
        <f t="shared" si="4"/>
        <v>14.5</v>
      </c>
      <c r="R286" s="2">
        <v>7.0</v>
      </c>
      <c r="S286" s="2">
        <v>9.0</v>
      </c>
      <c r="T286" s="2">
        <v>9.0</v>
      </c>
      <c r="U286" s="2">
        <v>14.0</v>
      </c>
      <c r="V286" s="2">
        <v>15.0</v>
      </c>
      <c r="W286" s="2">
        <v>13.0</v>
      </c>
      <c r="X286" s="2">
        <v>19.0</v>
      </c>
      <c r="Y286" s="2">
        <v>27.5</v>
      </c>
      <c r="Z286" s="2">
        <v>27.0</v>
      </c>
      <c r="AA286" s="2">
        <v>30.0</v>
      </c>
      <c r="AB286" s="2">
        <v>30.0</v>
      </c>
      <c r="AC286" s="2">
        <f t="shared" si="5"/>
        <v>10.025</v>
      </c>
      <c r="AD286" s="2">
        <v>49.0</v>
      </c>
      <c r="AE286" s="2">
        <v>350.0</v>
      </c>
      <c r="AF286" s="2">
        <v>1.0</v>
      </c>
      <c r="AG286" s="3">
        <f t="shared" si="6"/>
        <v>10.025</v>
      </c>
      <c r="AH286" s="3">
        <f t="shared" si="7"/>
        <v>9.975</v>
      </c>
      <c r="AI286" s="4">
        <f t="shared" si="8"/>
        <v>76.22222222</v>
      </c>
    </row>
    <row r="287" hidden="1">
      <c r="A287" s="1" t="s">
        <v>865</v>
      </c>
      <c r="B287" s="1" t="s">
        <v>866</v>
      </c>
      <c r="C287" s="2" t="s">
        <v>6</v>
      </c>
      <c r="D287" s="2" t="s">
        <v>867</v>
      </c>
      <c r="E287" s="2">
        <f>VLOOKUP(B287,'MM-Subhashree'!$B$2:F$26,5)</f>
        <v>47</v>
      </c>
      <c r="F287" s="2">
        <v>33.0</v>
      </c>
      <c r="G287" s="2">
        <f t="shared" si="1"/>
        <v>40</v>
      </c>
      <c r="H287" s="2">
        <v>10.0</v>
      </c>
      <c r="I287" s="2">
        <v>14.5</v>
      </c>
      <c r="J287" s="2">
        <v>40.0</v>
      </c>
      <c r="K287" s="3">
        <f t="shared" si="2"/>
        <v>10.56944444</v>
      </c>
      <c r="L287" s="2">
        <v>100.0</v>
      </c>
      <c r="M287" s="2">
        <v>196.0</v>
      </c>
      <c r="O287" s="3">
        <f t="shared" si="3"/>
        <v>196</v>
      </c>
      <c r="P287" s="2">
        <v>100.0</v>
      </c>
      <c r="Q287" s="2">
        <f t="shared" si="4"/>
        <v>14.9</v>
      </c>
      <c r="R287" s="2">
        <v>7.0</v>
      </c>
      <c r="S287" s="2">
        <v>10.0</v>
      </c>
      <c r="T287" s="2">
        <v>12.0</v>
      </c>
      <c r="U287" s="2">
        <v>14.5</v>
      </c>
      <c r="V287" s="2">
        <v>15.0</v>
      </c>
      <c r="W287" s="2">
        <v>15.0</v>
      </c>
      <c r="X287" s="2">
        <v>19.5</v>
      </c>
      <c r="Y287" s="2">
        <v>28.0</v>
      </c>
      <c r="Z287" s="2">
        <v>27.5</v>
      </c>
      <c r="AA287" s="2">
        <v>30.0</v>
      </c>
      <c r="AB287" s="2">
        <v>30.0</v>
      </c>
      <c r="AC287" s="2">
        <f t="shared" si="5"/>
        <v>10.425</v>
      </c>
      <c r="AD287" s="2">
        <v>50.0</v>
      </c>
      <c r="AE287" s="2">
        <v>350.0</v>
      </c>
      <c r="AF287" s="2">
        <v>1.0</v>
      </c>
      <c r="AG287" s="3">
        <f t="shared" si="6"/>
        <v>10.425</v>
      </c>
      <c r="AH287" s="3">
        <f t="shared" si="7"/>
        <v>10</v>
      </c>
      <c r="AI287" s="4">
        <f t="shared" si="8"/>
        <v>85.89444444</v>
      </c>
    </row>
    <row r="288" hidden="1">
      <c r="A288" s="1" t="s">
        <v>868</v>
      </c>
      <c r="B288" s="1" t="s">
        <v>869</v>
      </c>
      <c r="C288" s="2" t="s">
        <v>2</v>
      </c>
      <c r="D288" s="2" t="s">
        <v>870</v>
      </c>
      <c r="E288" s="2">
        <f>VLOOKUP(B288,'MM-Subhashree'!$B$2:F$26,5)</f>
        <v>45</v>
      </c>
      <c r="F288" s="2">
        <v>19.0</v>
      </c>
      <c r="G288" s="2">
        <f t="shared" si="1"/>
        <v>32</v>
      </c>
      <c r="H288" s="2">
        <v>9.0</v>
      </c>
      <c r="I288" s="2">
        <v>13.0</v>
      </c>
      <c r="J288" s="2">
        <v>40.0</v>
      </c>
      <c r="K288" s="3">
        <f t="shared" si="2"/>
        <v>9.944444444</v>
      </c>
      <c r="L288" s="2">
        <v>93.0</v>
      </c>
      <c r="M288" s="2">
        <v>190.0</v>
      </c>
      <c r="O288" s="3">
        <f t="shared" si="3"/>
        <v>190</v>
      </c>
      <c r="P288" s="2">
        <v>100.0</v>
      </c>
      <c r="Q288" s="2">
        <f t="shared" si="4"/>
        <v>14.4</v>
      </c>
      <c r="R288" s="2">
        <v>7.0</v>
      </c>
      <c r="S288" s="2">
        <v>3.0</v>
      </c>
      <c r="T288" s="2">
        <v>9.0</v>
      </c>
      <c r="U288" s="2">
        <v>14.0</v>
      </c>
      <c r="V288" s="2">
        <v>15.0</v>
      </c>
      <c r="X288" s="2">
        <v>18.5</v>
      </c>
      <c r="Y288" s="2">
        <v>26.0</v>
      </c>
      <c r="Z288" s="2">
        <v>28.0</v>
      </c>
      <c r="AA288" s="2">
        <v>30.0</v>
      </c>
      <c r="AB288" s="2">
        <v>30.0</v>
      </c>
      <c r="AC288" s="2">
        <f t="shared" si="5"/>
        <v>9.025</v>
      </c>
      <c r="AD288" s="2">
        <v>49.0</v>
      </c>
      <c r="AE288" s="2">
        <v>350.0</v>
      </c>
      <c r="AF288" s="2">
        <v>1.0</v>
      </c>
      <c r="AG288" s="3">
        <f t="shared" si="6"/>
        <v>9.025</v>
      </c>
      <c r="AH288" s="3">
        <f t="shared" si="7"/>
        <v>9.975</v>
      </c>
      <c r="AI288" s="4">
        <f t="shared" si="8"/>
        <v>75.34444444</v>
      </c>
    </row>
    <row r="289" hidden="1">
      <c r="A289" s="1" t="s">
        <v>871</v>
      </c>
      <c r="B289" s="1" t="s">
        <v>872</v>
      </c>
      <c r="C289" s="2" t="s">
        <v>32</v>
      </c>
      <c r="D289" s="2" t="s">
        <v>873</v>
      </c>
      <c r="E289" s="2">
        <f>VLOOKUP(B289,'MM-Subhashree'!$B$2:F$26,5)</f>
        <v>34</v>
      </c>
      <c r="F289" s="2">
        <v>22.0</v>
      </c>
      <c r="G289" s="2">
        <f t="shared" si="1"/>
        <v>28</v>
      </c>
      <c r="H289" s="2">
        <v>2.0</v>
      </c>
      <c r="I289" s="2">
        <v>7.0</v>
      </c>
      <c r="J289" s="2">
        <v>38.0</v>
      </c>
      <c r="K289" s="3">
        <f t="shared" si="2"/>
        <v>6.472222222</v>
      </c>
      <c r="L289" s="2">
        <v>80.0</v>
      </c>
      <c r="M289" s="2">
        <v>170.0</v>
      </c>
      <c r="N289" s="2">
        <v>125.0</v>
      </c>
      <c r="O289" s="3">
        <f t="shared" si="3"/>
        <v>170</v>
      </c>
      <c r="P289" s="2">
        <v>98.0</v>
      </c>
      <c r="Q289" s="2">
        <f t="shared" si="4"/>
        <v>13.15</v>
      </c>
      <c r="S289" s="2">
        <v>8.0</v>
      </c>
      <c r="T289" s="2">
        <v>9.0</v>
      </c>
      <c r="U289" s="2">
        <v>14.0</v>
      </c>
      <c r="V289" s="2">
        <v>15.0</v>
      </c>
      <c r="W289" s="2">
        <v>14.0</v>
      </c>
      <c r="X289" s="2">
        <v>15.0</v>
      </c>
      <c r="AA289" s="2">
        <v>28.0</v>
      </c>
      <c r="AC289" s="2">
        <f t="shared" si="5"/>
        <v>5.15</v>
      </c>
      <c r="AD289" s="2">
        <v>49.0</v>
      </c>
      <c r="AE289" s="2">
        <v>350.0</v>
      </c>
      <c r="AF289" s="2">
        <v>1.0</v>
      </c>
      <c r="AG289" s="3">
        <f t="shared" si="6"/>
        <v>5.15</v>
      </c>
      <c r="AH289" s="3">
        <f t="shared" si="7"/>
        <v>9.975</v>
      </c>
      <c r="AI289" s="4">
        <f t="shared" si="8"/>
        <v>62.74722222</v>
      </c>
    </row>
    <row r="290" hidden="1">
      <c r="A290" s="1" t="s">
        <v>874</v>
      </c>
      <c r="B290" s="1" t="s">
        <v>875</v>
      </c>
      <c r="C290" s="2" t="s">
        <v>6</v>
      </c>
      <c r="D290" s="2" t="s">
        <v>876</v>
      </c>
      <c r="E290" s="2">
        <f>VLOOKUP(B290,MT!$B$2:$F$30,5)</f>
        <v>48</v>
      </c>
      <c r="F290" s="2">
        <v>31.0</v>
      </c>
      <c r="G290" s="2">
        <f t="shared" si="1"/>
        <v>39.5</v>
      </c>
      <c r="H290" s="2">
        <v>16.0</v>
      </c>
      <c r="I290" s="2">
        <v>16.0</v>
      </c>
      <c r="J290" s="2">
        <v>34.0</v>
      </c>
      <c r="K290" s="3">
        <f t="shared" si="2"/>
        <v>11.77777778</v>
      </c>
      <c r="L290" s="2">
        <v>95.0</v>
      </c>
      <c r="M290" s="2">
        <v>160.0</v>
      </c>
      <c r="O290" s="3">
        <f t="shared" si="3"/>
        <v>160</v>
      </c>
      <c r="P290" s="2">
        <v>98.0</v>
      </c>
      <c r="Q290" s="2">
        <f t="shared" si="4"/>
        <v>13.65</v>
      </c>
      <c r="R290" s="2">
        <v>7.0</v>
      </c>
      <c r="S290" s="2">
        <v>5.0</v>
      </c>
      <c r="T290" s="2">
        <v>14.0</v>
      </c>
      <c r="U290" s="2">
        <v>15.0</v>
      </c>
      <c r="V290" s="2">
        <v>13.0</v>
      </c>
      <c r="W290" s="2">
        <v>12.0</v>
      </c>
      <c r="X290" s="2">
        <v>18.0</v>
      </c>
      <c r="Z290" s="2">
        <v>0.0</v>
      </c>
      <c r="AA290" s="2">
        <v>29.0</v>
      </c>
      <c r="AB290" s="2">
        <v>28.0</v>
      </c>
      <c r="AC290" s="2">
        <f t="shared" si="5"/>
        <v>7.05</v>
      </c>
      <c r="AD290" s="2">
        <v>45.0</v>
      </c>
      <c r="AE290" s="2">
        <v>340.0</v>
      </c>
      <c r="AF290" s="2">
        <v>1.0</v>
      </c>
      <c r="AG290" s="3">
        <f t="shared" si="6"/>
        <v>7.05</v>
      </c>
      <c r="AH290" s="3">
        <f t="shared" si="7"/>
        <v>9.625</v>
      </c>
      <c r="AI290" s="4">
        <f t="shared" si="8"/>
        <v>81.60277778</v>
      </c>
    </row>
    <row r="291" hidden="1">
      <c r="A291" s="1" t="s">
        <v>877</v>
      </c>
      <c r="B291" s="1" t="s">
        <v>878</v>
      </c>
      <c r="C291" s="2" t="s">
        <v>6</v>
      </c>
      <c r="D291" s="2" t="s">
        <v>879</v>
      </c>
      <c r="E291" s="2">
        <f>VLOOKUP(B291,MT!$B$2:$F$30,5)</f>
        <v>49</v>
      </c>
      <c r="F291" s="2">
        <v>33.0</v>
      </c>
      <c r="G291" s="2">
        <f t="shared" si="1"/>
        <v>41</v>
      </c>
      <c r="H291" s="2">
        <v>11.0</v>
      </c>
      <c r="I291" s="2">
        <v>15.5</v>
      </c>
      <c r="J291" s="2">
        <v>33.0</v>
      </c>
      <c r="K291" s="3">
        <f t="shared" si="2"/>
        <v>10.29166667</v>
      </c>
      <c r="L291" s="2">
        <v>100.0</v>
      </c>
      <c r="M291" s="2">
        <v>200.0</v>
      </c>
      <c r="O291" s="3">
        <f t="shared" si="3"/>
        <v>200</v>
      </c>
      <c r="P291" s="2">
        <v>98.0</v>
      </c>
      <c r="Q291" s="2">
        <f t="shared" si="4"/>
        <v>14.9</v>
      </c>
      <c r="R291" s="2">
        <v>7.0</v>
      </c>
      <c r="S291" s="2">
        <v>10.0</v>
      </c>
      <c r="T291" s="2">
        <v>14.0</v>
      </c>
      <c r="U291" s="2">
        <v>13.5</v>
      </c>
      <c r="V291" s="2">
        <v>15.0</v>
      </c>
      <c r="W291" s="2">
        <v>15.0</v>
      </c>
      <c r="X291" s="2">
        <v>20.0</v>
      </c>
      <c r="Y291" s="2">
        <v>26.0</v>
      </c>
      <c r="Z291" s="2">
        <v>29.0</v>
      </c>
      <c r="AA291" s="2">
        <v>30.0</v>
      </c>
      <c r="AB291" s="2">
        <v>30.0</v>
      </c>
      <c r="AC291" s="2">
        <f t="shared" si="5"/>
        <v>10.475</v>
      </c>
      <c r="AD291" s="2">
        <v>40.0</v>
      </c>
      <c r="AE291" s="2">
        <v>350.0</v>
      </c>
      <c r="AF291" s="2">
        <v>1.0</v>
      </c>
      <c r="AG291" s="3">
        <f t="shared" si="6"/>
        <v>10.475</v>
      </c>
      <c r="AH291" s="3">
        <f t="shared" si="7"/>
        <v>9.75</v>
      </c>
      <c r="AI291" s="4">
        <f t="shared" si="8"/>
        <v>86.41666667</v>
      </c>
    </row>
    <row r="292" hidden="1">
      <c r="A292" s="1" t="s">
        <v>880</v>
      </c>
      <c r="B292" s="1" t="s">
        <v>881</v>
      </c>
      <c r="C292" s="2" t="s">
        <v>2</v>
      </c>
      <c r="D292" s="2" t="s">
        <v>882</v>
      </c>
      <c r="E292" s="2">
        <f>VLOOKUP(B292,MT!$B$2:$F$30,5)</f>
        <v>45</v>
      </c>
      <c r="F292" s="2">
        <v>25.0</v>
      </c>
      <c r="G292" s="2">
        <f t="shared" si="1"/>
        <v>35</v>
      </c>
      <c r="H292" s="2">
        <v>9.0</v>
      </c>
      <c r="I292" s="2">
        <v>17.0</v>
      </c>
      <c r="J292" s="2">
        <v>27.5</v>
      </c>
      <c r="K292" s="3">
        <f t="shared" si="2"/>
        <v>9.555555556</v>
      </c>
      <c r="L292" s="2">
        <v>100.0</v>
      </c>
      <c r="M292" s="2">
        <v>160.0</v>
      </c>
      <c r="O292" s="3">
        <f t="shared" si="3"/>
        <v>160</v>
      </c>
      <c r="P292" s="2">
        <v>95.0</v>
      </c>
      <c r="Q292" s="2">
        <f t="shared" si="4"/>
        <v>13.75</v>
      </c>
      <c r="R292" s="2">
        <v>7.0</v>
      </c>
      <c r="S292" s="2">
        <v>9.0</v>
      </c>
      <c r="T292" s="2">
        <v>12.0</v>
      </c>
      <c r="U292" s="2">
        <v>9.0</v>
      </c>
      <c r="V292" s="2">
        <v>14.0</v>
      </c>
      <c r="W292" s="2">
        <v>11.0</v>
      </c>
      <c r="X292" s="2">
        <v>19.0</v>
      </c>
      <c r="Y292" s="2">
        <v>28.0</v>
      </c>
      <c r="Z292" s="2">
        <v>30.0</v>
      </c>
      <c r="AA292" s="2">
        <v>28.0</v>
      </c>
      <c r="AC292" s="2">
        <f t="shared" si="5"/>
        <v>8.35</v>
      </c>
      <c r="AD292" s="2">
        <v>35.0</v>
      </c>
      <c r="AE292" s="2">
        <v>315.0</v>
      </c>
      <c r="AF292" s="2">
        <v>1.0</v>
      </c>
      <c r="AG292" s="3">
        <f t="shared" si="6"/>
        <v>8.35</v>
      </c>
      <c r="AH292" s="3">
        <f t="shared" si="7"/>
        <v>8.75</v>
      </c>
      <c r="AI292" s="4">
        <f t="shared" si="8"/>
        <v>75.40555556</v>
      </c>
    </row>
    <row r="293" hidden="1">
      <c r="A293" s="1" t="s">
        <v>883</v>
      </c>
      <c r="B293" s="1" t="s">
        <v>884</v>
      </c>
      <c r="C293" s="2" t="s">
        <v>2</v>
      </c>
      <c r="D293" s="2" t="s">
        <v>885</v>
      </c>
      <c r="E293" s="2">
        <f>VLOOKUP(B293,MT!$B$2:$F$30,5)</f>
        <v>47</v>
      </c>
      <c r="F293" s="2">
        <v>26.0</v>
      </c>
      <c r="G293" s="2">
        <f t="shared" si="1"/>
        <v>36.5</v>
      </c>
      <c r="H293" s="2">
        <v>9.0</v>
      </c>
      <c r="J293" s="2">
        <v>18.0</v>
      </c>
      <c r="K293" s="3">
        <f t="shared" si="2"/>
        <v>4.25</v>
      </c>
      <c r="L293" s="2">
        <v>80.0</v>
      </c>
      <c r="M293" s="2">
        <v>196.0</v>
      </c>
      <c r="O293" s="3">
        <f t="shared" si="3"/>
        <v>196</v>
      </c>
      <c r="P293" s="2">
        <v>100.0</v>
      </c>
      <c r="Q293" s="2">
        <f t="shared" si="4"/>
        <v>13.9</v>
      </c>
      <c r="R293" s="2">
        <v>6.0</v>
      </c>
      <c r="S293" s="2">
        <v>2.0</v>
      </c>
      <c r="T293" s="2">
        <v>14.5</v>
      </c>
      <c r="U293" s="2">
        <v>14.0</v>
      </c>
      <c r="V293" s="2">
        <v>10.0</v>
      </c>
      <c r="W293" s="2">
        <v>11.5</v>
      </c>
      <c r="X293" s="2">
        <v>18.0</v>
      </c>
      <c r="Y293" s="2">
        <v>30.0</v>
      </c>
      <c r="Z293" s="2">
        <v>30.0</v>
      </c>
      <c r="AA293" s="2">
        <v>28.0</v>
      </c>
      <c r="AB293" s="2">
        <v>28.0</v>
      </c>
      <c r="AC293" s="2">
        <f t="shared" si="5"/>
        <v>9.6</v>
      </c>
      <c r="AD293" s="2">
        <v>30.0</v>
      </c>
      <c r="AE293" s="2">
        <v>330.0</v>
      </c>
      <c r="AF293" s="2">
        <v>1.0</v>
      </c>
      <c r="AG293" s="3">
        <f t="shared" si="6"/>
        <v>9.6</v>
      </c>
      <c r="AH293" s="3">
        <f t="shared" si="7"/>
        <v>9</v>
      </c>
      <c r="AI293" s="4">
        <f t="shared" si="8"/>
        <v>73.25</v>
      </c>
    </row>
    <row r="294" hidden="1">
      <c r="A294" s="1" t="s">
        <v>886</v>
      </c>
      <c r="B294" s="1" t="s">
        <v>887</v>
      </c>
      <c r="C294" s="2" t="s">
        <v>2</v>
      </c>
      <c r="D294" s="2" t="s">
        <v>888</v>
      </c>
      <c r="E294" s="2">
        <f>VLOOKUP(B294,MT!$B$2:$F$30,5)</f>
        <v>45</v>
      </c>
      <c r="F294" s="2">
        <v>27.0</v>
      </c>
      <c r="G294" s="2">
        <f t="shared" si="1"/>
        <v>36</v>
      </c>
      <c r="H294" s="2">
        <v>9.0</v>
      </c>
      <c r="I294" s="2">
        <v>13.0</v>
      </c>
      <c r="J294" s="2">
        <v>24.0</v>
      </c>
      <c r="K294" s="3">
        <f t="shared" si="2"/>
        <v>8.166666667</v>
      </c>
      <c r="L294" s="2">
        <v>95.0</v>
      </c>
      <c r="M294" s="2">
        <v>200.0</v>
      </c>
      <c r="O294" s="3">
        <f t="shared" si="3"/>
        <v>200</v>
      </c>
      <c r="P294" s="2">
        <v>98.0</v>
      </c>
      <c r="Q294" s="2">
        <f t="shared" si="4"/>
        <v>14.65</v>
      </c>
      <c r="R294" s="2">
        <v>7.0</v>
      </c>
      <c r="S294" s="2">
        <v>5.0</v>
      </c>
      <c r="T294" s="2">
        <v>12.0</v>
      </c>
      <c r="U294" s="2">
        <v>14.0</v>
      </c>
      <c r="V294" s="2">
        <v>14.0</v>
      </c>
      <c r="W294" s="2">
        <v>14.5</v>
      </c>
      <c r="X294" s="2">
        <v>20.0</v>
      </c>
      <c r="Y294" s="2">
        <v>30.0</v>
      </c>
      <c r="Z294" s="2">
        <v>30.0</v>
      </c>
      <c r="AA294" s="2">
        <v>29.0</v>
      </c>
      <c r="AB294" s="2">
        <v>30.0</v>
      </c>
      <c r="AC294" s="2">
        <f t="shared" si="5"/>
        <v>10.275</v>
      </c>
      <c r="AD294" s="2">
        <v>48.0</v>
      </c>
      <c r="AE294" s="2">
        <v>350.0</v>
      </c>
      <c r="AF294" s="2">
        <v>1.0</v>
      </c>
      <c r="AG294" s="3">
        <f t="shared" si="6"/>
        <v>10.275</v>
      </c>
      <c r="AH294" s="3">
        <f t="shared" si="7"/>
        <v>9.95</v>
      </c>
      <c r="AI294" s="4">
        <f t="shared" si="8"/>
        <v>79.04166667</v>
      </c>
    </row>
    <row r="295" hidden="1">
      <c r="A295" s="1" t="s">
        <v>889</v>
      </c>
      <c r="B295" s="1" t="s">
        <v>890</v>
      </c>
      <c r="C295" s="2" t="s">
        <v>2</v>
      </c>
      <c r="D295" s="2" t="s">
        <v>891</v>
      </c>
      <c r="E295" s="2">
        <f>VLOOKUP(B295,MT!$B$2:$F$30,5)</f>
        <v>49</v>
      </c>
      <c r="F295" s="2">
        <v>31.0</v>
      </c>
      <c r="G295" s="2">
        <f t="shared" si="1"/>
        <v>40</v>
      </c>
      <c r="H295" s="2">
        <v>10.0</v>
      </c>
      <c r="I295" s="2">
        <v>5.0</v>
      </c>
      <c r="J295" s="2">
        <v>22.0</v>
      </c>
      <c r="K295" s="3">
        <f t="shared" si="2"/>
        <v>6.194444444</v>
      </c>
      <c r="L295" s="2">
        <v>80.0</v>
      </c>
      <c r="M295" s="2">
        <v>175.0</v>
      </c>
      <c r="O295" s="3">
        <f t="shared" si="3"/>
        <v>175</v>
      </c>
      <c r="P295" s="2">
        <v>100.0</v>
      </c>
      <c r="Q295" s="2">
        <f t="shared" si="4"/>
        <v>13.375</v>
      </c>
      <c r="S295" s="2">
        <v>0.0</v>
      </c>
      <c r="T295" s="2">
        <v>9.5</v>
      </c>
      <c r="U295" s="2">
        <v>11.5</v>
      </c>
      <c r="V295" s="2">
        <v>0.0</v>
      </c>
      <c r="X295" s="2">
        <v>18.0</v>
      </c>
      <c r="Y295" s="2">
        <v>27.0</v>
      </c>
      <c r="Z295" s="2">
        <v>25.0</v>
      </c>
      <c r="AA295" s="2">
        <v>30.0</v>
      </c>
      <c r="AB295" s="2">
        <v>29.0</v>
      </c>
      <c r="AC295" s="2">
        <f t="shared" si="5"/>
        <v>7.5</v>
      </c>
      <c r="AD295" s="2">
        <v>45.0</v>
      </c>
      <c r="AE295" s="2">
        <v>330.0</v>
      </c>
      <c r="AF295" s="2">
        <v>1.0</v>
      </c>
      <c r="AG295" s="3">
        <f t="shared" si="6"/>
        <v>7.5</v>
      </c>
      <c r="AH295" s="3">
        <f t="shared" si="7"/>
        <v>9.375</v>
      </c>
      <c r="AI295" s="4">
        <f t="shared" si="8"/>
        <v>76.44444444</v>
      </c>
    </row>
    <row r="296" hidden="1">
      <c r="A296" s="1" t="s">
        <v>892</v>
      </c>
      <c r="B296" s="1" t="s">
        <v>893</v>
      </c>
      <c r="C296" s="2" t="s">
        <v>25</v>
      </c>
      <c r="D296" s="2" t="s">
        <v>894</v>
      </c>
      <c r="E296" s="2">
        <f>VLOOKUP(B296,MT!$B$2:$F$30,5)</f>
        <v>41</v>
      </c>
      <c r="F296" s="2">
        <v>19.0</v>
      </c>
      <c r="G296" s="2">
        <f t="shared" si="1"/>
        <v>30</v>
      </c>
      <c r="H296" s="2">
        <v>8.0</v>
      </c>
      <c r="I296" s="2">
        <v>14.5</v>
      </c>
      <c r="J296" s="2">
        <v>12.0</v>
      </c>
      <c r="K296" s="3">
        <f t="shared" si="2"/>
        <v>6.958333333</v>
      </c>
      <c r="L296" s="2">
        <v>90.0</v>
      </c>
      <c r="M296" s="2">
        <v>196.0</v>
      </c>
      <c r="O296" s="3">
        <f t="shared" si="3"/>
        <v>196</v>
      </c>
      <c r="P296" s="2">
        <v>100.0</v>
      </c>
      <c r="Q296" s="2">
        <f t="shared" si="4"/>
        <v>14.4</v>
      </c>
      <c r="R296" s="2">
        <v>7.0</v>
      </c>
      <c r="S296" s="2">
        <v>9.0</v>
      </c>
      <c r="T296" s="2">
        <v>13.0</v>
      </c>
      <c r="U296" s="2">
        <v>14.0</v>
      </c>
      <c r="V296" s="2">
        <v>11.0</v>
      </c>
      <c r="W296" s="2">
        <v>14.5</v>
      </c>
      <c r="X296" s="2">
        <v>17.0</v>
      </c>
      <c r="Y296" s="2">
        <v>29.0</v>
      </c>
      <c r="Z296" s="2">
        <v>30.0</v>
      </c>
      <c r="AA296" s="2">
        <v>28.0</v>
      </c>
      <c r="AB296" s="2">
        <v>28.0</v>
      </c>
      <c r="AC296" s="2">
        <f t="shared" si="5"/>
        <v>10.025</v>
      </c>
      <c r="AD296" s="2">
        <v>35.0</v>
      </c>
      <c r="AE296" s="2">
        <v>348.0</v>
      </c>
      <c r="AF296" s="2">
        <v>1.0</v>
      </c>
      <c r="AG296" s="3">
        <f t="shared" si="6"/>
        <v>10.025</v>
      </c>
      <c r="AH296" s="3">
        <f t="shared" si="7"/>
        <v>9.575</v>
      </c>
      <c r="AI296" s="4">
        <f t="shared" si="8"/>
        <v>70.95833333</v>
      </c>
    </row>
    <row r="297" hidden="1">
      <c r="A297" s="1" t="s">
        <v>895</v>
      </c>
      <c r="B297" s="1" t="s">
        <v>896</v>
      </c>
      <c r="C297" s="2" t="s">
        <v>6</v>
      </c>
      <c r="D297" s="2" t="s">
        <v>897</v>
      </c>
      <c r="E297" s="2">
        <f>VLOOKUP(B297,MT!$B$2:$F$30,5)</f>
        <v>47</v>
      </c>
      <c r="F297" s="2">
        <v>34.0</v>
      </c>
      <c r="G297" s="2">
        <f t="shared" si="1"/>
        <v>40.5</v>
      </c>
      <c r="H297" s="2">
        <v>18.0</v>
      </c>
      <c r="I297" s="2">
        <v>20.0</v>
      </c>
      <c r="J297" s="2">
        <v>33.0</v>
      </c>
      <c r="K297" s="3">
        <f t="shared" si="2"/>
        <v>13.16666667</v>
      </c>
      <c r="L297" s="2">
        <v>100.0</v>
      </c>
      <c r="M297" s="2">
        <v>200.0</v>
      </c>
      <c r="O297" s="3">
        <f t="shared" si="3"/>
        <v>200</v>
      </c>
      <c r="P297" s="2">
        <v>100.0</v>
      </c>
      <c r="Q297" s="2">
        <f t="shared" si="4"/>
        <v>15</v>
      </c>
      <c r="R297" s="2">
        <v>7.0</v>
      </c>
      <c r="S297" s="2">
        <v>7.0</v>
      </c>
      <c r="T297" s="2">
        <v>10.0</v>
      </c>
      <c r="U297" s="2">
        <v>15.0</v>
      </c>
      <c r="V297" s="2">
        <v>14.0</v>
      </c>
      <c r="W297" s="2">
        <v>14.0</v>
      </c>
      <c r="X297" s="2">
        <v>20.0</v>
      </c>
      <c r="Y297" s="2">
        <v>30.0</v>
      </c>
      <c r="Z297" s="2">
        <v>30.0</v>
      </c>
      <c r="AA297" s="2">
        <v>30.0</v>
      </c>
      <c r="AB297" s="2">
        <v>30.0</v>
      </c>
      <c r="AC297" s="2">
        <f t="shared" si="5"/>
        <v>10.35</v>
      </c>
      <c r="AD297" s="2">
        <v>50.0</v>
      </c>
      <c r="AE297" s="2">
        <v>350.0</v>
      </c>
      <c r="AF297" s="2">
        <v>1.0</v>
      </c>
      <c r="AG297" s="3">
        <f t="shared" si="6"/>
        <v>10.35</v>
      </c>
      <c r="AH297" s="3">
        <f t="shared" si="7"/>
        <v>10</v>
      </c>
      <c r="AI297" s="4">
        <f t="shared" si="8"/>
        <v>89.01666667</v>
      </c>
    </row>
    <row r="298" hidden="1">
      <c r="A298" s="1" t="s">
        <v>898</v>
      </c>
      <c r="B298" s="1" t="s">
        <v>899</v>
      </c>
      <c r="C298" s="2" t="s">
        <v>6</v>
      </c>
      <c r="D298" s="2" t="s">
        <v>900</v>
      </c>
      <c r="E298" s="2">
        <f>VLOOKUP(B298,MT!$B$2:$F$30,5)</f>
        <v>48</v>
      </c>
      <c r="F298" s="2">
        <v>35.0</v>
      </c>
      <c r="G298" s="2">
        <f t="shared" si="1"/>
        <v>41.5</v>
      </c>
      <c r="H298" s="2">
        <v>13.0</v>
      </c>
      <c r="I298" s="2">
        <v>16.0</v>
      </c>
      <c r="J298" s="2">
        <v>29.0</v>
      </c>
      <c r="K298" s="3">
        <f t="shared" si="2"/>
        <v>10.47222222</v>
      </c>
      <c r="L298" s="2">
        <v>100.0</v>
      </c>
      <c r="M298" s="2">
        <v>200.0</v>
      </c>
      <c r="O298" s="3">
        <f t="shared" si="3"/>
        <v>200</v>
      </c>
      <c r="P298" s="2">
        <v>90.0</v>
      </c>
      <c r="Q298" s="2">
        <f t="shared" si="4"/>
        <v>14.5</v>
      </c>
      <c r="R298" s="2">
        <v>7.0</v>
      </c>
      <c r="S298" s="2">
        <v>8.0</v>
      </c>
      <c r="T298" s="2">
        <v>10.0</v>
      </c>
      <c r="U298" s="2">
        <v>12.0</v>
      </c>
      <c r="V298" s="2">
        <v>12.0</v>
      </c>
      <c r="W298" s="2">
        <v>14.5</v>
      </c>
      <c r="X298" s="2">
        <v>18.0</v>
      </c>
      <c r="Y298" s="2">
        <v>26.0</v>
      </c>
      <c r="Z298" s="2">
        <v>29.0</v>
      </c>
      <c r="AA298" s="2">
        <v>30.0</v>
      </c>
      <c r="AB298" s="2">
        <v>30.0</v>
      </c>
      <c r="AC298" s="2">
        <f t="shared" si="5"/>
        <v>9.825</v>
      </c>
      <c r="AD298" s="2">
        <v>50.0</v>
      </c>
      <c r="AE298" s="2">
        <v>320.0</v>
      </c>
      <c r="AF298" s="2">
        <v>1.0</v>
      </c>
      <c r="AG298" s="3">
        <f t="shared" si="6"/>
        <v>9.825</v>
      </c>
      <c r="AH298" s="3">
        <f t="shared" si="7"/>
        <v>9.25</v>
      </c>
      <c r="AI298" s="4">
        <f t="shared" si="8"/>
        <v>85.54722222</v>
      </c>
    </row>
    <row r="299" hidden="1">
      <c r="A299" s="1" t="s">
        <v>901</v>
      </c>
      <c r="B299" s="1" t="s">
        <v>902</v>
      </c>
      <c r="C299" s="2" t="s">
        <v>6</v>
      </c>
      <c r="D299" s="2" t="s">
        <v>903</v>
      </c>
      <c r="E299" s="2">
        <f>VLOOKUP(B299,MT!$B$2:$F$30,5)</f>
        <v>48</v>
      </c>
      <c r="F299" s="2">
        <v>29.0</v>
      </c>
      <c r="G299" s="2">
        <f t="shared" si="1"/>
        <v>38.5</v>
      </c>
      <c r="H299" s="2">
        <v>14.0</v>
      </c>
      <c r="I299" s="2">
        <v>17.5</v>
      </c>
      <c r="J299" s="2">
        <v>38.0</v>
      </c>
      <c r="K299" s="3">
        <f t="shared" si="2"/>
        <v>12.09722222</v>
      </c>
      <c r="L299" s="2">
        <v>85.0</v>
      </c>
      <c r="M299" s="2">
        <v>200.0</v>
      </c>
      <c r="O299" s="3">
        <f t="shared" si="3"/>
        <v>200</v>
      </c>
      <c r="P299" s="2">
        <v>100.0</v>
      </c>
      <c r="Q299" s="2">
        <f t="shared" si="4"/>
        <v>14.25</v>
      </c>
      <c r="R299" s="2">
        <v>7.0</v>
      </c>
      <c r="S299" s="2">
        <v>9.0</v>
      </c>
      <c r="T299" s="2">
        <v>8.0</v>
      </c>
      <c r="U299" s="2">
        <v>11.0</v>
      </c>
      <c r="V299" s="2">
        <v>14.0</v>
      </c>
      <c r="W299" s="2">
        <v>15.0</v>
      </c>
      <c r="X299" s="2">
        <v>19.0</v>
      </c>
      <c r="Y299" s="2">
        <v>28.0</v>
      </c>
      <c r="Z299" s="2">
        <v>30.0</v>
      </c>
      <c r="AA299" s="2">
        <v>30.0</v>
      </c>
      <c r="AB299" s="2">
        <v>30.0</v>
      </c>
      <c r="AC299" s="2">
        <f t="shared" si="5"/>
        <v>10.05</v>
      </c>
      <c r="AD299" s="2">
        <v>48.0</v>
      </c>
      <c r="AE299" s="2">
        <v>350.0</v>
      </c>
      <c r="AF299" s="2">
        <v>1.0</v>
      </c>
      <c r="AG299" s="3">
        <f t="shared" si="6"/>
        <v>10.05</v>
      </c>
      <c r="AH299" s="3">
        <f t="shared" si="7"/>
        <v>9.95</v>
      </c>
      <c r="AI299" s="4">
        <f t="shared" si="8"/>
        <v>84.84722222</v>
      </c>
    </row>
    <row r="300" hidden="1">
      <c r="A300" s="1" t="s">
        <v>904</v>
      </c>
      <c r="B300" s="1" t="s">
        <v>905</v>
      </c>
      <c r="C300" s="2" t="s">
        <v>2</v>
      </c>
      <c r="D300" s="2" t="s">
        <v>906</v>
      </c>
      <c r="E300" s="2">
        <f>VLOOKUP(B300,MT!$B$2:$F$30,5)</f>
        <v>48</v>
      </c>
      <c r="F300" s="2">
        <v>20.0</v>
      </c>
      <c r="G300" s="2">
        <f t="shared" si="1"/>
        <v>34</v>
      </c>
      <c r="I300" s="2">
        <v>12.5</v>
      </c>
      <c r="J300" s="2">
        <v>33.0</v>
      </c>
      <c r="K300" s="3">
        <f t="shared" si="2"/>
        <v>6.791666667</v>
      </c>
      <c r="L300" s="2">
        <v>95.0</v>
      </c>
      <c r="M300" s="2">
        <v>179.0</v>
      </c>
      <c r="O300" s="3">
        <f t="shared" si="3"/>
        <v>179</v>
      </c>
      <c r="P300" s="2">
        <v>98.0</v>
      </c>
      <c r="Q300" s="2">
        <f t="shared" si="4"/>
        <v>14.125</v>
      </c>
      <c r="R300" s="2">
        <v>7.0</v>
      </c>
      <c r="S300" s="2">
        <v>7.0</v>
      </c>
      <c r="T300" s="2">
        <v>13.0</v>
      </c>
      <c r="U300" s="2">
        <v>8.0</v>
      </c>
      <c r="V300" s="2">
        <v>8.0</v>
      </c>
      <c r="W300" s="2">
        <v>13.0</v>
      </c>
      <c r="X300" s="2">
        <v>18.0</v>
      </c>
      <c r="Y300" s="2">
        <v>27.0</v>
      </c>
      <c r="Z300" s="2">
        <v>30.0</v>
      </c>
      <c r="AA300" s="2">
        <v>29.0</v>
      </c>
      <c r="AB300" s="2">
        <v>28.0</v>
      </c>
      <c r="AC300" s="2">
        <f t="shared" si="5"/>
        <v>9.4</v>
      </c>
      <c r="AD300" s="2">
        <v>40.0</v>
      </c>
      <c r="AE300" s="2">
        <v>335.0</v>
      </c>
      <c r="AF300" s="2">
        <v>1.0</v>
      </c>
      <c r="AG300" s="3">
        <f t="shared" si="6"/>
        <v>9.4</v>
      </c>
      <c r="AH300" s="3">
        <f t="shared" si="7"/>
        <v>9.375</v>
      </c>
      <c r="AI300" s="4">
        <f t="shared" si="8"/>
        <v>73.69166667</v>
      </c>
    </row>
    <row r="301">
      <c r="A301" s="13" t="s">
        <v>907</v>
      </c>
      <c r="B301" s="14" t="s">
        <v>908</v>
      </c>
      <c r="C301" s="15" t="s">
        <v>96</v>
      </c>
      <c r="D301" s="16" t="s">
        <v>909</v>
      </c>
      <c r="E301" s="16">
        <f>VLOOKUP(B301,MT!$B$2:$F$30,5)</f>
        <v>30</v>
      </c>
      <c r="F301" s="16">
        <v>0.0</v>
      </c>
      <c r="G301" s="16">
        <f t="shared" si="1"/>
        <v>15</v>
      </c>
      <c r="H301" s="16">
        <v>6.0</v>
      </c>
      <c r="I301" s="16">
        <v>6.0</v>
      </c>
      <c r="J301" s="16">
        <v>12.5</v>
      </c>
      <c r="K301" s="17">
        <f t="shared" si="2"/>
        <v>4.388888889</v>
      </c>
      <c r="L301" s="16">
        <v>75.0</v>
      </c>
      <c r="M301" s="16">
        <v>150.0</v>
      </c>
      <c r="N301" s="17"/>
      <c r="O301" s="17">
        <f t="shared" si="3"/>
        <v>150</v>
      </c>
      <c r="P301" s="16">
        <v>100.0</v>
      </c>
      <c r="Q301" s="16">
        <f t="shared" si="4"/>
        <v>12.5</v>
      </c>
      <c r="R301" s="16">
        <v>5.0</v>
      </c>
      <c r="S301" s="16">
        <v>10.0</v>
      </c>
      <c r="T301" s="17"/>
      <c r="U301" s="16">
        <v>13.0</v>
      </c>
      <c r="V301" s="16">
        <v>13.0</v>
      </c>
      <c r="W301" s="16">
        <v>13.5</v>
      </c>
      <c r="X301" s="16">
        <v>18.0</v>
      </c>
      <c r="Y301" s="16">
        <v>29.0</v>
      </c>
      <c r="Z301" s="16">
        <v>29.0</v>
      </c>
      <c r="AA301" s="16">
        <v>28.0</v>
      </c>
      <c r="AB301" s="16">
        <v>28.0</v>
      </c>
      <c r="AC301" s="16">
        <f t="shared" si="5"/>
        <v>9.325</v>
      </c>
      <c r="AD301" s="16">
        <v>45.0</v>
      </c>
      <c r="AE301" s="16">
        <v>350.0</v>
      </c>
      <c r="AF301" s="2">
        <v>1.0</v>
      </c>
      <c r="AG301" s="3">
        <f t="shared" si="6"/>
        <v>9.325</v>
      </c>
      <c r="AH301" s="17">
        <f t="shared" si="7"/>
        <v>9.875</v>
      </c>
      <c r="AI301" s="4">
        <f t="shared" si="8"/>
        <v>51.08888889</v>
      </c>
      <c r="AJ301" s="2" t="s">
        <v>187</v>
      </c>
    </row>
    <row r="302">
      <c r="A302" s="1" t="s">
        <v>910</v>
      </c>
      <c r="B302" s="1" t="s">
        <v>911</v>
      </c>
      <c r="C302" s="2" t="s">
        <v>96</v>
      </c>
      <c r="D302" s="2" t="s">
        <v>912</v>
      </c>
      <c r="E302" s="2">
        <v>42.0</v>
      </c>
      <c r="F302" s="2">
        <v>21.0</v>
      </c>
      <c r="G302" s="2">
        <f t="shared" si="1"/>
        <v>31.5</v>
      </c>
      <c r="H302" s="2">
        <v>7.0</v>
      </c>
      <c r="I302" s="2">
        <v>6.0</v>
      </c>
      <c r="J302" s="2">
        <v>6.0</v>
      </c>
      <c r="K302" s="3">
        <f t="shared" si="2"/>
        <v>3.916666667</v>
      </c>
      <c r="L302" s="2">
        <v>95.0</v>
      </c>
      <c r="M302" s="2">
        <v>190.0</v>
      </c>
      <c r="O302" s="3">
        <f t="shared" si="3"/>
        <v>190</v>
      </c>
      <c r="P302" s="2">
        <v>85.0</v>
      </c>
      <c r="Q302" s="2">
        <f t="shared" si="4"/>
        <v>13.75</v>
      </c>
      <c r="R302" s="2">
        <v>7.0</v>
      </c>
      <c r="S302" s="2">
        <v>5.0</v>
      </c>
      <c r="T302" s="2">
        <v>8.0</v>
      </c>
      <c r="U302" s="2">
        <v>14.0</v>
      </c>
      <c r="V302" s="2">
        <v>12.0</v>
      </c>
      <c r="W302" s="2">
        <v>13.0</v>
      </c>
      <c r="X302" s="2">
        <v>17.0</v>
      </c>
      <c r="Y302" s="2">
        <v>29.0</v>
      </c>
      <c r="Z302" s="2">
        <v>28.0</v>
      </c>
      <c r="AA302" s="2">
        <v>28.0</v>
      </c>
      <c r="AB302" s="2">
        <v>29.0</v>
      </c>
      <c r="AC302" s="2">
        <f t="shared" si="5"/>
        <v>9.5</v>
      </c>
      <c r="AD302" s="2">
        <v>0.0</v>
      </c>
      <c r="AE302" s="2">
        <v>325.0</v>
      </c>
      <c r="AF302" s="2">
        <v>1.0</v>
      </c>
      <c r="AG302" s="3">
        <f t="shared" si="6"/>
        <v>9.5</v>
      </c>
      <c r="AH302" s="3">
        <f t="shared" si="7"/>
        <v>8.125</v>
      </c>
      <c r="AI302" s="4">
        <f t="shared" si="8"/>
        <v>66.79166667</v>
      </c>
      <c r="AJ302" s="2" t="s">
        <v>25</v>
      </c>
    </row>
    <row r="303" hidden="1">
      <c r="A303" s="1" t="s">
        <v>913</v>
      </c>
      <c r="B303" s="1" t="s">
        <v>914</v>
      </c>
      <c r="C303" s="2" t="s">
        <v>32</v>
      </c>
      <c r="D303" s="2" t="s">
        <v>915</v>
      </c>
      <c r="E303" s="2">
        <f>VLOOKUP(B303,MT!$B$2:$F$30,5)</f>
        <v>37</v>
      </c>
      <c r="F303" s="2">
        <v>19.0</v>
      </c>
      <c r="G303" s="2">
        <f t="shared" si="1"/>
        <v>28</v>
      </c>
      <c r="H303" s="2">
        <v>5.5</v>
      </c>
      <c r="I303" s="2">
        <v>16.0</v>
      </c>
      <c r="J303" s="2">
        <v>23.5</v>
      </c>
      <c r="K303" s="3">
        <f t="shared" si="2"/>
        <v>7.986111111</v>
      </c>
      <c r="L303" s="2">
        <v>80.0</v>
      </c>
      <c r="M303" s="2">
        <v>190.0</v>
      </c>
      <c r="O303" s="3">
        <f t="shared" si="3"/>
        <v>190</v>
      </c>
      <c r="P303" s="2">
        <v>100.0</v>
      </c>
      <c r="Q303" s="2">
        <f t="shared" si="4"/>
        <v>13.75</v>
      </c>
      <c r="R303" s="2">
        <v>5.0</v>
      </c>
      <c r="S303" s="2">
        <v>4.0</v>
      </c>
      <c r="T303" s="2">
        <v>13.0</v>
      </c>
      <c r="U303" s="2">
        <v>9.0</v>
      </c>
      <c r="V303" s="2">
        <v>8.0</v>
      </c>
      <c r="W303" s="2">
        <v>12.0</v>
      </c>
      <c r="X303" s="2">
        <v>18.0</v>
      </c>
      <c r="Y303" s="2">
        <v>0.0</v>
      </c>
      <c r="Z303" s="2">
        <v>29.0</v>
      </c>
      <c r="AA303" s="2">
        <v>28.0</v>
      </c>
      <c r="AC303" s="2">
        <f t="shared" si="5"/>
        <v>6.3</v>
      </c>
      <c r="AD303" s="2">
        <v>50.0</v>
      </c>
      <c r="AE303" s="2">
        <v>320.0</v>
      </c>
      <c r="AF303" s="2">
        <v>1.0</v>
      </c>
      <c r="AG303" s="3">
        <f t="shared" si="6"/>
        <v>6.3</v>
      </c>
      <c r="AH303" s="3">
        <f t="shared" si="7"/>
        <v>9.25</v>
      </c>
      <c r="AI303" s="4">
        <f t="shared" si="8"/>
        <v>65.28611111</v>
      </c>
    </row>
    <row r="304" hidden="1">
      <c r="A304" s="1" t="s">
        <v>916</v>
      </c>
      <c r="B304" s="1" t="s">
        <v>917</v>
      </c>
      <c r="C304" s="2" t="s">
        <v>2</v>
      </c>
      <c r="D304" s="2" t="s">
        <v>918</v>
      </c>
      <c r="E304" s="2">
        <f>VLOOKUP(B304,MT!$B$2:$F$30,5)</f>
        <v>45</v>
      </c>
      <c r="F304" s="2">
        <v>27.0</v>
      </c>
      <c r="G304" s="2">
        <f t="shared" si="1"/>
        <v>36</v>
      </c>
      <c r="H304" s="2">
        <v>8.0</v>
      </c>
      <c r="I304" s="2">
        <v>10.0</v>
      </c>
      <c r="J304" s="2">
        <v>11.0</v>
      </c>
      <c r="K304" s="3">
        <f t="shared" si="2"/>
        <v>5.722222222</v>
      </c>
      <c r="L304" s="2">
        <v>100.0</v>
      </c>
      <c r="M304" s="2">
        <v>178.0</v>
      </c>
      <c r="O304" s="3">
        <f t="shared" si="3"/>
        <v>178</v>
      </c>
      <c r="P304" s="2">
        <v>100.0</v>
      </c>
      <c r="Q304" s="2">
        <f t="shared" si="4"/>
        <v>14.45</v>
      </c>
      <c r="R304" s="2">
        <v>6.0</v>
      </c>
      <c r="S304" s="2">
        <v>3.0</v>
      </c>
      <c r="T304" s="2">
        <v>10.0</v>
      </c>
      <c r="U304" s="2">
        <v>8.0</v>
      </c>
      <c r="V304" s="2">
        <v>13.0</v>
      </c>
      <c r="W304" s="2">
        <v>14.0</v>
      </c>
      <c r="X304" s="2">
        <v>18.0</v>
      </c>
      <c r="Y304" s="2">
        <v>24.0</v>
      </c>
      <c r="Z304" s="2">
        <v>30.0</v>
      </c>
      <c r="AA304" s="2">
        <v>28.0</v>
      </c>
      <c r="AB304" s="2">
        <v>29.0</v>
      </c>
      <c r="AC304" s="2">
        <f t="shared" si="5"/>
        <v>9.15</v>
      </c>
      <c r="AD304" s="2">
        <v>35.0</v>
      </c>
      <c r="AE304" s="2">
        <v>320.0</v>
      </c>
      <c r="AF304" s="2">
        <v>1.0</v>
      </c>
      <c r="AG304" s="3">
        <f t="shared" si="6"/>
        <v>9.15</v>
      </c>
      <c r="AH304" s="3">
        <f t="shared" si="7"/>
        <v>8.875</v>
      </c>
      <c r="AI304" s="4">
        <f t="shared" si="8"/>
        <v>74.19722222</v>
      </c>
    </row>
    <row r="305" hidden="1">
      <c r="A305" s="1" t="s">
        <v>919</v>
      </c>
      <c r="B305" s="1" t="s">
        <v>920</v>
      </c>
      <c r="C305" s="2" t="s">
        <v>6</v>
      </c>
      <c r="D305" s="2" t="s">
        <v>921</v>
      </c>
      <c r="E305" s="2">
        <f>VLOOKUP(B305,MT!$B$2:$F$30,5)</f>
        <v>47</v>
      </c>
      <c r="F305" s="2">
        <v>24.0</v>
      </c>
      <c r="G305" s="2">
        <f t="shared" si="1"/>
        <v>35.5</v>
      </c>
      <c r="H305" s="2">
        <v>8.0</v>
      </c>
      <c r="I305" s="2">
        <v>16.0</v>
      </c>
      <c r="J305" s="2">
        <v>35.0</v>
      </c>
      <c r="K305" s="3">
        <f t="shared" si="2"/>
        <v>9.888888889</v>
      </c>
      <c r="L305" s="2">
        <v>100.0</v>
      </c>
      <c r="M305" s="2">
        <v>200.0</v>
      </c>
      <c r="O305" s="3">
        <f t="shared" si="3"/>
        <v>200</v>
      </c>
      <c r="P305" s="2">
        <v>90.0</v>
      </c>
      <c r="Q305" s="2">
        <f t="shared" si="4"/>
        <v>14.5</v>
      </c>
      <c r="R305" s="2">
        <v>7.0</v>
      </c>
      <c r="S305" s="2">
        <v>5.0</v>
      </c>
      <c r="T305" s="2">
        <v>13.0</v>
      </c>
      <c r="U305" s="2">
        <v>14.0</v>
      </c>
      <c r="V305" s="2">
        <v>15.0</v>
      </c>
      <c r="W305" s="2">
        <v>14.0</v>
      </c>
      <c r="X305" s="2">
        <v>19.0</v>
      </c>
      <c r="Y305" s="2">
        <v>28.0</v>
      </c>
      <c r="Z305" s="2">
        <v>30.0</v>
      </c>
      <c r="AA305" s="2">
        <v>29.0</v>
      </c>
      <c r="AB305" s="2">
        <v>30.0</v>
      </c>
      <c r="AC305" s="2">
        <f t="shared" si="5"/>
        <v>10.2</v>
      </c>
      <c r="AD305" s="2">
        <v>40.0</v>
      </c>
      <c r="AE305" s="2">
        <v>350.0</v>
      </c>
      <c r="AF305" s="2">
        <v>1.0</v>
      </c>
      <c r="AG305" s="3">
        <f t="shared" si="6"/>
        <v>10.2</v>
      </c>
      <c r="AH305" s="3">
        <f t="shared" si="7"/>
        <v>9.75</v>
      </c>
      <c r="AI305" s="4">
        <f t="shared" si="8"/>
        <v>79.83888889</v>
      </c>
    </row>
    <row r="306" hidden="1">
      <c r="A306" s="1" t="s">
        <v>922</v>
      </c>
      <c r="B306" s="1" t="s">
        <v>923</v>
      </c>
      <c r="C306" s="2" t="s">
        <v>6</v>
      </c>
      <c r="D306" s="2" t="s">
        <v>924</v>
      </c>
      <c r="E306" s="2">
        <f>VLOOKUP(B306,MT!$B$2:$F$30,5)</f>
        <v>47</v>
      </c>
      <c r="F306" s="2">
        <v>29.0</v>
      </c>
      <c r="G306" s="2">
        <f t="shared" si="1"/>
        <v>38</v>
      </c>
      <c r="H306" s="2">
        <v>14.0</v>
      </c>
      <c r="I306" s="2">
        <v>16.0</v>
      </c>
      <c r="J306" s="2">
        <v>41.0</v>
      </c>
      <c r="K306" s="3">
        <f t="shared" si="2"/>
        <v>12.05555556</v>
      </c>
      <c r="L306" s="2">
        <v>95.0</v>
      </c>
      <c r="M306" s="2">
        <v>178.0</v>
      </c>
      <c r="O306" s="3">
        <f t="shared" si="3"/>
        <v>178</v>
      </c>
      <c r="P306" s="2">
        <v>100.0</v>
      </c>
      <c r="Q306" s="2">
        <f t="shared" si="4"/>
        <v>14.2</v>
      </c>
      <c r="R306" s="2">
        <v>7.0</v>
      </c>
      <c r="S306" s="2">
        <v>8.0</v>
      </c>
      <c r="T306" s="2">
        <v>12.0</v>
      </c>
      <c r="U306" s="2">
        <v>15.0</v>
      </c>
      <c r="V306" s="2">
        <v>13.0</v>
      </c>
      <c r="W306" s="2">
        <v>14.0</v>
      </c>
      <c r="X306" s="2">
        <v>20.0</v>
      </c>
      <c r="Y306" s="2">
        <v>30.0</v>
      </c>
      <c r="Z306" s="2">
        <v>30.0</v>
      </c>
      <c r="AA306" s="2">
        <v>30.0</v>
      </c>
      <c r="AB306" s="2">
        <v>30.0</v>
      </c>
      <c r="AC306" s="2">
        <f t="shared" si="5"/>
        <v>10.45</v>
      </c>
      <c r="AD306" s="2">
        <v>50.0</v>
      </c>
      <c r="AE306" s="2">
        <v>348.0</v>
      </c>
      <c r="AF306" s="2">
        <v>1.0</v>
      </c>
      <c r="AG306" s="3">
        <f t="shared" si="6"/>
        <v>10.45</v>
      </c>
      <c r="AH306" s="3">
        <f t="shared" si="7"/>
        <v>9.95</v>
      </c>
      <c r="AI306" s="4">
        <f t="shared" si="8"/>
        <v>84.65555556</v>
      </c>
    </row>
    <row r="307" hidden="1">
      <c r="A307" s="1" t="s">
        <v>925</v>
      </c>
      <c r="B307" s="1" t="s">
        <v>926</v>
      </c>
      <c r="C307" s="2" t="s">
        <v>32</v>
      </c>
      <c r="D307" s="2" t="s">
        <v>927</v>
      </c>
      <c r="E307" s="2">
        <f>VLOOKUP(B307,MT!$B$2:$F$30,5)</f>
        <v>30</v>
      </c>
      <c r="F307" s="2">
        <v>11.0</v>
      </c>
      <c r="G307" s="2">
        <f t="shared" si="1"/>
        <v>20.5</v>
      </c>
      <c r="H307" s="2">
        <v>5.0</v>
      </c>
      <c r="I307" s="2">
        <v>9.5</v>
      </c>
      <c r="J307" s="2">
        <v>20.0</v>
      </c>
      <c r="K307" s="3">
        <f t="shared" si="2"/>
        <v>5.847222222</v>
      </c>
      <c r="L307" s="2">
        <v>90.0</v>
      </c>
      <c r="M307" s="2">
        <v>200.0</v>
      </c>
      <c r="O307" s="3">
        <f t="shared" si="3"/>
        <v>200</v>
      </c>
      <c r="P307" s="2">
        <v>100.0</v>
      </c>
      <c r="Q307" s="2">
        <f t="shared" si="4"/>
        <v>14.5</v>
      </c>
      <c r="R307" s="2">
        <v>3.0</v>
      </c>
      <c r="S307" s="2">
        <v>3.0</v>
      </c>
      <c r="T307" s="2">
        <v>10.0</v>
      </c>
      <c r="U307" s="2">
        <v>14.0</v>
      </c>
      <c r="V307" s="2">
        <v>10.0</v>
      </c>
      <c r="X307" s="2">
        <v>19.0</v>
      </c>
      <c r="Y307" s="2">
        <v>29.0</v>
      </c>
      <c r="Z307" s="2">
        <v>30.0</v>
      </c>
      <c r="AA307" s="2">
        <v>29.0</v>
      </c>
      <c r="AB307" s="2">
        <v>30.0</v>
      </c>
      <c r="AC307" s="2">
        <f t="shared" si="5"/>
        <v>8.85</v>
      </c>
      <c r="AD307" s="2">
        <v>45.0</v>
      </c>
      <c r="AE307" s="2">
        <v>340.0</v>
      </c>
      <c r="AF307" s="2">
        <v>1.0</v>
      </c>
      <c r="AG307" s="3">
        <f t="shared" si="6"/>
        <v>8.85</v>
      </c>
      <c r="AH307" s="3">
        <f t="shared" si="7"/>
        <v>9.625</v>
      </c>
      <c r="AI307" s="4">
        <f t="shared" si="8"/>
        <v>59.32222222</v>
      </c>
    </row>
    <row r="308" hidden="1">
      <c r="A308" s="6" t="s">
        <v>928</v>
      </c>
      <c r="B308" s="1" t="s">
        <v>929</v>
      </c>
      <c r="C308" s="2" t="s">
        <v>59</v>
      </c>
      <c r="D308" s="2" t="s">
        <v>930</v>
      </c>
      <c r="E308" s="2">
        <f>VLOOKUP(B308,MT!$B$2:$F$30,5)</f>
        <v>28</v>
      </c>
      <c r="G308" s="2">
        <f t="shared" si="1"/>
        <v>14</v>
      </c>
      <c r="H308" s="2">
        <v>0.0</v>
      </c>
      <c r="I308" s="2">
        <v>6.5</v>
      </c>
      <c r="J308" s="2">
        <v>17.0</v>
      </c>
      <c r="K308" s="3">
        <f t="shared" si="2"/>
        <v>3.513888889</v>
      </c>
      <c r="L308" s="2">
        <v>90.0</v>
      </c>
      <c r="M308" s="2">
        <v>192.0</v>
      </c>
      <c r="O308" s="3">
        <f t="shared" si="3"/>
        <v>192</v>
      </c>
      <c r="P308" s="2">
        <v>100.0</v>
      </c>
      <c r="Q308" s="2">
        <f t="shared" si="4"/>
        <v>14.3</v>
      </c>
      <c r="R308" s="2">
        <v>6.0</v>
      </c>
      <c r="S308" s="2">
        <v>6.0</v>
      </c>
      <c r="T308" s="2">
        <v>6.0</v>
      </c>
      <c r="V308" s="2">
        <v>15.0</v>
      </c>
      <c r="W308" s="2">
        <v>15.0</v>
      </c>
      <c r="X308" s="2">
        <v>20.0</v>
      </c>
      <c r="Y308" s="2">
        <v>27.0</v>
      </c>
      <c r="Z308" s="2">
        <v>28.0</v>
      </c>
      <c r="AA308" s="2">
        <v>28.0</v>
      </c>
      <c r="AB308" s="2">
        <v>29.0</v>
      </c>
      <c r="AC308" s="2">
        <f t="shared" si="5"/>
        <v>9</v>
      </c>
      <c r="AD308" s="2">
        <v>28.0</v>
      </c>
      <c r="AE308" s="2">
        <v>325.0</v>
      </c>
      <c r="AF308" s="2">
        <v>0.5</v>
      </c>
      <c r="AG308" s="3">
        <f t="shared" si="6"/>
        <v>4.5</v>
      </c>
      <c r="AH308" s="3">
        <f t="shared" si="7"/>
        <v>8.825</v>
      </c>
      <c r="AI308" s="4">
        <f t="shared" si="8"/>
        <v>45.13888889</v>
      </c>
    </row>
    <row r="309" hidden="1">
      <c r="A309" s="1" t="s">
        <v>931</v>
      </c>
      <c r="B309" s="1" t="s">
        <v>932</v>
      </c>
      <c r="C309" s="2" t="s">
        <v>32</v>
      </c>
      <c r="D309" s="2" t="s">
        <v>933</v>
      </c>
      <c r="E309" s="2">
        <f>VLOOKUP(B309,MT!$B$2:$F$30,5)</f>
        <v>28</v>
      </c>
      <c r="F309" s="2">
        <v>23.0</v>
      </c>
      <c r="G309" s="2">
        <f t="shared" si="1"/>
        <v>25.5</v>
      </c>
      <c r="H309" s="2">
        <v>5.0</v>
      </c>
      <c r="I309" s="2">
        <v>19.0</v>
      </c>
      <c r="J309" s="2">
        <v>17.0</v>
      </c>
      <c r="K309" s="3">
        <f t="shared" si="2"/>
        <v>7.888888889</v>
      </c>
      <c r="L309" s="2">
        <v>90.0</v>
      </c>
      <c r="M309" s="2">
        <v>189.0</v>
      </c>
      <c r="O309" s="3">
        <f t="shared" si="3"/>
        <v>189</v>
      </c>
      <c r="P309" s="2">
        <v>80.0</v>
      </c>
      <c r="Q309" s="2">
        <f t="shared" si="4"/>
        <v>13.225</v>
      </c>
      <c r="R309" s="2">
        <v>7.0</v>
      </c>
      <c r="S309" s="2">
        <v>7.0</v>
      </c>
      <c r="T309" s="2">
        <v>10.0</v>
      </c>
      <c r="U309" s="2">
        <v>9.0</v>
      </c>
      <c r="V309" s="2">
        <v>10.0</v>
      </c>
      <c r="W309" s="2">
        <v>15.0</v>
      </c>
      <c r="X309" s="2">
        <v>18.0</v>
      </c>
      <c r="Y309" s="2">
        <v>26.0</v>
      </c>
      <c r="Z309" s="2">
        <v>28.0</v>
      </c>
      <c r="AA309" s="2">
        <v>27.0</v>
      </c>
      <c r="AB309" s="2">
        <v>28.0</v>
      </c>
      <c r="AC309" s="2">
        <f t="shared" si="5"/>
        <v>9.25</v>
      </c>
      <c r="AD309" s="2">
        <v>20.0</v>
      </c>
      <c r="AE309" s="2">
        <v>315.0</v>
      </c>
      <c r="AF309" s="2">
        <v>1.0</v>
      </c>
      <c r="AG309" s="3">
        <f t="shared" si="6"/>
        <v>9.25</v>
      </c>
      <c r="AH309" s="3">
        <f t="shared" si="7"/>
        <v>8.375</v>
      </c>
      <c r="AI309" s="4">
        <f t="shared" si="8"/>
        <v>64.23888889</v>
      </c>
    </row>
    <row r="310" hidden="1">
      <c r="A310" s="1" t="s">
        <v>934</v>
      </c>
      <c r="B310" s="1" t="s">
        <v>935</v>
      </c>
      <c r="C310" s="2" t="s">
        <v>32</v>
      </c>
      <c r="D310" s="2" t="s">
        <v>936</v>
      </c>
      <c r="E310" s="2">
        <f>VLOOKUP(B310,MT!$B$2:$F$30,5)</f>
        <v>37</v>
      </c>
      <c r="F310" s="2">
        <v>12.0</v>
      </c>
      <c r="G310" s="2">
        <f t="shared" si="1"/>
        <v>24.5</v>
      </c>
      <c r="H310" s="2">
        <v>4.0</v>
      </c>
      <c r="I310" s="2">
        <v>9.5</v>
      </c>
      <c r="J310" s="2">
        <v>20.0</v>
      </c>
      <c r="K310" s="3">
        <f t="shared" si="2"/>
        <v>5.597222222</v>
      </c>
      <c r="L310" s="2">
        <v>95.0</v>
      </c>
      <c r="M310" s="2">
        <v>0.0</v>
      </c>
      <c r="N310" s="2">
        <v>180.0</v>
      </c>
      <c r="O310" s="3">
        <f t="shared" si="3"/>
        <v>180</v>
      </c>
      <c r="P310" s="2">
        <v>85.0</v>
      </c>
      <c r="Q310" s="2">
        <f t="shared" si="4"/>
        <v>13.5</v>
      </c>
      <c r="R310" s="2">
        <v>7.0</v>
      </c>
      <c r="S310" s="2">
        <v>2.0</v>
      </c>
      <c r="T310" s="2">
        <v>8.0</v>
      </c>
      <c r="U310" s="2">
        <v>11.0</v>
      </c>
      <c r="V310" s="2">
        <v>12.0</v>
      </c>
      <c r="W310" s="2">
        <v>15.0</v>
      </c>
      <c r="X310" s="2">
        <v>19.5</v>
      </c>
      <c r="Y310" s="2">
        <v>29.0</v>
      </c>
      <c r="Z310" s="2">
        <v>26.0</v>
      </c>
      <c r="AA310" s="2">
        <v>28.0</v>
      </c>
      <c r="AB310" s="2">
        <v>28.0</v>
      </c>
      <c r="AC310" s="2">
        <f t="shared" si="5"/>
        <v>9.275</v>
      </c>
      <c r="AD310" s="2">
        <v>50.0</v>
      </c>
      <c r="AE310" s="2">
        <v>340.0</v>
      </c>
      <c r="AF310" s="2">
        <v>1.0</v>
      </c>
      <c r="AG310" s="3">
        <f t="shared" si="6"/>
        <v>9.275</v>
      </c>
      <c r="AH310" s="3">
        <f t="shared" si="7"/>
        <v>9.75</v>
      </c>
      <c r="AI310" s="4">
        <f t="shared" si="8"/>
        <v>62.62222222</v>
      </c>
    </row>
    <row r="311" hidden="1">
      <c r="A311" s="1" t="s">
        <v>937</v>
      </c>
      <c r="B311" s="1" t="s">
        <v>938</v>
      </c>
      <c r="C311" s="2" t="s">
        <v>6</v>
      </c>
      <c r="D311" s="2" t="s">
        <v>939</v>
      </c>
      <c r="E311" s="2">
        <f>VLOOKUP(B311,MT!$B$2:$F$30,5)</f>
        <v>49</v>
      </c>
      <c r="F311" s="2">
        <v>28.0</v>
      </c>
      <c r="G311" s="2">
        <f t="shared" si="1"/>
        <v>38.5</v>
      </c>
      <c r="H311" s="2">
        <v>14.0</v>
      </c>
      <c r="I311" s="2">
        <v>17.5</v>
      </c>
      <c r="J311" s="2">
        <v>26.0</v>
      </c>
      <c r="K311" s="3">
        <f t="shared" si="2"/>
        <v>10.76388889</v>
      </c>
      <c r="L311" s="2">
        <v>100.0</v>
      </c>
      <c r="M311" s="2">
        <v>199.0</v>
      </c>
      <c r="O311" s="3">
        <f t="shared" si="3"/>
        <v>199</v>
      </c>
      <c r="P311" s="2">
        <v>100.0</v>
      </c>
      <c r="Q311" s="2">
        <f t="shared" si="4"/>
        <v>14.975</v>
      </c>
      <c r="R311" s="2">
        <v>7.0</v>
      </c>
      <c r="S311" s="2">
        <v>9.0</v>
      </c>
      <c r="T311" s="2">
        <v>14.5</v>
      </c>
      <c r="U311" s="2">
        <v>12.0</v>
      </c>
      <c r="V311" s="2">
        <v>15.0</v>
      </c>
      <c r="W311" s="2">
        <v>15.0</v>
      </c>
      <c r="X311" s="2">
        <v>20.0</v>
      </c>
      <c r="Y311" s="2">
        <v>30.0</v>
      </c>
      <c r="Z311" s="2">
        <v>29.5</v>
      </c>
      <c r="AA311" s="2">
        <v>29.0</v>
      </c>
      <c r="AB311" s="2">
        <v>30.0</v>
      </c>
      <c r="AC311" s="2">
        <f t="shared" si="5"/>
        <v>10.55</v>
      </c>
      <c r="AD311" s="2">
        <v>45.0</v>
      </c>
      <c r="AE311" s="2">
        <v>325.0</v>
      </c>
      <c r="AF311" s="2">
        <v>1.0</v>
      </c>
      <c r="AG311" s="3">
        <f t="shared" si="6"/>
        <v>10.55</v>
      </c>
      <c r="AH311" s="3">
        <f t="shared" si="7"/>
        <v>9.25</v>
      </c>
      <c r="AI311" s="4">
        <f t="shared" si="8"/>
        <v>84.03888889</v>
      </c>
    </row>
    <row r="312" hidden="1">
      <c r="A312" s="1" t="s">
        <v>940</v>
      </c>
      <c r="B312" s="1" t="s">
        <v>941</v>
      </c>
      <c r="C312" s="2" t="s">
        <v>2</v>
      </c>
      <c r="D312" s="2" t="s">
        <v>942</v>
      </c>
      <c r="E312" s="2">
        <f>VLOOKUP(B312,MT!$B$2:$F$30,5)</f>
        <v>43</v>
      </c>
      <c r="F312" s="2">
        <v>23.0</v>
      </c>
      <c r="G312" s="2">
        <f t="shared" si="1"/>
        <v>33</v>
      </c>
      <c r="H312" s="2">
        <v>11.0</v>
      </c>
      <c r="I312" s="2">
        <v>16.0</v>
      </c>
      <c r="J312" s="2">
        <v>25.0</v>
      </c>
      <c r="K312" s="3">
        <f t="shared" si="2"/>
        <v>9.527777778</v>
      </c>
      <c r="L312" s="2">
        <v>100.0</v>
      </c>
      <c r="M312" s="2">
        <v>200.0</v>
      </c>
      <c r="O312" s="3">
        <f t="shared" si="3"/>
        <v>200</v>
      </c>
      <c r="P312" s="2">
        <v>100.0</v>
      </c>
      <c r="Q312" s="2">
        <f t="shared" si="4"/>
        <v>15</v>
      </c>
      <c r="R312" s="2">
        <v>7.0</v>
      </c>
      <c r="S312" s="2">
        <v>7.0</v>
      </c>
      <c r="T312" s="2">
        <v>13.0</v>
      </c>
      <c r="U312" s="2">
        <v>12.0</v>
      </c>
      <c r="V312" s="2">
        <v>14.0</v>
      </c>
      <c r="W312" s="2">
        <v>14.5</v>
      </c>
      <c r="X312" s="2">
        <v>19.0</v>
      </c>
      <c r="Y312" s="2">
        <v>30.0</v>
      </c>
      <c r="Z312" s="2">
        <v>0.0</v>
      </c>
      <c r="AA312" s="2">
        <v>29.0</v>
      </c>
      <c r="AB312" s="2">
        <v>29.0</v>
      </c>
      <c r="AC312" s="2">
        <f t="shared" si="5"/>
        <v>8.725</v>
      </c>
      <c r="AD312" s="2">
        <v>38.0</v>
      </c>
      <c r="AE312" s="2">
        <v>348.0</v>
      </c>
      <c r="AF312" s="2">
        <v>1.0</v>
      </c>
      <c r="AG312" s="3">
        <f t="shared" si="6"/>
        <v>8.725</v>
      </c>
      <c r="AH312" s="3">
        <f t="shared" si="7"/>
        <v>9.65</v>
      </c>
      <c r="AI312" s="4">
        <f t="shared" si="8"/>
        <v>75.90277778</v>
      </c>
    </row>
    <row r="313" hidden="1">
      <c r="A313" s="1" t="s">
        <v>943</v>
      </c>
      <c r="B313" s="1" t="s">
        <v>944</v>
      </c>
      <c r="C313" s="2" t="s">
        <v>6</v>
      </c>
      <c r="D313" s="2" t="s">
        <v>945</v>
      </c>
      <c r="E313" s="2">
        <f>VLOOKUP(B313,MT!$B$2:$F$30,5)</f>
        <v>32</v>
      </c>
      <c r="F313" s="2">
        <v>38.0</v>
      </c>
      <c r="G313" s="2">
        <f t="shared" si="1"/>
        <v>35</v>
      </c>
      <c r="H313" s="2">
        <v>14.0</v>
      </c>
      <c r="I313" s="2">
        <v>19.0</v>
      </c>
      <c r="J313" s="2">
        <v>32.0</v>
      </c>
      <c r="K313" s="3">
        <f t="shared" si="2"/>
        <v>11.80555556</v>
      </c>
      <c r="L313" s="2">
        <v>100.0</v>
      </c>
      <c r="M313" s="2">
        <v>200.0</v>
      </c>
      <c r="O313" s="3">
        <f t="shared" si="3"/>
        <v>200</v>
      </c>
      <c r="P313" s="2">
        <v>100.0</v>
      </c>
      <c r="Q313" s="2">
        <f t="shared" si="4"/>
        <v>15</v>
      </c>
      <c r="R313" s="2">
        <v>7.0</v>
      </c>
      <c r="S313" s="2">
        <v>8.0</v>
      </c>
      <c r="T313" s="2">
        <v>11.0</v>
      </c>
      <c r="U313" s="2">
        <v>15.0</v>
      </c>
      <c r="V313" s="2">
        <v>13.0</v>
      </c>
      <c r="W313" s="2">
        <v>15.0</v>
      </c>
      <c r="X313" s="2">
        <v>20.0</v>
      </c>
      <c r="Y313" s="2">
        <v>30.0</v>
      </c>
      <c r="Z313" s="2">
        <v>30.0</v>
      </c>
      <c r="AA313" s="2">
        <v>30.0</v>
      </c>
      <c r="AB313" s="2">
        <v>29.0</v>
      </c>
      <c r="AC313" s="2">
        <f t="shared" si="5"/>
        <v>10.4</v>
      </c>
      <c r="AD313" s="2">
        <v>46.0</v>
      </c>
      <c r="AE313" s="2">
        <v>350.0</v>
      </c>
      <c r="AF313" s="2">
        <v>1.0</v>
      </c>
      <c r="AG313" s="3">
        <f t="shared" si="6"/>
        <v>10.4</v>
      </c>
      <c r="AH313" s="3">
        <f t="shared" si="7"/>
        <v>9.9</v>
      </c>
      <c r="AI313" s="4">
        <f t="shared" si="8"/>
        <v>82.10555556</v>
      </c>
    </row>
    <row r="314" hidden="1">
      <c r="A314" s="1" t="s">
        <v>946</v>
      </c>
      <c r="B314" s="1" t="s">
        <v>947</v>
      </c>
      <c r="C314" s="2" t="s">
        <v>2</v>
      </c>
      <c r="D314" s="2" t="s">
        <v>948</v>
      </c>
      <c r="E314" s="2">
        <f>VLOOKUP(B314,MT!$B$2:$F$30,5)</f>
        <v>45</v>
      </c>
      <c r="F314" s="2">
        <v>23.0</v>
      </c>
      <c r="G314" s="2">
        <f t="shared" si="1"/>
        <v>34</v>
      </c>
      <c r="H314" s="2">
        <v>11.0</v>
      </c>
      <c r="I314" s="2">
        <v>19.0</v>
      </c>
      <c r="J314" s="2">
        <v>25.0</v>
      </c>
      <c r="K314" s="3">
        <f t="shared" si="2"/>
        <v>10.27777778</v>
      </c>
      <c r="L314" s="2">
        <v>100.0</v>
      </c>
      <c r="M314" s="2">
        <v>196.0</v>
      </c>
      <c r="O314" s="3">
        <f t="shared" si="3"/>
        <v>196</v>
      </c>
      <c r="P314" s="2">
        <v>100.0</v>
      </c>
      <c r="Q314" s="2">
        <f t="shared" si="4"/>
        <v>14.9</v>
      </c>
      <c r="R314" s="2">
        <v>7.0</v>
      </c>
      <c r="S314" s="2">
        <v>7.0</v>
      </c>
      <c r="T314" s="2">
        <v>13.0</v>
      </c>
      <c r="U314" s="2">
        <v>12.0</v>
      </c>
      <c r="V314" s="2">
        <v>14.5</v>
      </c>
      <c r="W314" s="2">
        <v>15.0</v>
      </c>
      <c r="X314" s="2">
        <v>20.0</v>
      </c>
      <c r="Y314" s="2">
        <v>30.0</v>
      </c>
      <c r="Z314" s="2">
        <v>29.0</v>
      </c>
      <c r="AA314" s="2">
        <v>30.0</v>
      </c>
      <c r="AB314" s="2">
        <v>30.0</v>
      </c>
      <c r="AC314" s="2">
        <f t="shared" si="5"/>
        <v>10.375</v>
      </c>
      <c r="AD314" s="2">
        <v>50.0</v>
      </c>
      <c r="AE314" s="2">
        <v>335.0</v>
      </c>
      <c r="AF314" s="2">
        <v>1.0</v>
      </c>
      <c r="AG314" s="3">
        <f t="shared" si="6"/>
        <v>10.375</v>
      </c>
      <c r="AH314" s="3">
        <f t="shared" si="7"/>
        <v>9.625</v>
      </c>
      <c r="AI314" s="4">
        <f t="shared" si="8"/>
        <v>79.17777778</v>
      </c>
    </row>
    <row r="315" hidden="1">
      <c r="A315" s="1" t="s">
        <v>949</v>
      </c>
      <c r="B315" s="1" t="s">
        <v>950</v>
      </c>
      <c r="C315" s="2" t="s">
        <v>25</v>
      </c>
      <c r="D315" s="2" t="s">
        <v>951</v>
      </c>
      <c r="E315" s="2">
        <f>VLOOKUP(B315,MT!$B$2:$F$30,5)</f>
        <v>34</v>
      </c>
      <c r="F315" s="2">
        <v>20.0</v>
      </c>
      <c r="G315" s="2">
        <f t="shared" si="1"/>
        <v>27</v>
      </c>
      <c r="H315" s="2">
        <v>10.0</v>
      </c>
      <c r="I315" s="2">
        <v>10.0</v>
      </c>
      <c r="J315" s="2">
        <v>25.0</v>
      </c>
      <c r="K315" s="3">
        <f t="shared" si="2"/>
        <v>7.777777778</v>
      </c>
      <c r="L315" s="2">
        <v>90.0</v>
      </c>
      <c r="M315" s="2">
        <v>180.0</v>
      </c>
      <c r="O315" s="3">
        <f t="shared" si="3"/>
        <v>180</v>
      </c>
      <c r="P315" s="2">
        <v>100.0</v>
      </c>
      <c r="Q315" s="2">
        <f t="shared" si="4"/>
        <v>14</v>
      </c>
      <c r="R315" s="2">
        <v>7.0</v>
      </c>
      <c r="S315" s="2">
        <v>9.0</v>
      </c>
      <c r="T315" s="2">
        <v>10.0</v>
      </c>
      <c r="U315" s="2">
        <v>11.5</v>
      </c>
      <c r="V315" s="2">
        <v>13.0</v>
      </c>
      <c r="W315" s="2">
        <v>15.0</v>
      </c>
      <c r="X315" s="2">
        <v>19.0</v>
      </c>
      <c r="Y315" s="2">
        <v>30.0</v>
      </c>
      <c r="Z315" s="2">
        <v>26.0</v>
      </c>
      <c r="AA315" s="2">
        <v>29.0</v>
      </c>
      <c r="AB315" s="2">
        <v>28.0</v>
      </c>
      <c r="AC315" s="2">
        <f t="shared" si="5"/>
        <v>9.875</v>
      </c>
      <c r="AD315" s="2">
        <v>45.0</v>
      </c>
      <c r="AE315" s="2">
        <v>340.0</v>
      </c>
      <c r="AF315" s="2">
        <v>1.0</v>
      </c>
      <c r="AG315" s="3">
        <f t="shared" si="6"/>
        <v>9.875</v>
      </c>
      <c r="AH315" s="3">
        <f t="shared" si="7"/>
        <v>9.625</v>
      </c>
      <c r="AI315" s="4">
        <f t="shared" si="8"/>
        <v>68.27777778</v>
      </c>
    </row>
    <row r="316" hidden="1">
      <c r="A316" s="1" t="s">
        <v>952</v>
      </c>
      <c r="B316" s="1" t="s">
        <v>953</v>
      </c>
      <c r="C316" s="2" t="s">
        <v>2</v>
      </c>
      <c r="D316" s="2" t="s">
        <v>954</v>
      </c>
      <c r="E316" s="2">
        <f>VLOOKUP(B316,MT!$B$2:$F$30,5)</f>
        <v>46</v>
      </c>
      <c r="F316" s="2">
        <v>27.0</v>
      </c>
      <c r="G316" s="2">
        <f t="shared" si="1"/>
        <v>36.5</v>
      </c>
      <c r="H316" s="2">
        <v>7.0</v>
      </c>
      <c r="I316" s="2">
        <v>11.0</v>
      </c>
      <c r="J316" s="2">
        <v>21.0</v>
      </c>
      <c r="K316" s="3">
        <f t="shared" si="2"/>
        <v>6.833333333</v>
      </c>
      <c r="L316" s="2">
        <v>85.0</v>
      </c>
      <c r="M316" s="2">
        <v>180.0</v>
      </c>
      <c r="O316" s="3">
        <f t="shared" si="3"/>
        <v>180</v>
      </c>
      <c r="P316" s="2">
        <v>90.0</v>
      </c>
      <c r="Q316" s="2">
        <f t="shared" si="4"/>
        <v>13.25</v>
      </c>
      <c r="R316" s="2">
        <v>7.0</v>
      </c>
      <c r="S316" s="2">
        <v>6.0</v>
      </c>
      <c r="T316" s="2">
        <v>10.0</v>
      </c>
      <c r="U316" s="2">
        <v>12.0</v>
      </c>
      <c r="V316" s="2">
        <v>10.0</v>
      </c>
      <c r="W316" s="2">
        <v>14.5</v>
      </c>
      <c r="X316" s="2">
        <v>16.0</v>
      </c>
      <c r="Y316" s="2">
        <v>30.0</v>
      </c>
      <c r="Z316" s="2">
        <v>25.0</v>
      </c>
      <c r="AA316" s="2">
        <v>29.0</v>
      </c>
      <c r="AB316" s="2">
        <v>28.0</v>
      </c>
      <c r="AC316" s="2">
        <f t="shared" si="5"/>
        <v>9.375</v>
      </c>
      <c r="AD316" s="2">
        <v>48.0</v>
      </c>
      <c r="AE316" s="2">
        <v>340.0</v>
      </c>
      <c r="AF316" s="2">
        <v>1.0</v>
      </c>
      <c r="AG316" s="3">
        <f t="shared" si="6"/>
        <v>9.375</v>
      </c>
      <c r="AH316" s="3">
        <f t="shared" si="7"/>
        <v>9.7</v>
      </c>
      <c r="AI316" s="4">
        <f t="shared" si="8"/>
        <v>75.65833333</v>
      </c>
    </row>
    <row r="317" hidden="1">
      <c r="A317" s="1" t="s">
        <v>955</v>
      </c>
      <c r="B317" s="1" t="s">
        <v>956</v>
      </c>
      <c r="C317" s="2" t="s">
        <v>55</v>
      </c>
      <c r="D317" s="2" t="s">
        <v>957</v>
      </c>
      <c r="E317" s="2">
        <f>VLOOKUP(B317,MT!$B$2:$F$30,5)</f>
        <v>30</v>
      </c>
      <c r="F317" s="2">
        <v>13.0</v>
      </c>
      <c r="G317" s="2">
        <f t="shared" si="1"/>
        <v>21.5</v>
      </c>
      <c r="H317" s="2">
        <v>6.0</v>
      </c>
      <c r="I317" s="2">
        <v>12.0</v>
      </c>
      <c r="J317" s="2">
        <v>-1.0</v>
      </c>
      <c r="K317" s="3">
        <f t="shared" si="2"/>
        <v>4.388888889</v>
      </c>
      <c r="L317" s="2">
        <v>85.0</v>
      </c>
      <c r="M317" s="2">
        <v>200.0</v>
      </c>
      <c r="O317" s="3">
        <f t="shared" si="3"/>
        <v>200</v>
      </c>
      <c r="P317" s="2">
        <v>100.0</v>
      </c>
      <c r="Q317" s="2">
        <f t="shared" si="4"/>
        <v>14.25</v>
      </c>
      <c r="R317" s="2">
        <v>7.0</v>
      </c>
      <c r="S317" s="2">
        <v>8.0</v>
      </c>
      <c r="T317" s="2">
        <v>12.0</v>
      </c>
      <c r="U317" s="2">
        <v>14.0</v>
      </c>
      <c r="V317" s="2">
        <v>12.0</v>
      </c>
      <c r="W317" s="2">
        <v>12.5</v>
      </c>
      <c r="X317" s="2">
        <v>18.0</v>
      </c>
      <c r="Y317" s="2">
        <v>30.0</v>
      </c>
      <c r="Z317" s="2">
        <v>28.0</v>
      </c>
      <c r="AA317" s="2">
        <v>28.0</v>
      </c>
      <c r="AB317" s="2">
        <v>29.0</v>
      </c>
      <c r="AC317" s="2">
        <f t="shared" si="5"/>
        <v>9.925</v>
      </c>
      <c r="AD317" s="2">
        <v>50.0</v>
      </c>
      <c r="AE317" s="2">
        <v>345.0</v>
      </c>
      <c r="AF317" s="2">
        <v>0.5</v>
      </c>
      <c r="AG317" s="3">
        <f t="shared" si="6"/>
        <v>4.9625</v>
      </c>
      <c r="AH317" s="3">
        <f t="shared" si="7"/>
        <v>9.875</v>
      </c>
      <c r="AI317" s="4">
        <f t="shared" si="8"/>
        <v>54.97638889</v>
      </c>
    </row>
    <row r="318" hidden="1">
      <c r="A318" s="1" t="s">
        <v>958</v>
      </c>
      <c r="B318" s="1" t="s">
        <v>959</v>
      </c>
      <c r="C318" s="2" t="s">
        <v>6</v>
      </c>
      <c r="D318" s="2" t="s">
        <v>960</v>
      </c>
      <c r="E318" s="2">
        <f>VLOOKUP(B318,MT!$B$2:$F$30,5)</f>
        <v>49</v>
      </c>
      <c r="F318" s="2">
        <v>32.0</v>
      </c>
      <c r="G318" s="2">
        <f t="shared" si="1"/>
        <v>40.5</v>
      </c>
      <c r="H318" s="2">
        <v>10.0</v>
      </c>
      <c r="I318" s="2">
        <v>16.5</v>
      </c>
      <c r="J318" s="2">
        <v>28.0</v>
      </c>
      <c r="K318" s="3">
        <f t="shared" si="2"/>
        <v>9.736111111</v>
      </c>
      <c r="L318" s="2">
        <v>100.0</v>
      </c>
      <c r="M318" s="2">
        <v>200.0</v>
      </c>
      <c r="O318" s="3">
        <f t="shared" si="3"/>
        <v>200</v>
      </c>
      <c r="P318" s="2">
        <v>100.0</v>
      </c>
      <c r="Q318" s="2">
        <f t="shared" si="4"/>
        <v>15</v>
      </c>
      <c r="R318" s="2">
        <v>7.0</v>
      </c>
      <c r="S318" s="2">
        <v>7.0</v>
      </c>
      <c r="T318" s="2">
        <v>10.0</v>
      </c>
      <c r="U318" s="2">
        <v>14.0</v>
      </c>
      <c r="V318" s="2">
        <v>14.0</v>
      </c>
      <c r="W318" s="2">
        <v>13.0</v>
      </c>
      <c r="X318" s="2">
        <v>20.0</v>
      </c>
      <c r="Y318" s="2">
        <v>30.0</v>
      </c>
      <c r="Z318" s="2">
        <v>30.0</v>
      </c>
      <c r="AA318" s="2">
        <v>30.0</v>
      </c>
      <c r="AB318" s="2">
        <v>30.0</v>
      </c>
      <c r="AC318" s="2">
        <f t="shared" si="5"/>
        <v>10.25</v>
      </c>
      <c r="AD318" s="2">
        <v>50.0</v>
      </c>
      <c r="AE318" s="2">
        <v>350.0</v>
      </c>
      <c r="AF318" s="2">
        <v>1.0</v>
      </c>
      <c r="AG318" s="3">
        <f t="shared" si="6"/>
        <v>10.25</v>
      </c>
      <c r="AH318" s="3">
        <f t="shared" si="7"/>
        <v>10</v>
      </c>
      <c r="AI318" s="4">
        <f t="shared" si="8"/>
        <v>85.48611111</v>
      </c>
    </row>
    <row r="319" hidden="1">
      <c r="A319" s="18" t="s">
        <v>961</v>
      </c>
      <c r="B319" s="18" t="s">
        <v>962</v>
      </c>
      <c r="C319" s="2" t="s">
        <v>963</v>
      </c>
      <c r="D319" s="18" t="s">
        <v>964</v>
      </c>
      <c r="E319" s="18" t="s">
        <v>965</v>
      </c>
      <c r="F319" s="18" t="s">
        <v>966</v>
      </c>
      <c r="G319" s="18" t="s">
        <v>967</v>
      </c>
      <c r="H319" s="18" t="s">
        <v>968</v>
      </c>
      <c r="I319" s="18" t="s">
        <v>969</v>
      </c>
      <c r="J319" s="18" t="s">
        <v>970</v>
      </c>
      <c r="K319" s="18" t="s">
        <v>971</v>
      </c>
      <c r="L319" s="18" t="s">
        <v>972</v>
      </c>
      <c r="M319" s="18" t="s">
        <v>973</v>
      </c>
      <c r="N319" s="18" t="s">
        <v>974</v>
      </c>
      <c r="O319" s="18" t="s">
        <v>975</v>
      </c>
      <c r="P319" s="18" t="s">
        <v>976</v>
      </c>
      <c r="Q319" s="18" t="s">
        <v>977</v>
      </c>
      <c r="R319" s="18" t="s">
        <v>978</v>
      </c>
      <c r="S319" s="18" t="s">
        <v>979</v>
      </c>
      <c r="T319" s="18" t="s">
        <v>980</v>
      </c>
      <c r="U319" s="18" t="s">
        <v>981</v>
      </c>
      <c r="V319" s="18" t="s">
        <v>982</v>
      </c>
      <c r="W319" s="18" t="s">
        <v>983</v>
      </c>
      <c r="X319" s="18" t="s">
        <v>984</v>
      </c>
      <c r="Y319" s="18" t="s">
        <v>985</v>
      </c>
      <c r="Z319" s="18" t="s">
        <v>986</v>
      </c>
      <c r="AA319" s="18" t="s">
        <v>987</v>
      </c>
      <c r="AB319" s="18" t="s">
        <v>988</v>
      </c>
      <c r="AC319" s="18" t="s">
        <v>989</v>
      </c>
      <c r="AD319" s="18" t="s">
        <v>990</v>
      </c>
      <c r="AE319" s="18" t="s">
        <v>991</v>
      </c>
      <c r="AF319" s="18"/>
      <c r="AG319" s="18" t="s">
        <v>992</v>
      </c>
      <c r="AH319" s="18" t="s">
        <v>993</v>
      </c>
      <c r="AI319" s="19" t="s">
        <v>994</v>
      </c>
    </row>
    <row r="320" hidden="1">
      <c r="A320" s="1" t="s">
        <v>995</v>
      </c>
      <c r="B320" s="1" t="s">
        <v>996</v>
      </c>
      <c r="C320" s="2" t="s">
        <v>55</v>
      </c>
      <c r="D320" s="2" t="s">
        <v>997</v>
      </c>
      <c r="E320" s="2">
        <f>VLOOKUP(B320, 'MSC-Vikrant'!B2:F13,5)</f>
        <v>20</v>
      </c>
      <c r="F320" s="2">
        <v>11.0</v>
      </c>
      <c r="G320" s="2">
        <f t="shared" ref="G320:G331" si="9">0.5*(E320+F320)</f>
        <v>15.5</v>
      </c>
      <c r="H320" s="2">
        <v>9.0</v>
      </c>
      <c r="I320" s="2">
        <v>10.0</v>
      </c>
      <c r="J320" s="2">
        <v>22.0</v>
      </c>
      <c r="K320" s="3">
        <f t="shared" ref="K320:K331" si="10">H320/4+I320/4+J320/9</f>
        <v>7.194444444</v>
      </c>
      <c r="L320" s="2">
        <v>50.0</v>
      </c>
      <c r="M320" s="2">
        <v>165.0</v>
      </c>
      <c r="N320" s="2">
        <v>160.0</v>
      </c>
      <c r="O320" s="3">
        <f t="shared" ref="O320:O331" si="11">max(M320:N320)</f>
        <v>165</v>
      </c>
      <c r="P320" s="2">
        <v>92.0</v>
      </c>
      <c r="Q320" s="2">
        <f t="shared" ref="Q320:Q331" si="12">L320/20+O320/40+P320/20</f>
        <v>11.225</v>
      </c>
      <c r="R320" s="2">
        <v>6.0</v>
      </c>
      <c r="T320" s="2">
        <v>10.0</v>
      </c>
      <c r="U320" s="2">
        <v>5.0</v>
      </c>
      <c r="V320" s="2">
        <v>10.0</v>
      </c>
      <c r="W320" s="2">
        <v>12.0</v>
      </c>
      <c r="X320" s="2">
        <v>15.0</v>
      </c>
      <c r="Y320" s="2">
        <v>28.0</v>
      </c>
      <c r="Z320" s="2">
        <v>30.0</v>
      </c>
      <c r="AA320" s="2">
        <v>28.0</v>
      </c>
      <c r="AB320" s="2">
        <v>29.0</v>
      </c>
      <c r="AC320" s="2">
        <f t="shared" ref="AC320:AC331" si="13">SUM(R320:AB320)/20</f>
        <v>8.65</v>
      </c>
      <c r="AD320" s="2">
        <v>50.0</v>
      </c>
      <c r="AE320" s="2">
        <v>290.0</v>
      </c>
      <c r="AF320" s="2">
        <v>1.0</v>
      </c>
      <c r="AG320" s="3">
        <f t="shared" ref="AG320:AG331" si="14">(AC320*AF320)</f>
        <v>8.65</v>
      </c>
      <c r="AH320" s="3">
        <f t="shared" ref="AH320:AH331" si="15">(AD320+AE320)/40</f>
        <v>8.5</v>
      </c>
      <c r="AI320" s="4">
        <f t="shared" ref="AI320:AI331" si="16">G320+K320+Q320+AG320+AH320</f>
        <v>51.06944444</v>
      </c>
    </row>
    <row r="321" hidden="1">
      <c r="A321" s="2" t="s">
        <v>998</v>
      </c>
      <c r="B321" s="2" t="s">
        <v>999</v>
      </c>
      <c r="C321" s="2" t="s">
        <v>25</v>
      </c>
      <c r="D321" s="2" t="s">
        <v>1000</v>
      </c>
      <c r="E321" s="2">
        <f>VLOOKUP(B321, 'MSC-Vikrant'!B3:F14,5)</f>
        <v>29</v>
      </c>
      <c r="F321" s="2">
        <v>27.0</v>
      </c>
      <c r="G321" s="2">
        <f t="shared" si="9"/>
        <v>28</v>
      </c>
      <c r="H321" s="2">
        <v>9.0</v>
      </c>
      <c r="I321" s="2">
        <v>11.0</v>
      </c>
      <c r="J321" s="2">
        <v>8.0</v>
      </c>
      <c r="K321" s="3">
        <f t="shared" si="10"/>
        <v>5.888888889</v>
      </c>
      <c r="L321" s="2">
        <v>85.0</v>
      </c>
      <c r="M321" s="2">
        <v>174.0</v>
      </c>
      <c r="O321" s="3">
        <f t="shared" si="11"/>
        <v>174</v>
      </c>
      <c r="P321" s="2">
        <v>90.0</v>
      </c>
      <c r="Q321" s="2">
        <f t="shared" si="12"/>
        <v>13.1</v>
      </c>
      <c r="R321" s="2">
        <v>7.0</v>
      </c>
      <c r="T321" s="2">
        <v>9.0</v>
      </c>
      <c r="U321" s="2">
        <v>11.0</v>
      </c>
      <c r="V321" s="2">
        <v>14.0</v>
      </c>
      <c r="W321" s="2">
        <v>14.0</v>
      </c>
      <c r="X321" s="2">
        <v>16.0</v>
      </c>
      <c r="Y321" s="2">
        <v>29.0</v>
      </c>
      <c r="Z321" s="2">
        <v>21.0</v>
      </c>
      <c r="AA321" s="2">
        <v>28.0</v>
      </c>
      <c r="AB321" s="2">
        <v>29.0</v>
      </c>
      <c r="AC321" s="2">
        <f t="shared" si="13"/>
        <v>8.9</v>
      </c>
      <c r="AD321" s="2">
        <v>50.0</v>
      </c>
      <c r="AE321" s="2">
        <v>340.0</v>
      </c>
      <c r="AF321" s="2">
        <v>1.0</v>
      </c>
      <c r="AG321" s="3">
        <f t="shared" si="14"/>
        <v>8.9</v>
      </c>
      <c r="AH321" s="3">
        <f t="shared" si="15"/>
        <v>9.75</v>
      </c>
      <c r="AI321" s="4">
        <f t="shared" si="16"/>
        <v>65.63888889</v>
      </c>
    </row>
    <row r="322" hidden="1">
      <c r="A322" s="2" t="s">
        <v>1001</v>
      </c>
      <c r="B322" s="2" t="s">
        <v>1002</v>
      </c>
      <c r="C322" s="2" t="s">
        <v>55</v>
      </c>
      <c r="D322" s="2" t="s">
        <v>1003</v>
      </c>
      <c r="E322" s="2">
        <f>VLOOKUP(B322, 'MSC-Vikrant'!B4:F15,5)</f>
        <v>28</v>
      </c>
      <c r="F322" s="2">
        <v>5.0</v>
      </c>
      <c r="G322" s="2">
        <f t="shared" si="9"/>
        <v>16.5</v>
      </c>
      <c r="H322" s="2">
        <v>9.0</v>
      </c>
      <c r="I322" s="2">
        <v>10.0</v>
      </c>
      <c r="J322" s="2">
        <v>12.0</v>
      </c>
      <c r="K322" s="3">
        <f t="shared" si="10"/>
        <v>6.083333333</v>
      </c>
      <c r="L322" s="2">
        <v>80.0</v>
      </c>
      <c r="M322" s="2">
        <v>158.0</v>
      </c>
      <c r="O322" s="3">
        <f t="shared" si="11"/>
        <v>158</v>
      </c>
      <c r="P322" s="2">
        <v>93.0</v>
      </c>
      <c r="Q322" s="2">
        <f t="shared" si="12"/>
        <v>12.6</v>
      </c>
      <c r="R322" s="2">
        <v>7.0</v>
      </c>
      <c r="S322" s="2">
        <v>7.0</v>
      </c>
      <c r="T322" s="2">
        <v>8.0</v>
      </c>
      <c r="U322" s="2">
        <v>0.0</v>
      </c>
      <c r="V322" s="2">
        <v>14.0</v>
      </c>
      <c r="W322" s="2">
        <v>15.0</v>
      </c>
      <c r="X322" s="2">
        <v>12.0</v>
      </c>
      <c r="Y322" s="2">
        <v>29.0</v>
      </c>
      <c r="Z322" s="2">
        <v>27.0</v>
      </c>
      <c r="AA322" s="2">
        <v>28.0</v>
      </c>
      <c r="AC322" s="2">
        <f t="shared" si="13"/>
        <v>7.35</v>
      </c>
      <c r="AD322" s="2">
        <v>50.0</v>
      </c>
      <c r="AE322" s="2">
        <v>310.0</v>
      </c>
      <c r="AF322" s="2">
        <v>1.0</v>
      </c>
      <c r="AG322" s="3">
        <f t="shared" si="14"/>
        <v>7.35</v>
      </c>
      <c r="AH322" s="3">
        <f t="shared" si="15"/>
        <v>9</v>
      </c>
      <c r="AI322" s="4">
        <f t="shared" si="16"/>
        <v>51.53333333</v>
      </c>
    </row>
    <row r="323" hidden="1">
      <c r="A323" s="1" t="s">
        <v>1004</v>
      </c>
      <c r="B323" s="1" t="s">
        <v>1005</v>
      </c>
      <c r="C323" s="2" t="s">
        <v>2</v>
      </c>
      <c r="D323" s="2" t="s">
        <v>1006</v>
      </c>
      <c r="E323" s="2">
        <f>VLOOKUP(B323, 'MSC-Vikrant'!B5:F16,5)</f>
        <v>40</v>
      </c>
      <c r="F323" s="2">
        <v>26.0</v>
      </c>
      <c r="G323" s="2">
        <f t="shared" si="9"/>
        <v>33</v>
      </c>
      <c r="H323" s="2">
        <v>13.0</v>
      </c>
      <c r="I323" s="2">
        <v>12.0</v>
      </c>
      <c r="J323" s="2">
        <v>19.0</v>
      </c>
      <c r="K323" s="3">
        <f t="shared" si="10"/>
        <v>8.361111111</v>
      </c>
      <c r="L323" s="2">
        <v>95.0</v>
      </c>
      <c r="M323" s="2">
        <v>170.0</v>
      </c>
      <c r="O323" s="3">
        <f t="shared" si="11"/>
        <v>170</v>
      </c>
      <c r="P323" s="2">
        <v>88.0</v>
      </c>
      <c r="Q323" s="2">
        <f t="shared" si="12"/>
        <v>13.4</v>
      </c>
      <c r="R323" s="2">
        <v>7.0</v>
      </c>
      <c r="S323" s="2">
        <v>7.0</v>
      </c>
      <c r="T323" s="2">
        <v>9.0</v>
      </c>
      <c r="U323" s="2">
        <v>9.0</v>
      </c>
      <c r="V323" s="2">
        <v>15.0</v>
      </c>
      <c r="W323" s="2">
        <v>15.0</v>
      </c>
      <c r="X323" s="2">
        <v>17.0</v>
      </c>
      <c r="Y323" s="2">
        <v>30.0</v>
      </c>
      <c r="Z323" s="2">
        <v>30.0</v>
      </c>
      <c r="AA323" s="2">
        <v>28.0</v>
      </c>
      <c r="AB323" s="2">
        <v>29.0</v>
      </c>
      <c r="AC323" s="2">
        <f t="shared" si="13"/>
        <v>9.8</v>
      </c>
      <c r="AD323" s="2">
        <v>50.0</v>
      </c>
      <c r="AE323" s="2">
        <v>320.0</v>
      </c>
      <c r="AF323" s="2">
        <v>1.0</v>
      </c>
      <c r="AG323" s="3">
        <f t="shared" si="14"/>
        <v>9.8</v>
      </c>
      <c r="AH323" s="3">
        <f t="shared" si="15"/>
        <v>9.25</v>
      </c>
      <c r="AI323" s="4">
        <f t="shared" si="16"/>
        <v>73.81111111</v>
      </c>
    </row>
    <row r="324" hidden="1">
      <c r="A324" s="2" t="s">
        <v>1007</v>
      </c>
      <c r="B324" s="2" t="s">
        <v>1008</v>
      </c>
      <c r="C324" s="2" t="s">
        <v>32</v>
      </c>
      <c r="D324" s="2" t="s">
        <v>1009</v>
      </c>
      <c r="E324" s="2">
        <f>VLOOKUP(B324, 'MSC-Vikrant'!B6:F17,5)</f>
        <v>30</v>
      </c>
      <c r="F324" s="2">
        <v>25.0</v>
      </c>
      <c r="G324" s="2">
        <f t="shared" si="9"/>
        <v>27.5</v>
      </c>
      <c r="H324" s="2">
        <v>7.0</v>
      </c>
      <c r="I324" s="2">
        <v>9.0</v>
      </c>
      <c r="J324" s="2">
        <v>8.0</v>
      </c>
      <c r="K324" s="3">
        <f t="shared" si="10"/>
        <v>4.888888889</v>
      </c>
      <c r="L324" s="2">
        <v>90.0</v>
      </c>
      <c r="M324" s="2">
        <v>170.0</v>
      </c>
      <c r="N324" s="2">
        <v>165.0</v>
      </c>
      <c r="O324" s="3">
        <f t="shared" si="11"/>
        <v>170</v>
      </c>
      <c r="P324" s="2">
        <v>94.0</v>
      </c>
      <c r="Q324" s="2">
        <f t="shared" si="12"/>
        <v>13.45</v>
      </c>
      <c r="R324" s="2">
        <v>7.0</v>
      </c>
      <c r="T324" s="2">
        <v>8.0</v>
      </c>
      <c r="U324" s="2">
        <v>6.0</v>
      </c>
      <c r="V324" s="2">
        <v>14.0</v>
      </c>
      <c r="W324" s="2">
        <v>12.0</v>
      </c>
      <c r="X324" s="2">
        <v>14.0</v>
      </c>
      <c r="Y324" s="2">
        <v>29.0</v>
      </c>
      <c r="AA324" s="2">
        <v>27.0</v>
      </c>
      <c r="AB324" s="2">
        <v>28.0</v>
      </c>
      <c r="AC324" s="2">
        <f t="shared" si="13"/>
        <v>7.25</v>
      </c>
      <c r="AD324" s="2">
        <v>50.0</v>
      </c>
      <c r="AE324" s="2">
        <v>320.0</v>
      </c>
      <c r="AF324" s="2">
        <v>1.0</v>
      </c>
      <c r="AG324" s="3">
        <f t="shared" si="14"/>
        <v>7.25</v>
      </c>
      <c r="AH324" s="3">
        <f t="shared" si="15"/>
        <v>9.25</v>
      </c>
      <c r="AI324" s="4">
        <f t="shared" si="16"/>
        <v>62.33888889</v>
      </c>
    </row>
    <row r="325">
      <c r="A325" s="2" t="s">
        <v>1010</v>
      </c>
      <c r="B325" s="2" t="s">
        <v>1011</v>
      </c>
      <c r="C325" s="2" t="s">
        <v>96</v>
      </c>
      <c r="D325" s="2" t="s">
        <v>1012</v>
      </c>
      <c r="E325" s="2">
        <v>20.0</v>
      </c>
      <c r="F325" s="2">
        <v>11.0</v>
      </c>
      <c r="G325" s="2">
        <f t="shared" si="9"/>
        <v>15.5</v>
      </c>
      <c r="H325" s="2">
        <v>11.0</v>
      </c>
      <c r="I325" s="2">
        <v>4.0</v>
      </c>
      <c r="J325" s="2">
        <v>3.5</v>
      </c>
      <c r="K325" s="3">
        <f t="shared" si="10"/>
        <v>4.138888889</v>
      </c>
      <c r="L325" s="2">
        <v>70.0</v>
      </c>
      <c r="M325" s="2">
        <v>162.0</v>
      </c>
      <c r="N325" s="2">
        <v>165.0</v>
      </c>
      <c r="O325" s="3">
        <f t="shared" si="11"/>
        <v>165</v>
      </c>
      <c r="P325" s="2">
        <v>92.0</v>
      </c>
      <c r="Q325" s="2">
        <f t="shared" si="12"/>
        <v>12.225</v>
      </c>
      <c r="R325" s="2">
        <v>5.0</v>
      </c>
      <c r="T325" s="2">
        <v>4.0</v>
      </c>
      <c r="U325" s="2">
        <v>5.0</v>
      </c>
      <c r="V325" s="2">
        <v>15.0</v>
      </c>
      <c r="W325" s="2">
        <v>12.0</v>
      </c>
      <c r="X325" s="2">
        <v>15.0</v>
      </c>
      <c r="Y325" s="2">
        <v>28.0</v>
      </c>
      <c r="Z325" s="2">
        <v>18.0</v>
      </c>
      <c r="AA325" s="2">
        <v>29.0</v>
      </c>
      <c r="AC325" s="2">
        <f t="shared" si="13"/>
        <v>6.55</v>
      </c>
      <c r="AD325" s="2">
        <v>50.0</v>
      </c>
      <c r="AE325" s="2">
        <v>280.0</v>
      </c>
      <c r="AF325" s="2">
        <v>1.0</v>
      </c>
      <c r="AG325" s="3">
        <f t="shared" si="14"/>
        <v>6.55</v>
      </c>
      <c r="AH325" s="3">
        <f t="shared" si="15"/>
        <v>8.25</v>
      </c>
      <c r="AI325" s="4">
        <f t="shared" si="16"/>
        <v>46.66388889</v>
      </c>
      <c r="AJ325" s="2" t="s">
        <v>59</v>
      </c>
    </row>
    <row r="326" hidden="1">
      <c r="A326" s="2" t="s">
        <v>1013</v>
      </c>
      <c r="B326" s="2" t="s">
        <v>1014</v>
      </c>
      <c r="C326" s="2" t="s">
        <v>55</v>
      </c>
      <c r="D326" s="2" t="s">
        <v>1015</v>
      </c>
      <c r="E326" s="20">
        <f>VLOOKUP(B326, 'MSC-Vikrant'!B8:F19,5)</f>
        <v>30</v>
      </c>
      <c r="F326" s="2">
        <v>17.0</v>
      </c>
      <c r="G326" s="2">
        <f t="shared" si="9"/>
        <v>23.5</v>
      </c>
      <c r="H326" s="2">
        <v>7.0</v>
      </c>
      <c r="I326" s="2">
        <v>13.0</v>
      </c>
      <c r="J326" s="2">
        <v>8.5</v>
      </c>
      <c r="K326" s="3">
        <f t="shared" si="10"/>
        <v>5.944444444</v>
      </c>
      <c r="L326" s="2">
        <v>90.0</v>
      </c>
      <c r="N326" s="2">
        <v>165.0</v>
      </c>
      <c r="O326" s="3">
        <f t="shared" si="11"/>
        <v>165</v>
      </c>
      <c r="P326" s="2">
        <v>90.0</v>
      </c>
      <c r="Q326" s="2">
        <f t="shared" si="12"/>
        <v>13.125</v>
      </c>
      <c r="R326" s="2">
        <v>6.0</v>
      </c>
      <c r="T326" s="2">
        <v>8.0</v>
      </c>
      <c r="U326" s="2">
        <v>5.0</v>
      </c>
      <c r="V326" s="2">
        <v>15.0</v>
      </c>
      <c r="X326" s="2">
        <v>13.0</v>
      </c>
      <c r="AA326" s="2">
        <v>30.0</v>
      </c>
      <c r="AB326" s="2">
        <v>28.0</v>
      </c>
      <c r="AC326" s="2">
        <f t="shared" si="13"/>
        <v>5.25</v>
      </c>
      <c r="AD326" s="2">
        <v>50.0</v>
      </c>
      <c r="AE326" s="2">
        <v>310.0</v>
      </c>
      <c r="AF326" s="2">
        <v>1.0</v>
      </c>
      <c r="AG326" s="3">
        <f t="shared" si="14"/>
        <v>5.25</v>
      </c>
      <c r="AH326" s="3">
        <f t="shared" si="15"/>
        <v>9</v>
      </c>
      <c r="AI326" s="4">
        <f t="shared" si="16"/>
        <v>56.81944444</v>
      </c>
    </row>
    <row r="327" hidden="1">
      <c r="A327" s="1" t="s">
        <v>1016</v>
      </c>
      <c r="B327" s="1" t="s">
        <v>1017</v>
      </c>
      <c r="C327" s="2" t="s">
        <v>59</v>
      </c>
      <c r="D327" s="2" t="s">
        <v>1018</v>
      </c>
      <c r="E327" s="2">
        <f>VLOOKUP(B327, 'MSC-Vikrant'!B9:F20,5)</f>
        <v>21</v>
      </c>
      <c r="F327" s="2">
        <v>13.0</v>
      </c>
      <c r="G327" s="2">
        <f t="shared" si="9"/>
        <v>17</v>
      </c>
      <c r="H327" s="2">
        <v>9.0</v>
      </c>
      <c r="I327" s="2">
        <v>1.0</v>
      </c>
      <c r="J327" s="2">
        <v>6.5</v>
      </c>
      <c r="K327" s="3">
        <f t="shared" si="10"/>
        <v>3.222222222</v>
      </c>
      <c r="L327" s="2">
        <v>80.0</v>
      </c>
      <c r="M327" s="2">
        <v>154.0</v>
      </c>
      <c r="O327" s="3">
        <f t="shared" si="11"/>
        <v>154</v>
      </c>
      <c r="P327" s="2">
        <v>91.0</v>
      </c>
      <c r="Q327" s="2">
        <f t="shared" si="12"/>
        <v>12.4</v>
      </c>
      <c r="S327" s="2">
        <v>7.0</v>
      </c>
      <c r="U327" s="2">
        <v>0.0</v>
      </c>
      <c r="V327" s="2">
        <v>15.0</v>
      </c>
      <c r="W327" s="2">
        <v>10.0</v>
      </c>
      <c r="X327" s="2">
        <v>12.0</v>
      </c>
      <c r="Y327" s="2">
        <v>29.0</v>
      </c>
      <c r="Z327" s="2">
        <v>27.0</v>
      </c>
      <c r="AA327" s="2">
        <v>28.0</v>
      </c>
      <c r="AC327" s="2">
        <f t="shared" si="13"/>
        <v>6.4</v>
      </c>
      <c r="AD327" s="2">
        <v>50.0</v>
      </c>
      <c r="AE327" s="2">
        <v>300.0</v>
      </c>
      <c r="AF327" s="2">
        <v>0.5</v>
      </c>
      <c r="AG327" s="3">
        <f t="shared" si="14"/>
        <v>3.2</v>
      </c>
      <c r="AH327" s="3">
        <f t="shared" si="15"/>
        <v>8.75</v>
      </c>
      <c r="AI327" s="4">
        <f t="shared" si="16"/>
        <v>44.57222222</v>
      </c>
    </row>
    <row r="328" hidden="1">
      <c r="A328" s="2" t="s">
        <v>1019</v>
      </c>
      <c r="B328" s="2" t="s">
        <v>1020</v>
      </c>
      <c r="C328" s="2" t="s">
        <v>55</v>
      </c>
      <c r="D328" s="2" t="s">
        <v>1021</v>
      </c>
      <c r="E328" s="2">
        <f>VLOOKUP(B328, 'MSC-Vikrant'!B10:F21,5)</f>
        <v>25</v>
      </c>
      <c r="F328" s="2">
        <v>10.0</v>
      </c>
      <c r="G328" s="2">
        <f t="shared" si="9"/>
        <v>17.5</v>
      </c>
      <c r="H328" s="2">
        <v>11.0</v>
      </c>
      <c r="I328" s="2">
        <v>6.0</v>
      </c>
      <c r="J328" s="2">
        <v>20.0</v>
      </c>
      <c r="K328" s="3">
        <f t="shared" si="10"/>
        <v>6.472222222</v>
      </c>
      <c r="L328" s="2">
        <v>95.0</v>
      </c>
      <c r="M328" s="2">
        <v>160.0</v>
      </c>
      <c r="O328" s="3">
        <f t="shared" si="11"/>
        <v>160</v>
      </c>
      <c r="P328" s="2">
        <v>93.0</v>
      </c>
      <c r="Q328" s="2">
        <f t="shared" si="12"/>
        <v>13.4</v>
      </c>
      <c r="R328" s="2">
        <v>7.0</v>
      </c>
      <c r="S328" s="2">
        <v>8.0</v>
      </c>
      <c r="T328" s="2">
        <v>7.0</v>
      </c>
      <c r="U328" s="2">
        <v>0.0</v>
      </c>
      <c r="V328" s="2">
        <v>13.0</v>
      </c>
      <c r="W328" s="2">
        <v>15.0</v>
      </c>
      <c r="X328" s="2">
        <v>13.0</v>
      </c>
      <c r="Y328" s="2">
        <v>30.0</v>
      </c>
      <c r="Z328" s="2">
        <v>27.0</v>
      </c>
      <c r="AA328" s="2">
        <v>30.0</v>
      </c>
      <c r="AC328" s="2">
        <f t="shared" si="13"/>
        <v>7.5</v>
      </c>
      <c r="AD328" s="2">
        <v>50.0</v>
      </c>
      <c r="AE328" s="2">
        <v>300.0</v>
      </c>
      <c r="AF328" s="2">
        <v>1.0</v>
      </c>
      <c r="AG328" s="3">
        <f t="shared" si="14"/>
        <v>7.5</v>
      </c>
      <c r="AH328" s="3">
        <f t="shared" si="15"/>
        <v>8.75</v>
      </c>
      <c r="AI328" s="4">
        <f t="shared" si="16"/>
        <v>53.62222222</v>
      </c>
    </row>
    <row r="329" hidden="1">
      <c r="A329" s="2" t="s">
        <v>1022</v>
      </c>
      <c r="B329" s="2" t="s">
        <v>1023</v>
      </c>
      <c r="C329" s="2" t="s">
        <v>25</v>
      </c>
      <c r="D329" s="2" t="s">
        <v>1024</v>
      </c>
      <c r="E329" s="2">
        <f>VLOOKUP(B329, 'MSC-Vikrant'!B11:F22,5)</f>
        <v>45</v>
      </c>
      <c r="F329" s="2">
        <v>23.0</v>
      </c>
      <c r="G329" s="2">
        <f t="shared" si="9"/>
        <v>34</v>
      </c>
      <c r="H329" s="2">
        <v>11.0</v>
      </c>
      <c r="I329" s="2">
        <v>12.0</v>
      </c>
      <c r="J329" s="2">
        <v>26.0</v>
      </c>
      <c r="K329" s="3">
        <f t="shared" si="10"/>
        <v>8.638888889</v>
      </c>
      <c r="L329" s="2">
        <v>75.0</v>
      </c>
      <c r="M329" s="2">
        <v>160.0</v>
      </c>
      <c r="O329" s="3">
        <f t="shared" si="11"/>
        <v>160</v>
      </c>
      <c r="P329" s="2">
        <v>90.0</v>
      </c>
      <c r="Q329" s="2">
        <f t="shared" si="12"/>
        <v>12.25</v>
      </c>
      <c r="R329" s="2">
        <v>7.0</v>
      </c>
      <c r="S329" s="2">
        <v>6.0</v>
      </c>
      <c r="T329" s="2">
        <v>11.0</v>
      </c>
      <c r="U329" s="2">
        <v>0.0</v>
      </c>
      <c r="W329" s="2">
        <v>15.0</v>
      </c>
      <c r="X329" s="2">
        <v>16.0</v>
      </c>
      <c r="Y329" s="2">
        <v>29.0</v>
      </c>
      <c r="AA329" s="2">
        <v>29.0</v>
      </c>
      <c r="AC329" s="2">
        <f t="shared" si="13"/>
        <v>5.65</v>
      </c>
      <c r="AD329" s="2">
        <v>50.0</v>
      </c>
      <c r="AE329" s="2">
        <v>300.0</v>
      </c>
      <c r="AF329" s="2">
        <v>1.0</v>
      </c>
      <c r="AG329" s="3">
        <f t="shared" si="14"/>
        <v>5.65</v>
      </c>
      <c r="AH329" s="3">
        <f t="shared" si="15"/>
        <v>8.75</v>
      </c>
      <c r="AI329" s="4">
        <f t="shared" si="16"/>
        <v>69.28888889</v>
      </c>
    </row>
    <row r="330" hidden="1">
      <c r="A330" s="2" t="s">
        <v>1025</v>
      </c>
      <c r="B330" s="2" t="s">
        <v>1026</v>
      </c>
      <c r="C330" s="2" t="s">
        <v>55</v>
      </c>
      <c r="D330" s="2" t="s">
        <v>1027</v>
      </c>
      <c r="E330" s="2">
        <f>VLOOKUP(B330, 'MSC-Vikrant'!B12:F23,5)</f>
        <v>15</v>
      </c>
      <c r="F330" s="2">
        <v>18.0</v>
      </c>
      <c r="G330" s="2">
        <f t="shared" si="9"/>
        <v>16.5</v>
      </c>
      <c r="H330" s="2">
        <v>6.0</v>
      </c>
      <c r="I330" s="2">
        <v>10.0</v>
      </c>
      <c r="J330" s="2">
        <v>23.0</v>
      </c>
      <c r="K330" s="3">
        <f t="shared" si="10"/>
        <v>6.555555556</v>
      </c>
      <c r="L330" s="2">
        <v>85.0</v>
      </c>
      <c r="M330" s="2">
        <v>160.0</v>
      </c>
      <c r="O330" s="3">
        <f t="shared" si="11"/>
        <v>160</v>
      </c>
      <c r="P330" s="2">
        <v>92.0</v>
      </c>
      <c r="Q330" s="2">
        <f t="shared" si="12"/>
        <v>12.85</v>
      </c>
      <c r="R330" s="2">
        <v>6.0</v>
      </c>
      <c r="S330" s="2">
        <v>6.0</v>
      </c>
      <c r="T330" s="2">
        <v>8.0</v>
      </c>
      <c r="U330" s="2">
        <v>0.0</v>
      </c>
      <c r="V330" s="2">
        <v>14.0</v>
      </c>
      <c r="W330" s="2">
        <v>15.0</v>
      </c>
      <c r="X330" s="2">
        <v>12.0</v>
      </c>
      <c r="Y330" s="2">
        <v>28.0</v>
      </c>
      <c r="Z330" s="2">
        <v>27.0</v>
      </c>
      <c r="AA330" s="2">
        <v>30.0</v>
      </c>
      <c r="AC330" s="2">
        <f t="shared" si="13"/>
        <v>7.3</v>
      </c>
      <c r="AD330" s="2">
        <v>50.0</v>
      </c>
      <c r="AE330" s="2">
        <v>300.0</v>
      </c>
      <c r="AF330" s="2">
        <v>1.0</v>
      </c>
      <c r="AG330" s="3">
        <f t="shared" si="14"/>
        <v>7.3</v>
      </c>
      <c r="AH330" s="3">
        <f t="shared" si="15"/>
        <v>8.75</v>
      </c>
      <c r="AI330" s="4">
        <f t="shared" si="16"/>
        <v>51.95555556</v>
      </c>
    </row>
    <row r="331" hidden="1">
      <c r="A331" s="1" t="s">
        <v>1028</v>
      </c>
      <c r="B331" s="1" t="s">
        <v>1029</v>
      </c>
      <c r="C331" s="2" t="s">
        <v>2</v>
      </c>
      <c r="D331" s="2" t="s">
        <v>1030</v>
      </c>
      <c r="E331" s="2">
        <v>46.0</v>
      </c>
      <c r="F331" s="2">
        <v>28.0</v>
      </c>
      <c r="G331" s="2">
        <f t="shared" si="9"/>
        <v>37</v>
      </c>
      <c r="H331" s="2">
        <v>17.0</v>
      </c>
      <c r="I331" s="2">
        <v>14.0</v>
      </c>
      <c r="J331" s="2">
        <v>31.0</v>
      </c>
      <c r="K331" s="3">
        <f t="shared" si="10"/>
        <v>11.19444444</v>
      </c>
      <c r="L331" s="2">
        <v>95.0</v>
      </c>
      <c r="M331" s="2">
        <v>176.0</v>
      </c>
      <c r="O331" s="3">
        <f t="shared" si="11"/>
        <v>176</v>
      </c>
      <c r="P331" s="2">
        <v>94.0</v>
      </c>
      <c r="Q331" s="2">
        <f t="shared" si="12"/>
        <v>13.85</v>
      </c>
      <c r="S331" s="2">
        <v>4.0</v>
      </c>
      <c r="T331" s="2">
        <v>9.0</v>
      </c>
      <c r="U331" s="2">
        <v>12.0</v>
      </c>
      <c r="X331" s="2">
        <v>17.0</v>
      </c>
      <c r="Y331" s="2">
        <v>30.0</v>
      </c>
      <c r="Z331" s="2">
        <v>24.0</v>
      </c>
      <c r="AA331" s="2">
        <v>28.0</v>
      </c>
      <c r="AC331" s="2">
        <f t="shared" si="13"/>
        <v>6.2</v>
      </c>
      <c r="AD331" s="2">
        <v>50.0</v>
      </c>
      <c r="AE331" s="2">
        <v>310.0</v>
      </c>
      <c r="AF331" s="2">
        <v>1.0</v>
      </c>
      <c r="AG331" s="3">
        <f t="shared" si="14"/>
        <v>6.2</v>
      </c>
      <c r="AH331" s="3">
        <f t="shared" si="15"/>
        <v>9</v>
      </c>
      <c r="AI331" s="4">
        <f t="shared" si="16"/>
        <v>77.24444444</v>
      </c>
    </row>
    <row r="332">
      <c r="AI332" s="4"/>
    </row>
    <row r="333">
      <c r="AI333" s="4"/>
    </row>
    <row r="334">
      <c r="AI334" s="4"/>
    </row>
  </sheetData>
  <autoFilter ref="$A$1:$BR$331">
    <filterColumn colId="2">
      <filters>
        <filter val="FS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962</v>
      </c>
      <c r="B1" s="2" t="s">
        <v>963</v>
      </c>
    </row>
    <row r="2">
      <c r="A2" s="1" t="s">
        <v>1</v>
      </c>
      <c r="B2" s="2" t="s">
        <v>2</v>
      </c>
    </row>
    <row r="3">
      <c r="A3" s="1" t="s">
        <v>5</v>
      </c>
      <c r="B3" s="2" t="s">
        <v>6</v>
      </c>
    </row>
    <row r="4">
      <c r="A4" s="1" t="s">
        <v>9</v>
      </c>
      <c r="B4" s="2" t="s">
        <v>6</v>
      </c>
    </row>
    <row r="5">
      <c r="A5" s="1" t="s">
        <v>12</v>
      </c>
      <c r="B5" s="2" t="s">
        <v>2</v>
      </c>
    </row>
    <row r="6">
      <c r="A6" s="1" t="s">
        <v>15</v>
      </c>
      <c r="B6" s="2" t="s">
        <v>6</v>
      </c>
    </row>
    <row r="7">
      <c r="A7" s="5" t="s">
        <v>18</v>
      </c>
      <c r="B7" s="2" t="s">
        <v>2</v>
      </c>
    </row>
    <row r="8">
      <c r="A8" s="1" t="s">
        <v>21</v>
      </c>
      <c r="B8" s="2" t="s">
        <v>6</v>
      </c>
    </row>
    <row r="9">
      <c r="A9" s="1" t="s">
        <v>24</v>
      </c>
      <c r="B9" s="2" t="s">
        <v>25</v>
      </c>
    </row>
    <row r="10">
      <c r="A10" s="1" t="s">
        <v>28</v>
      </c>
      <c r="B10" s="2" t="s">
        <v>6</v>
      </c>
    </row>
    <row r="11">
      <c r="A11" s="1" t="s">
        <v>31</v>
      </c>
      <c r="B11" s="2" t="s">
        <v>32</v>
      </c>
    </row>
    <row r="12">
      <c r="A12" s="1" t="s">
        <v>35</v>
      </c>
      <c r="B12" s="2" t="s">
        <v>6</v>
      </c>
    </row>
    <row r="13">
      <c r="A13" s="1" t="s">
        <v>38</v>
      </c>
      <c r="B13" s="2" t="s">
        <v>6</v>
      </c>
    </row>
    <row r="14">
      <c r="A14" s="1" t="s">
        <v>41</v>
      </c>
      <c r="B14" s="2" t="s">
        <v>42</v>
      </c>
    </row>
    <row r="15">
      <c r="A15" s="1" t="s">
        <v>45</v>
      </c>
      <c r="B15" s="2" t="s">
        <v>42</v>
      </c>
    </row>
    <row r="16">
      <c r="A16" s="1" t="s">
        <v>48</v>
      </c>
      <c r="B16" s="2" t="s">
        <v>6</v>
      </c>
    </row>
    <row r="17">
      <c r="A17" s="1" t="s">
        <v>51</v>
      </c>
      <c r="B17" s="2" t="s">
        <v>25</v>
      </c>
    </row>
    <row r="18">
      <c r="A18" s="1" t="s">
        <v>54</v>
      </c>
      <c r="B18" s="2" t="s">
        <v>55</v>
      </c>
    </row>
    <row r="19">
      <c r="A19" s="1" t="s">
        <v>58</v>
      </c>
      <c r="B19" s="2" t="s">
        <v>59</v>
      </c>
    </row>
    <row r="20">
      <c r="A20" s="1" t="s">
        <v>62</v>
      </c>
      <c r="B20" s="2" t="s">
        <v>42</v>
      </c>
    </row>
    <row r="21">
      <c r="A21" s="1" t="s">
        <v>65</v>
      </c>
      <c r="B21" s="2" t="s">
        <v>25</v>
      </c>
    </row>
    <row r="22">
      <c r="A22" s="1" t="s">
        <v>68</v>
      </c>
      <c r="B22" s="2" t="s">
        <v>25</v>
      </c>
    </row>
    <row r="23">
      <c r="A23" s="1" t="s">
        <v>71</v>
      </c>
      <c r="B23" s="2" t="s">
        <v>6</v>
      </c>
    </row>
    <row r="24">
      <c r="A24" s="1" t="s">
        <v>74</v>
      </c>
      <c r="B24" s="2" t="s">
        <v>2</v>
      </c>
    </row>
    <row r="25">
      <c r="A25" s="1" t="s">
        <v>77</v>
      </c>
      <c r="B25" s="2" t="s">
        <v>6</v>
      </c>
    </row>
    <row r="26">
      <c r="A26" s="1" t="s">
        <v>80</v>
      </c>
      <c r="B26" s="2" t="s">
        <v>6</v>
      </c>
    </row>
    <row r="27">
      <c r="A27" s="1" t="s">
        <v>83</v>
      </c>
      <c r="B27" s="2" t="s">
        <v>2</v>
      </c>
    </row>
    <row r="28">
      <c r="A28" s="1" t="s">
        <v>86</v>
      </c>
      <c r="B28" s="2" t="s">
        <v>6</v>
      </c>
    </row>
    <row r="29">
      <c r="A29" s="1" t="s">
        <v>89</v>
      </c>
      <c r="B29" s="2" t="s">
        <v>2</v>
      </c>
    </row>
    <row r="30">
      <c r="A30" s="1" t="s">
        <v>92</v>
      </c>
      <c r="B30" s="2" t="s">
        <v>6</v>
      </c>
    </row>
    <row r="31">
      <c r="A31" s="1" t="s">
        <v>95</v>
      </c>
      <c r="B31" s="2" t="s">
        <v>96</v>
      </c>
    </row>
    <row r="32">
      <c r="A32" s="1" t="s">
        <v>99</v>
      </c>
      <c r="B32" s="2" t="s">
        <v>6</v>
      </c>
    </row>
    <row r="33">
      <c r="A33" s="1" t="s">
        <v>102</v>
      </c>
      <c r="B33" s="2" t="s">
        <v>6</v>
      </c>
    </row>
    <row r="34">
      <c r="A34" s="1" t="s">
        <v>105</v>
      </c>
      <c r="B34" s="2" t="s">
        <v>6</v>
      </c>
    </row>
    <row r="35">
      <c r="A35" s="1" t="s">
        <v>108</v>
      </c>
      <c r="B35" s="2" t="s">
        <v>2</v>
      </c>
    </row>
    <row r="36">
      <c r="A36" s="1" t="s">
        <v>111</v>
      </c>
      <c r="B36" s="2" t="s">
        <v>32</v>
      </c>
    </row>
    <row r="37">
      <c r="A37" s="1" t="s">
        <v>114</v>
      </c>
      <c r="B37" s="2" t="s">
        <v>42</v>
      </c>
    </row>
    <row r="38">
      <c r="A38" s="1" t="s">
        <v>117</v>
      </c>
      <c r="B38" s="2" t="s">
        <v>2</v>
      </c>
    </row>
    <row r="39">
      <c r="A39" s="1" t="s">
        <v>120</v>
      </c>
      <c r="B39" s="2" t="s">
        <v>6</v>
      </c>
    </row>
    <row r="40">
      <c r="A40" s="1" t="s">
        <v>123</v>
      </c>
      <c r="B40" s="2" t="s">
        <v>6</v>
      </c>
    </row>
    <row r="41">
      <c r="A41" s="1" t="s">
        <v>126</v>
      </c>
      <c r="B41" s="2" t="s">
        <v>6</v>
      </c>
    </row>
    <row r="42">
      <c r="A42" s="1" t="s">
        <v>129</v>
      </c>
      <c r="B42" s="2" t="s">
        <v>55</v>
      </c>
    </row>
    <row r="43">
      <c r="A43" s="1" t="s">
        <v>132</v>
      </c>
      <c r="B43" s="2" t="s">
        <v>42</v>
      </c>
    </row>
    <row r="44">
      <c r="A44" s="1" t="s">
        <v>135</v>
      </c>
      <c r="B44" s="2" t="s">
        <v>32</v>
      </c>
    </row>
    <row r="45">
      <c r="A45" s="1" t="s">
        <v>138</v>
      </c>
      <c r="B45" s="2" t="s">
        <v>42</v>
      </c>
    </row>
    <row r="46">
      <c r="A46" s="1" t="s">
        <v>141</v>
      </c>
      <c r="B46" s="2" t="s">
        <v>2</v>
      </c>
    </row>
    <row r="47">
      <c r="A47" s="1" t="s">
        <v>144</v>
      </c>
      <c r="B47" s="2" t="s">
        <v>96</v>
      </c>
    </row>
    <row r="48">
      <c r="A48" s="1" t="s">
        <v>147</v>
      </c>
      <c r="B48" s="2" t="s">
        <v>6</v>
      </c>
    </row>
    <row r="49">
      <c r="A49" s="1" t="s">
        <v>150</v>
      </c>
      <c r="B49" s="2" t="s">
        <v>25</v>
      </c>
    </row>
    <row r="50">
      <c r="A50" s="1" t="s">
        <v>153</v>
      </c>
      <c r="B50" s="2" t="s">
        <v>2</v>
      </c>
    </row>
    <row r="51">
      <c r="A51" s="1" t="s">
        <v>156</v>
      </c>
      <c r="B51" s="2" t="s">
        <v>6</v>
      </c>
    </row>
    <row r="52">
      <c r="A52" s="1" t="s">
        <v>159</v>
      </c>
      <c r="B52" s="2" t="s">
        <v>6</v>
      </c>
    </row>
    <row r="53">
      <c r="A53" s="1" t="s">
        <v>162</v>
      </c>
      <c r="B53" s="2" t="s">
        <v>25</v>
      </c>
    </row>
    <row r="54">
      <c r="A54" s="1" t="s">
        <v>165</v>
      </c>
      <c r="B54" s="2" t="s">
        <v>55</v>
      </c>
    </row>
    <row r="55">
      <c r="A55" s="1" t="s">
        <v>168</v>
      </c>
      <c r="B55" s="2" t="s">
        <v>2</v>
      </c>
    </row>
    <row r="56">
      <c r="A56" s="1" t="s">
        <v>171</v>
      </c>
      <c r="B56" s="2" t="s">
        <v>32</v>
      </c>
    </row>
    <row r="57">
      <c r="A57" s="1" t="s">
        <v>174</v>
      </c>
      <c r="B57" s="2" t="s">
        <v>2</v>
      </c>
    </row>
    <row r="58">
      <c r="A58" s="1" t="s">
        <v>177</v>
      </c>
      <c r="B58" s="2" t="s">
        <v>6</v>
      </c>
    </row>
    <row r="59">
      <c r="A59" s="1" t="s">
        <v>180</v>
      </c>
      <c r="B59" s="2" t="s">
        <v>6</v>
      </c>
    </row>
    <row r="60">
      <c r="A60" s="1" t="s">
        <v>183</v>
      </c>
      <c r="B60" s="2" t="s">
        <v>6</v>
      </c>
    </row>
    <row r="61">
      <c r="A61" s="1" t="s">
        <v>186</v>
      </c>
      <c r="B61" s="2" t="s">
        <v>187</v>
      </c>
    </row>
    <row r="62">
      <c r="A62" s="1" t="s">
        <v>190</v>
      </c>
      <c r="B62" s="2" t="s">
        <v>6</v>
      </c>
    </row>
    <row r="63">
      <c r="A63" s="1" t="s">
        <v>193</v>
      </c>
      <c r="B63" s="2" t="s">
        <v>6</v>
      </c>
    </row>
    <row r="64">
      <c r="A64" s="1" t="s">
        <v>196</v>
      </c>
      <c r="B64" s="2" t="s">
        <v>6</v>
      </c>
    </row>
    <row r="65">
      <c r="A65" s="1" t="s">
        <v>199</v>
      </c>
      <c r="B65" s="2" t="s">
        <v>2</v>
      </c>
    </row>
    <row r="66">
      <c r="A66" s="1" t="s">
        <v>202</v>
      </c>
      <c r="B66" s="2" t="s">
        <v>6</v>
      </c>
    </row>
    <row r="67">
      <c r="A67" s="1" t="s">
        <v>205</v>
      </c>
      <c r="B67" s="2" t="s">
        <v>32</v>
      </c>
    </row>
    <row r="68">
      <c r="A68" s="1" t="s">
        <v>208</v>
      </c>
      <c r="B68" s="2" t="s">
        <v>6</v>
      </c>
    </row>
    <row r="69">
      <c r="A69" s="1" t="s">
        <v>211</v>
      </c>
      <c r="B69" s="2" t="s">
        <v>6</v>
      </c>
    </row>
    <row r="70">
      <c r="A70" s="1" t="s">
        <v>214</v>
      </c>
      <c r="B70" s="2" t="s">
        <v>6</v>
      </c>
    </row>
    <row r="71">
      <c r="A71" s="1" t="s">
        <v>217</v>
      </c>
      <c r="B71" s="2" t="s">
        <v>6</v>
      </c>
    </row>
    <row r="72">
      <c r="A72" s="1" t="s">
        <v>220</v>
      </c>
      <c r="B72" s="2" t="s">
        <v>96</v>
      </c>
    </row>
    <row r="73">
      <c r="A73" s="1" t="s">
        <v>224</v>
      </c>
      <c r="B73" s="2" t="s">
        <v>6</v>
      </c>
    </row>
    <row r="74">
      <c r="A74" s="1" t="s">
        <v>227</v>
      </c>
      <c r="B74" s="2" t="s">
        <v>55</v>
      </c>
    </row>
    <row r="75">
      <c r="A75" s="1" t="s">
        <v>230</v>
      </c>
      <c r="B75" s="2" t="s">
        <v>32</v>
      </c>
    </row>
    <row r="76">
      <c r="A76" s="1" t="s">
        <v>233</v>
      </c>
      <c r="B76" s="2" t="s">
        <v>32</v>
      </c>
    </row>
    <row r="77">
      <c r="A77" s="1" t="s">
        <v>236</v>
      </c>
      <c r="B77" s="2" t="s">
        <v>2</v>
      </c>
    </row>
    <row r="78">
      <c r="A78" s="1" t="s">
        <v>239</v>
      </c>
      <c r="B78" s="2" t="s">
        <v>2</v>
      </c>
    </row>
    <row r="79">
      <c r="A79" s="1" t="s">
        <v>242</v>
      </c>
      <c r="B79" s="2" t="s">
        <v>6</v>
      </c>
    </row>
    <row r="80">
      <c r="A80" s="1" t="s">
        <v>245</v>
      </c>
      <c r="B80" s="2" t="s">
        <v>6</v>
      </c>
    </row>
    <row r="81">
      <c r="A81" s="1" t="s">
        <v>248</v>
      </c>
      <c r="B81" s="2" t="s">
        <v>25</v>
      </c>
    </row>
    <row r="82">
      <c r="A82" s="1" t="s">
        <v>251</v>
      </c>
      <c r="B82" s="2" t="s">
        <v>25</v>
      </c>
    </row>
    <row r="83">
      <c r="A83" s="1" t="s">
        <v>254</v>
      </c>
      <c r="B83" s="2" t="s">
        <v>6</v>
      </c>
    </row>
    <row r="84">
      <c r="A84" s="1" t="s">
        <v>257</v>
      </c>
      <c r="B84" s="2" t="s">
        <v>32</v>
      </c>
    </row>
    <row r="85">
      <c r="A85" s="1" t="s">
        <v>260</v>
      </c>
      <c r="B85" s="2" t="s">
        <v>25</v>
      </c>
    </row>
    <row r="86">
      <c r="A86" s="1" t="s">
        <v>263</v>
      </c>
      <c r="B86" s="2" t="s">
        <v>25</v>
      </c>
    </row>
    <row r="87">
      <c r="A87" s="1" t="s">
        <v>266</v>
      </c>
      <c r="B87" s="2" t="s">
        <v>59</v>
      </c>
    </row>
    <row r="88">
      <c r="A88" s="1" t="s">
        <v>269</v>
      </c>
      <c r="B88" s="2" t="s">
        <v>6</v>
      </c>
    </row>
    <row r="89">
      <c r="A89" s="1" t="s">
        <v>272</v>
      </c>
      <c r="B89" s="2" t="s">
        <v>6</v>
      </c>
    </row>
    <row r="90">
      <c r="A90" s="1" t="s">
        <v>275</v>
      </c>
      <c r="B90" s="2" t="s">
        <v>2</v>
      </c>
    </row>
    <row r="91">
      <c r="A91" s="1" t="s">
        <v>278</v>
      </c>
      <c r="B91" s="2" t="s">
        <v>32</v>
      </c>
    </row>
    <row r="92">
      <c r="A92" s="1" t="s">
        <v>281</v>
      </c>
      <c r="B92" s="2" t="s">
        <v>2</v>
      </c>
    </row>
    <row r="93">
      <c r="A93" s="1" t="s">
        <v>284</v>
      </c>
      <c r="B93" s="2" t="s">
        <v>6</v>
      </c>
    </row>
    <row r="94">
      <c r="A94" s="1" t="s">
        <v>287</v>
      </c>
      <c r="B94" s="2" t="s">
        <v>6</v>
      </c>
    </row>
    <row r="95">
      <c r="A95" s="1" t="s">
        <v>290</v>
      </c>
      <c r="B95" s="2" t="s">
        <v>6</v>
      </c>
    </row>
    <row r="96">
      <c r="A96" s="1" t="s">
        <v>293</v>
      </c>
      <c r="B96" s="2" t="s">
        <v>25</v>
      </c>
    </row>
    <row r="97">
      <c r="A97" s="1" t="s">
        <v>295</v>
      </c>
      <c r="B97" s="2" t="s">
        <v>32</v>
      </c>
    </row>
    <row r="98">
      <c r="A98" s="1" t="s">
        <v>298</v>
      </c>
      <c r="B98" s="2" t="s">
        <v>222</v>
      </c>
    </row>
    <row r="99">
      <c r="A99" s="1" t="s">
        <v>301</v>
      </c>
      <c r="B99" s="2" t="s">
        <v>2</v>
      </c>
    </row>
    <row r="100">
      <c r="A100" s="1" t="s">
        <v>304</v>
      </c>
      <c r="B100" s="2" t="s">
        <v>2</v>
      </c>
    </row>
    <row r="101">
      <c r="A101" s="1" t="s">
        <v>307</v>
      </c>
      <c r="B101" s="2" t="s">
        <v>6</v>
      </c>
    </row>
    <row r="102">
      <c r="A102" s="1" t="s">
        <v>310</v>
      </c>
      <c r="B102" s="2" t="s">
        <v>59</v>
      </c>
    </row>
    <row r="103">
      <c r="A103" s="1" t="s">
        <v>313</v>
      </c>
      <c r="B103" s="2" t="s">
        <v>55</v>
      </c>
    </row>
    <row r="104">
      <c r="A104" s="1" t="s">
        <v>316</v>
      </c>
      <c r="B104" s="2" t="s">
        <v>2</v>
      </c>
    </row>
    <row r="105">
      <c r="A105" s="1" t="s">
        <v>319</v>
      </c>
      <c r="B105" s="2" t="s">
        <v>2</v>
      </c>
    </row>
    <row r="106">
      <c r="A106" s="1" t="s">
        <v>322</v>
      </c>
      <c r="B106" s="2" t="s">
        <v>55</v>
      </c>
    </row>
    <row r="107">
      <c r="A107" s="1" t="s">
        <v>325</v>
      </c>
      <c r="B107" s="2" t="s">
        <v>25</v>
      </c>
    </row>
    <row r="108">
      <c r="A108" s="1" t="s">
        <v>328</v>
      </c>
      <c r="B108" s="2" t="s">
        <v>25</v>
      </c>
    </row>
    <row r="109">
      <c r="A109" s="1" t="s">
        <v>331</v>
      </c>
      <c r="B109" s="2" t="s">
        <v>25</v>
      </c>
    </row>
    <row r="110">
      <c r="A110" s="1" t="s">
        <v>334</v>
      </c>
      <c r="B110" s="2" t="s">
        <v>6</v>
      </c>
    </row>
    <row r="111">
      <c r="A111" s="1" t="s">
        <v>337</v>
      </c>
      <c r="B111" s="2" t="s">
        <v>6</v>
      </c>
    </row>
    <row r="112">
      <c r="A112" s="1" t="s">
        <v>340</v>
      </c>
      <c r="B112" s="2" t="s">
        <v>2</v>
      </c>
    </row>
    <row r="113">
      <c r="A113" s="1" t="s">
        <v>343</v>
      </c>
      <c r="B113" s="2" t="s">
        <v>25</v>
      </c>
    </row>
    <row r="114">
      <c r="A114" s="1" t="s">
        <v>346</v>
      </c>
      <c r="B114" s="2" t="s">
        <v>6</v>
      </c>
    </row>
    <row r="115">
      <c r="A115" s="1" t="s">
        <v>349</v>
      </c>
      <c r="B115" s="2" t="s">
        <v>25</v>
      </c>
    </row>
    <row r="116">
      <c r="A116" s="1" t="s">
        <v>352</v>
      </c>
      <c r="B116" s="2" t="s">
        <v>6</v>
      </c>
    </row>
    <row r="117">
      <c r="A117" s="1" t="s">
        <v>355</v>
      </c>
      <c r="B117" s="2" t="s">
        <v>6</v>
      </c>
    </row>
    <row r="118">
      <c r="A118" s="1" t="s">
        <v>358</v>
      </c>
      <c r="B118" s="2" t="s">
        <v>96</v>
      </c>
    </row>
    <row r="119">
      <c r="A119" s="1" t="s">
        <v>361</v>
      </c>
      <c r="B119" s="2" t="s">
        <v>59</v>
      </c>
    </row>
    <row r="120">
      <c r="A120" s="1" t="s">
        <v>364</v>
      </c>
      <c r="B120" s="2" t="s">
        <v>25</v>
      </c>
    </row>
    <row r="121">
      <c r="A121" s="1" t="s">
        <v>367</v>
      </c>
      <c r="B121" s="2" t="s">
        <v>6</v>
      </c>
    </row>
    <row r="122">
      <c r="A122" s="1" t="s">
        <v>370</v>
      </c>
      <c r="B122" s="2" t="s">
        <v>6</v>
      </c>
    </row>
    <row r="123">
      <c r="A123" s="1" t="s">
        <v>373</v>
      </c>
      <c r="B123" s="2" t="s">
        <v>6</v>
      </c>
    </row>
    <row r="124">
      <c r="A124" s="1" t="s">
        <v>376</v>
      </c>
      <c r="B124" s="2" t="s">
        <v>187</v>
      </c>
    </row>
    <row r="125">
      <c r="A125" s="1" t="s">
        <v>379</v>
      </c>
      <c r="B125" s="2" t="s">
        <v>6</v>
      </c>
    </row>
    <row r="126">
      <c r="A126" s="1" t="s">
        <v>382</v>
      </c>
      <c r="B126" s="2" t="s">
        <v>2</v>
      </c>
    </row>
    <row r="127">
      <c r="A127" s="1" t="s">
        <v>385</v>
      </c>
      <c r="B127" s="2" t="s">
        <v>42</v>
      </c>
    </row>
    <row r="128">
      <c r="A128" s="1" t="s">
        <v>388</v>
      </c>
      <c r="B128" s="2" t="s">
        <v>6</v>
      </c>
    </row>
    <row r="129">
      <c r="A129" s="1" t="s">
        <v>391</v>
      </c>
      <c r="B129" s="2" t="s">
        <v>6</v>
      </c>
    </row>
    <row r="130">
      <c r="A130" s="1" t="s">
        <v>394</v>
      </c>
      <c r="B130" s="2" t="s">
        <v>55</v>
      </c>
    </row>
    <row r="131">
      <c r="A131" s="1" t="s">
        <v>397</v>
      </c>
      <c r="B131" s="2" t="s">
        <v>32</v>
      </c>
    </row>
    <row r="132">
      <c r="A132" s="1" t="s">
        <v>400</v>
      </c>
      <c r="B132" s="2" t="s">
        <v>2</v>
      </c>
    </row>
    <row r="133">
      <c r="A133" s="1" t="s">
        <v>403</v>
      </c>
      <c r="B133" s="2" t="s">
        <v>32</v>
      </c>
    </row>
    <row r="134">
      <c r="A134" s="1" t="s">
        <v>406</v>
      </c>
      <c r="B134" s="2" t="s">
        <v>42</v>
      </c>
    </row>
    <row r="135">
      <c r="A135" s="1" t="s">
        <v>409</v>
      </c>
      <c r="B135" s="2" t="s">
        <v>6</v>
      </c>
    </row>
    <row r="136">
      <c r="A136" s="1" t="s">
        <v>412</v>
      </c>
      <c r="B136" s="2" t="s">
        <v>2</v>
      </c>
    </row>
    <row r="137">
      <c r="A137" s="1" t="s">
        <v>415</v>
      </c>
      <c r="B137" s="2" t="s">
        <v>2</v>
      </c>
    </row>
    <row r="138">
      <c r="A138" s="1" t="s">
        <v>418</v>
      </c>
      <c r="B138" s="2" t="s">
        <v>32</v>
      </c>
    </row>
    <row r="139">
      <c r="A139" s="1" t="s">
        <v>421</v>
      </c>
      <c r="B139" s="2" t="s">
        <v>42</v>
      </c>
    </row>
    <row r="140">
      <c r="A140" s="1" t="s">
        <v>424</v>
      </c>
      <c r="B140" s="2" t="s">
        <v>6</v>
      </c>
    </row>
    <row r="141">
      <c r="A141" s="1" t="s">
        <v>427</v>
      </c>
      <c r="B141" s="2" t="s">
        <v>6</v>
      </c>
    </row>
    <row r="142">
      <c r="A142" s="1" t="s">
        <v>430</v>
      </c>
      <c r="B142" s="2" t="s">
        <v>2</v>
      </c>
    </row>
    <row r="143">
      <c r="A143" s="1" t="s">
        <v>433</v>
      </c>
      <c r="B143" s="2" t="s">
        <v>6</v>
      </c>
    </row>
    <row r="144">
      <c r="A144" s="1" t="s">
        <v>436</v>
      </c>
      <c r="B144" s="2" t="s">
        <v>2</v>
      </c>
    </row>
    <row r="145">
      <c r="A145" s="1" t="s">
        <v>439</v>
      </c>
      <c r="B145" s="2" t="s">
        <v>2</v>
      </c>
    </row>
    <row r="146">
      <c r="A146" s="1" t="s">
        <v>442</v>
      </c>
      <c r="B146" s="2" t="s">
        <v>2</v>
      </c>
    </row>
    <row r="147">
      <c r="A147" s="1" t="s">
        <v>445</v>
      </c>
      <c r="B147" s="2" t="s">
        <v>6</v>
      </c>
    </row>
    <row r="148">
      <c r="A148" s="1" t="s">
        <v>448</v>
      </c>
      <c r="B148" s="2" t="s">
        <v>55</v>
      </c>
    </row>
    <row r="149">
      <c r="A149" s="1" t="s">
        <v>451</v>
      </c>
      <c r="B149" s="2" t="s">
        <v>42</v>
      </c>
    </row>
    <row r="150">
      <c r="A150" s="1" t="s">
        <v>454</v>
      </c>
      <c r="B150" s="2" t="s">
        <v>25</v>
      </c>
    </row>
    <row r="151">
      <c r="A151" s="1" t="s">
        <v>457</v>
      </c>
      <c r="B151" s="2" t="s">
        <v>6</v>
      </c>
    </row>
    <row r="152">
      <c r="A152" s="1" t="s">
        <v>460</v>
      </c>
      <c r="B152" s="2" t="s">
        <v>6</v>
      </c>
    </row>
    <row r="153">
      <c r="A153" s="1" t="s">
        <v>463</v>
      </c>
      <c r="B153" s="2" t="s">
        <v>6</v>
      </c>
    </row>
    <row r="154">
      <c r="A154" s="1" t="s">
        <v>466</v>
      </c>
      <c r="B154" s="2" t="s">
        <v>2</v>
      </c>
    </row>
    <row r="155">
      <c r="A155" s="1" t="s">
        <v>469</v>
      </c>
      <c r="B155" s="2" t="s">
        <v>55</v>
      </c>
    </row>
    <row r="156">
      <c r="A156" s="1" t="s">
        <v>472</v>
      </c>
      <c r="B156" s="2" t="s">
        <v>32</v>
      </c>
    </row>
    <row r="157">
      <c r="A157" s="1" t="s">
        <v>475</v>
      </c>
      <c r="B157" s="2" t="s">
        <v>6</v>
      </c>
    </row>
    <row r="158">
      <c r="A158" s="1" t="s">
        <v>477</v>
      </c>
      <c r="B158" s="2" t="s">
        <v>32</v>
      </c>
    </row>
    <row r="159">
      <c r="A159" s="1" t="s">
        <v>480</v>
      </c>
      <c r="B159" s="2" t="s">
        <v>2</v>
      </c>
    </row>
    <row r="160">
      <c r="A160" s="1" t="s">
        <v>483</v>
      </c>
      <c r="B160" s="2" t="s">
        <v>42</v>
      </c>
    </row>
    <row r="161">
      <c r="A161" s="1" t="s">
        <v>486</v>
      </c>
      <c r="B161" s="2" t="s">
        <v>187</v>
      </c>
    </row>
    <row r="162">
      <c r="A162" s="1" t="s">
        <v>489</v>
      </c>
      <c r="B162" s="2" t="s">
        <v>6</v>
      </c>
    </row>
    <row r="163">
      <c r="A163" s="1" t="s">
        <v>492</v>
      </c>
      <c r="B163" s="2" t="s">
        <v>6</v>
      </c>
    </row>
    <row r="164">
      <c r="A164" s="1" t="s">
        <v>495</v>
      </c>
      <c r="B164" s="2" t="s">
        <v>59</v>
      </c>
    </row>
    <row r="165">
      <c r="A165" s="1" t="s">
        <v>498</v>
      </c>
      <c r="B165" s="2" t="s">
        <v>2</v>
      </c>
    </row>
    <row r="166">
      <c r="A166" s="1" t="s">
        <v>501</v>
      </c>
      <c r="B166" s="2" t="s">
        <v>55</v>
      </c>
    </row>
    <row r="167">
      <c r="A167" s="1" t="s">
        <v>504</v>
      </c>
      <c r="B167" s="2" t="s">
        <v>25</v>
      </c>
    </row>
    <row r="168">
      <c r="A168" s="1" t="s">
        <v>507</v>
      </c>
      <c r="B168" s="2" t="s">
        <v>32</v>
      </c>
    </row>
    <row r="169">
      <c r="A169" s="1" t="s">
        <v>510</v>
      </c>
      <c r="B169" s="2" t="s">
        <v>25</v>
      </c>
    </row>
    <row r="170">
      <c r="A170" s="1" t="s">
        <v>513</v>
      </c>
      <c r="B170" s="2" t="s">
        <v>32</v>
      </c>
    </row>
    <row r="171">
      <c r="A171" s="1" t="s">
        <v>516</v>
      </c>
      <c r="B171" s="2" t="s">
        <v>32</v>
      </c>
    </row>
    <row r="172">
      <c r="A172" s="1" t="s">
        <v>519</v>
      </c>
      <c r="B172" s="2" t="s">
        <v>42</v>
      </c>
    </row>
    <row r="173">
      <c r="A173" s="1" t="s">
        <v>522</v>
      </c>
      <c r="B173" s="2" t="s">
        <v>6</v>
      </c>
    </row>
    <row r="174">
      <c r="A174" s="1" t="s">
        <v>525</v>
      </c>
      <c r="B174" s="2" t="s">
        <v>2</v>
      </c>
    </row>
    <row r="175">
      <c r="A175" s="1" t="s">
        <v>528</v>
      </c>
      <c r="B175" s="2" t="s">
        <v>25</v>
      </c>
    </row>
    <row r="176">
      <c r="A176" s="1" t="s">
        <v>531</v>
      </c>
      <c r="B176" s="2" t="s">
        <v>25</v>
      </c>
    </row>
    <row r="177">
      <c r="A177" s="1" t="s">
        <v>534</v>
      </c>
      <c r="B177" s="2" t="s">
        <v>32</v>
      </c>
    </row>
    <row r="178">
      <c r="A178" s="1" t="s">
        <v>537</v>
      </c>
      <c r="B178" s="2" t="s">
        <v>6</v>
      </c>
    </row>
    <row r="179">
      <c r="A179" s="1" t="s">
        <v>540</v>
      </c>
      <c r="B179" s="2" t="s">
        <v>2</v>
      </c>
    </row>
    <row r="180">
      <c r="A180" s="1" t="s">
        <v>543</v>
      </c>
      <c r="B180" s="2" t="s">
        <v>25</v>
      </c>
    </row>
    <row r="181">
      <c r="A181" s="1" t="s">
        <v>546</v>
      </c>
      <c r="B181" s="2" t="s">
        <v>2</v>
      </c>
    </row>
    <row r="182">
      <c r="A182" s="1" t="s">
        <v>549</v>
      </c>
      <c r="B182" s="2" t="s">
        <v>55</v>
      </c>
    </row>
    <row r="183">
      <c r="A183" s="1" t="s">
        <v>552</v>
      </c>
      <c r="B183" s="2" t="s">
        <v>2</v>
      </c>
    </row>
    <row r="184">
      <c r="A184" s="1" t="s">
        <v>555</v>
      </c>
      <c r="B184" s="2" t="s">
        <v>6</v>
      </c>
    </row>
    <row r="185">
      <c r="A185" s="1" t="s">
        <v>558</v>
      </c>
      <c r="B185" s="2" t="s">
        <v>55</v>
      </c>
    </row>
    <row r="186">
      <c r="A186" s="1" t="s">
        <v>561</v>
      </c>
      <c r="B186" s="2" t="s">
        <v>6</v>
      </c>
    </row>
    <row r="187">
      <c r="A187" s="12" t="s">
        <v>564</v>
      </c>
      <c r="B187" s="2" t="s">
        <v>6</v>
      </c>
    </row>
    <row r="188">
      <c r="A188" s="1" t="s">
        <v>567</v>
      </c>
      <c r="B188" s="2" t="s">
        <v>6</v>
      </c>
    </row>
    <row r="189">
      <c r="A189" s="1" t="s">
        <v>570</v>
      </c>
      <c r="B189" s="2" t="s">
        <v>2</v>
      </c>
    </row>
    <row r="190">
      <c r="A190" s="1" t="s">
        <v>573</v>
      </c>
      <c r="B190" s="2" t="s">
        <v>32</v>
      </c>
    </row>
    <row r="191">
      <c r="A191" s="1" t="s">
        <v>576</v>
      </c>
      <c r="B191" s="2" t="s">
        <v>32</v>
      </c>
    </row>
    <row r="192">
      <c r="A192" s="1" t="s">
        <v>579</v>
      </c>
      <c r="B192" s="2" t="s">
        <v>96</v>
      </c>
    </row>
    <row r="193">
      <c r="A193" s="1" t="s">
        <v>582</v>
      </c>
      <c r="B193" s="2" t="s">
        <v>6</v>
      </c>
    </row>
    <row r="194">
      <c r="A194" s="1" t="s">
        <v>585</v>
      </c>
      <c r="B194" s="2" t="s">
        <v>6</v>
      </c>
    </row>
    <row r="195">
      <c r="A195" s="1" t="s">
        <v>588</v>
      </c>
      <c r="B195" s="2" t="s">
        <v>32</v>
      </c>
    </row>
    <row r="196">
      <c r="A196" s="1" t="s">
        <v>591</v>
      </c>
      <c r="B196" s="2" t="s">
        <v>2</v>
      </c>
    </row>
    <row r="197">
      <c r="A197" s="1" t="s">
        <v>594</v>
      </c>
      <c r="B197" s="2" t="s">
        <v>25</v>
      </c>
    </row>
    <row r="198">
      <c r="A198" s="1" t="s">
        <v>597</v>
      </c>
      <c r="B198" s="2" t="s">
        <v>2</v>
      </c>
    </row>
    <row r="199">
      <c r="A199" s="1" t="s">
        <v>600</v>
      </c>
      <c r="B199" s="2" t="s">
        <v>6</v>
      </c>
    </row>
    <row r="200">
      <c r="A200" s="1" t="s">
        <v>603</v>
      </c>
      <c r="B200" s="2" t="s">
        <v>25</v>
      </c>
    </row>
    <row r="201">
      <c r="A201" s="1" t="s">
        <v>606</v>
      </c>
      <c r="B201" s="2" t="s">
        <v>25</v>
      </c>
    </row>
    <row r="202">
      <c r="A202" s="1" t="s">
        <v>609</v>
      </c>
      <c r="B202" s="2" t="s">
        <v>32</v>
      </c>
    </row>
    <row r="203">
      <c r="A203" s="1" t="s">
        <v>612</v>
      </c>
      <c r="B203" s="2" t="s">
        <v>2</v>
      </c>
    </row>
    <row r="204">
      <c r="A204" s="1" t="s">
        <v>615</v>
      </c>
      <c r="B204" s="2" t="s">
        <v>55</v>
      </c>
    </row>
    <row r="205">
      <c r="A205" s="1" t="s">
        <v>618</v>
      </c>
      <c r="B205" s="2" t="s">
        <v>6</v>
      </c>
    </row>
    <row r="206">
      <c r="A206" s="1" t="s">
        <v>621</v>
      </c>
      <c r="B206" s="2" t="s">
        <v>2</v>
      </c>
    </row>
    <row r="207">
      <c r="A207" s="1" t="s">
        <v>624</v>
      </c>
      <c r="B207" s="2" t="s">
        <v>2</v>
      </c>
    </row>
    <row r="208">
      <c r="A208" s="1" t="s">
        <v>627</v>
      </c>
      <c r="B208" s="2" t="s">
        <v>2</v>
      </c>
    </row>
    <row r="209">
      <c r="A209" s="1" t="s">
        <v>630</v>
      </c>
      <c r="B209" s="2" t="s">
        <v>55</v>
      </c>
    </row>
    <row r="210">
      <c r="A210" s="1" t="s">
        <v>633</v>
      </c>
      <c r="B210" s="2" t="s">
        <v>25</v>
      </c>
    </row>
    <row r="211">
      <c r="A211" s="1" t="s">
        <v>636</v>
      </c>
      <c r="B211" s="2" t="s">
        <v>25</v>
      </c>
    </row>
    <row r="212">
      <c r="A212" s="1" t="s">
        <v>639</v>
      </c>
      <c r="B212" s="2" t="s">
        <v>6</v>
      </c>
    </row>
    <row r="213">
      <c r="A213" s="1" t="s">
        <v>642</v>
      </c>
      <c r="B213" s="2" t="s">
        <v>32</v>
      </c>
    </row>
    <row r="214">
      <c r="A214" s="1" t="s">
        <v>645</v>
      </c>
      <c r="B214" s="2" t="s">
        <v>2</v>
      </c>
    </row>
    <row r="215">
      <c r="A215" s="1" t="s">
        <v>648</v>
      </c>
      <c r="B215" s="2" t="s">
        <v>25</v>
      </c>
    </row>
    <row r="216">
      <c r="A216" s="1" t="s">
        <v>651</v>
      </c>
      <c r="B216" s="2" t="s">
        <v>2</v>
      </c>
    </row>
    <row r="217">
      <c r="A217" s="1" t="s">
        <v>654</v>
      </c>
      <c r="B217" s="2" t="s">
        <v>2</v>
      </c>
    </row>
    <row r="218">
      <c r="A218" s="1" t="s">
        <v>657</v>
      </c>
      <c r="B218" s="2" t="s">
        <v>6</v>
      </c>
    </row>
    <row r="219">
      <c r="A219" s="1" t="s">
        <v>660</v>
      </c>
      <c r="B219" s="2" t="s">
        <v>55</v>
      </c>
    </row>
    <row r="220">
      <c r="A220" s="1" t="s">
        <v>663</v>
      </c>
      <c r="B220" s="2" t="s">
        <v>42</v>
      </c>
    </row>
    <row r="221">
      <c r="A221" s="1" t="s">
        <v>666</v>
      </c>
      <c r="B221" s="2" t="s">
        <v>2</v>
      </c>
    </row>
    <row r="222">
      <c r="A222" s="1" t="s">
        <v>669</v>
      </c>
      <c r="B222" s="2" t="s">
        <v>6</v>
      </c>
    </row>
    <row r="223">
      <c r="A223" s="1" t="s">
        <v>672</v>
      </c>
      <c r="B223" s="2" t="s">
        <v>6</v>
      </c>
    </row>
    <row r="224">
      <c r="A224" s="1" t="s">
        <v>675</v>
      </c>
      <c r="B224" s="2" t="s">
        <v>25</v>
      </c>
    </row>
    <row r="225">
      <c r="A225" s="1" t="s">
        <v>678</v>
      </c>
      <c r="B225" s="2" t="s">
        <v>55</v>
      </c>
    </row>
    <row r="226">
      <c r="A226" s="1" t="s">
        <v>681</v>
      </c>
      <c r="B226" s="2" t="s">
        <v>6</v>
      </c>
    </row>
    <row r="227">
      <c r="A227" s="1" t="s">
        <v>684</v>
      </c>
      <c r="B227" s="2" t="s">
        <v>2</v>
      </c>
    </row>
    <row r="228">
      <c r="A228" s="1" t="s">
        <v>687</v>
      </c>
      <c r="B228" s="2" t="s">
        <v>55</v>
      </c>
    </row>
    <row r="229">
      <c r="A229" s="1" t="s">
        <v>690</v>
      </c>
      <c r="B229" s="2" t="s">
        <v>32</v>
      </c>
    </row>
    <row r="230">
      <c r="A230" s="1" t="s">
        <v>693</v>
      </c>
      <c r="B230" s="2" t="s">
        <v>2</v>
      </c>
    </row>
    <row r="231">
      <c r="A231" s="1" t="s">
        <v>696</v>
      </c>
      <c r="B231" s="2" t="s">
        <v>96</v>
      </c>
    </row>
    <row r="232">
      <c r="A232" s="1" t="s">
        <v>699</v>
      </c>
      <c r="B232" s="2" t="s">
        <v>55</v>
      </c>
    </row>
    <row r="233">
      <c r="A233" s="1" t="s">
        <v>702</v>
      </c>
      <c r="B233" s="2" t="s">
        <v>55</v>
      </c>
    </row>
    <row r="234">
      <c r="A234" s="1" t="s">
        <v>705</v>
      </c>
      <c r="B234" s="2" t="s">
        <v>25</v>
      </c>
    </row>
    <row r="235">
      <c r="A235" s="1" t="s">
        <v>708</v>
      </c>
      <c r="B235" s="2" t="s">
        <v>6</v>
      </c>
    </row>
    <row r="236">
      <c r="A236" s="1" t="s">
        <v>711</v>
      </c>
      <c r="B236" s="2" t="s">
        <v>25</v>
      </c>
    </row>
    <row r="237">
      <c r="A237" s="1" t="s">
        <v>714</v>
      </c>
      <c r="B237" s="2" t="s">
        <v>2</v>
      </c>
    </row>
    <row r="238">
      <c r="A238" s="1" t="s">
        <v>717</v>
      </c>
      <c r="B238" s="2" t="s">
        <v>2</v>
      </c>
    </row>
    <row r="239">
      <c r="A239" s="1" t="s">
        <v>720</v>
      </c>
      <c r="B239" s="2" t="s">
        <v>25</v>
      </c>
    </row>
    <row r="240">
      <c r="A240" s="1" t="s">
        <v>723</v>
      </c>
      <c r="B240" s="2" t="s">
        <v>6</v>
      </c>
    </row>
    <row r="241">
      <c r="A241" s="1" t="s">
        <v>726</v>
      </c>
      <c r="B241" s="2" t="s">
        <v>2</v>
      </c>
    </row>
    <row r="242">
      <c r="A242" s="1" t="s">
        <v>729</v>
      </c>
      <c r="B242" s="2" t="s">
        <v>2</v>
      </c>
    </row>
    <row r="243">
      <c r="A243" s="1" t="s">
        <v>732</v>
      </c>
      <c r="B243" s="2" t="s">
        <v>2</v>
      </c>
    </row>
    <row r="244">
      <c r="A244" s="1" t="s">
        <v>735</v>
      </c>
      <c r="B244" s="2" t="s">
        <v>55</v>
      </c>
    </row>
    <row r="245">
      <c r="A245" s="1" t="s">
        <v>738</v>
      </c>
      <c r="B245" s="2" t="s">
        <v>32</v>
      </c>
    </row>
    <row r="246">
      <c r="A246" s="1" t="s">
        <v>741</v>
      </c>
      <c r="B246" s="2" t="s">
        <v>96</v>
      </c>
    </row>
    <row r="247">
      <c r="A247" s="1" t="s">
        <v>744</v>
      </c>
      <c r="B247" s="2" t="s">
        <v>25</v>
      </c>
    </row>
    <row r="248">
      <c r="A248" s="1" t="s">
        <v>747</v>
      </c>
      <c r="B248" s="2" t="s">
        <v>32</v>
      </c>
    </row>
    <row r="249">
      <c r="A249" s="1" t="s">
        <v>750</v>
      </c>
      <c r="B249" s="2" t="s">
        <v>222</v>
      </c>
    </row>
    <row r="250">
      <c r="A250" s="1" t="s">
        <v>753</v>
      </c>
      <c r="B250" s="2" t="s">
        <v>2</v>
      </c>
    </row>
    <row r="251">
      <c r="A251" s="1" t="s">
        <v>756</v>
      </c>
      <c r="B251" s="2" t="s">
        <v>6</v>
      </c>
    </row>
    <row r="252">
      <c r="A252" s="1" t="s">
        <v>759</v>
      </c>
      <c r="B252" s="2" t="s">
        <v>2</v>
      </c>
    </row>
    <row r="253">
      <c r="A253" s="1" t="s">
        <v>762</v>
      </c>
      <c r="B253" s="2" t="s">
        <v>25</v>
      </c>
    </row>
    <row r="254">
      <c r="A254" s="1" t="s">
        <v>765</v>
      </c>
      <c r="B254" s="2" t="s">
        <v>6</v>
      </c>
    </row>
    <row r="255">
      <c r="A255" s="1" t="s">
        <v>768</v>
      </c>
      <c r="B255" s="2" t="s">
        <v>6</v>
      </c>
    </row>
    <row r="256">
      <c r="A256" s="1" t="s">
        <v>771</v>
      </c>
      <c r="B256" s="2" t="s">
        <v>2</v>
      </c>
    </row>
    <row r="257">
      <c r="A257" s="1" t="s">
        <v>774</v>
      </c>
      <c r="B257" s="2" t="s">
        <v>6</v>
      </c>
    </row>
    <row r="258">
      <c r="A258" s="1" t="s">
        <v>776</v>
      </c>
      <c r="B258" s="2" t="s">
        <v>222</v>
      </c>
    </row>
    <row r="259">
      <c r="A259" s="1" t="s">
        <v>779</v>
      </c>
      <c r="B259" s="2" t="s">
        <v>6</v>
      </c>
    </row>
    <row r="260">
      <c r="A260" s="1" t="s">
        <v>782</v>
      </c>
      <c r="B260" s="2" t="s">
        <v>222</v>
      </c>
    </row>
    <row r="261">
      <c r="A261" s="1" t="s">
        <v>785</v>
      </c>
      <c r="B261" s="2" t="s">
        <v>6</v>
      </c>
    </row>
    <row r="262">
      <c r="A262" s="1" t="s">
        <v>788</v>
      </c>
      <c r="B262" s="2" t="s">
        <v>25</v>
      </c>
    </row>
    <row r="263">
      <c r="A263" s="1" t="s">
        <v>791</v>
      </c>
      <c r="B263" s="2" t="s">
        <v>42</v>
      </c>
    </row>
    <row r="264">
      <c r="A264" s="1" t="s">
        <v>794</v>
      </c>
      <c r="B264" s="2" t="s">
        <v>42</v>
      </c>
    </row>
    <row r="265">
      <c r="A265" s="1" t="s">
        <v>797</v>
      </c>
      <c r="B265" s="2" t="s">
        <v>6</v>
      </c>
    </row>
    <row r="266">
      <c r="A266" s="1" t="s">
        <v>800</v>
      </c>
      <c r="B266" s="2" t="s">
        <v>2</v>
      </c>
    </row>
    <row r="267">
      <c r="A267" s="1" t="s">
        <v>803</v>
      </c>
      <c r="B267" s="2" t="s">
        <v>25</v>
      </c>
    </row>
    <row r="268">
      <c r="A268" s="1" t="s">
        <v>806</v>
      </c>
      <c r="B268" s="2" t="s">
        <v>2</v>
      </c>
    </row>
    <row r="269">
      <c r="A269" s="1" t="s">
        <v>809</v>
      </c>
      <c r="B269" s="2" t="s">
        <v>222</v>
      </c>
    </row>
    <row r="270">
      <c r="A270" s="1" t="s">
        <v>812</v>
      </c>
      <c r="B270" s="2" t="s">
        <v>6</v>
      </c>
    </row>
    <row r="271">
      <c r="A271" s="1" t="s">
        <v>815</v>
      </c>
      <c r="B271" s="2" t="s">
        <v>32</v>
      </c>
    </row>
    <row r="272">
      <c r="A272" s="1" t="s">
        <v>818</v>
      </c>
      <c r="B272" s="2" t="s">
        <v>32</v>
      </c>
    </row>
    <row r="273">
      <c r="A273" s="1" t="s">
        <v>821</v>
      </c>
      <c r="B273" s="2" t="s">
        <v>25</v>
      </c>
    </row>
    <row r="274">
      <c r="A274" s="1" t="s">
        <v>824</v>
      </c>
      <c r="B274" s="2" t="s">
        <v>32</v>
      </c>
    </row>
    <row r="275">
      <c r="A275" s="1" t="s">
        <v>827</v>
      </c>
      <c r="B275" s="2" t="s">
        <v>32</v>
      </c>
    </row>
    <row r="276">
      <c r="A276" s="1" t="s">
        <v>830</v>
      </c>
      <c r="B276" s="2" t="s">
        <v>6</v>
      </c>
    </row>
    <row r="277">
      <c r="A277" s="1" t="s">
        <v>833</v>
      </c>
      <c r="B277" s="2" t="s">
        <v>32</v>
      </c>
    </row>
    <row r="278">
      <c r="A278" s="1" t="s">
        <v>836</v>
      </c>
      <c r="B278" s="2" t="s">
        <v>2</v>
      </c>
    </row>
    <row r="279">
      <c r="A279" s="1" t="s">
        <v>839</v>
      </c>
      <c r="B279" s="2" t="s">
        <v>32</v>
      </c>
    </row>
    <row r="280">
      <c r="A280" s="1" t="s">
        <v>842</v>
      </c>
      <c r="B280" s="2" t="s">
        <v>25</v>
      </c>
    </row>
    <row r="281">
      <c r="A281" s="1" t="s">
        <v>845</v>
      </c>
      <c r="B281" s="2" t="s">
        <v>32</v>
      </c>
    </row>
    <row r="282">
      <c r="A282" s="1" t="s">
        <v>848</v>
      </c>
      <c r="B282" s="2" t="s">
        <v>25</v>
      </c>
    </row>
    <row r="283">
      <c r="A283" s="1" t="s">
        <v>851</v>
      </c>
      <c r="B283" s="2" t="s">
        <v>25</v>
      </c>
    </row>
    <row r="284">
      <c r="A284" s="1" t="s">
        <v>854</v>
      </c>
      <c r="B284" s="2" t="s">
        <v>6</v>
      </c>
    </row>
    <row r="285">
      <c r="A285" s="1" t="s">
        <v>857</v>
      </c>
      <c r="B285" s="2" t="s">
        <v>6</v>
      </c>
    </row>
    <row r="286">
      <c r="A286" s="1" t="s">
        <v>860</v>
      </c>
      <c r="B286" s="2" t="s">
        <v>6</v>
      </c>
    </row>
    <row r="287">
      <c r="A287" s="1" t="s">
        <v>863</v>
      </c>
      <c r="B287" s="2" t="s">
        <v>2</v>
      </c>
    </row>
    <row r="288">
      <c r="A288" s="1" t="s">
        <v>866</v>
      </c>
      <c r="B288" s="2" t="s">
        <v>6</v>
      </c>
    </row>
    <row r="289">
      <c r="A289" s="1" t="s">
        <v>869</v>
      </c>
      <c r="B289" s="2" t="s">
        <v>2</v>
      </c>
    </row>
    <row r="290">
      <c r="A290" s="1" t="s">
        <v>872</v>
      </c>
      <c r="B290" s="2" t="s">
        <v>32</v>
      </c>
    </row>
    <row r="291">
      <c r="A291" s="1" t="s">
        <v>875</v>
      </c>
      <c r="B291" s="2" t="s">
        <v>6</v>
      </c>
    </row>
    <row r="292">
      <c r="A292" s="1" t="s">
        <v>878</v>
      </c>
      <c r="B292" s="2" t="s">
        <v>6</v>
      </c>
    </row>
    <row r="293">
      <c r="A293" s="1" t="s">
        <v>881</v>
      </c>
      <c r="B293" s="2" t="s">
        <v>2</v>
      </c>
    </row>
    <row r="294">
      <c r="A294" s="1" t="s">
        <v>884</v>
      </c>
      <c r="B294" s="2" t="s">
        <v>2</v>
      </c>
    </row>
    <row r="295">
      <c r="A295" s="1" t="s">
        <v>887</v>
      </c>
      <c r="B295" s="2" t="s">
        <v>2</v>
      </c>
    </row>
    <row r="296">
      <c r="A296" s="1" t="s">
        <v>890</v>
      </c>
      <c r="B296" s="2" t="s">
        <v>2</v>
      </c>
    </row>
    <row r="297">
      <c r="A297" s="1" t="s">
        <v>893</v>
      </c>
      <c r="B297" s="2" t="s">
        <v>25</v>
      </c>
    </row>
    <row r="298">
      <c r="A298" s="1" t="s">
        <v>896</v>
      </c>
      <c r="B298" s="2" t="s">
        <v>6</v>
      </c>
    </row>
    <row r="299">
      <c r="A299" s="1" t="s">
        <v>899</v>
      </c>
      <c r="B299" s="2" t="s">
        <v>6</v>
      </c>
    </row>
    <row r="300">
      <c r="A300" s="1" t="s">
        <v>902</v>
      </c>
      <c r="B300" s="2" t="s">
        <v>6</v>
      </c>
    </row>
    <row r="301">
      <c r="A301" s="1" t="s">
        <v>905</v>
      </c>
      <c r="B301" s="2" t="s">
        <v>2</v>
      </c>
    </row>
    <row r="302">
      <c r="A302" s="14" t="s">
        <v>908</v>
      </c>
      <c r="B302" s="15" t="s">
        <v>96</v>
      </c>
    </row>
    <row r="303">
      <c r="A303" s="1" t="s">
        <v>911</v>
      </c>
      <c r="B303" s="2" t="s">
        <v>96</v>
      </c>
    </row>
    <row r="304">
      <c r="A304" s="1" t="s">
        <v>914</v>
      </c>
      <c r="B304" s="2" t="s">
        <v>32</v>
      </c>
    </row>
    <row r="305">
      <c r="A305" s="1" t="s">
        <v>917</v>
      </c>
      <c r="B305" s="2" t="s">
        <v>2</v>
      </c>
    </row>
    <row r="306">
      <c r="A306" s="1" t="s">
        <v>920</v>
      </c>
      <c r="B306" s="2" t="s">
        <v>6</v>
      </c>
    </row>
    <row r="307">
      <c r="A307" s="1" t="s">
        <v>923</v>
      </c>
      <c r="B307" s="2" t="s">
        <v>6</v>
      </c>
    </row>
    <row r="308">
      <c r="A308" s="1" t="s">
        <v>926</v>
      </c>
      <c r="B308" s="2" t="s">
        <v>32</v>
      </c>
    </row>
    <row r="309">
      <c r="A309" s="1" t="s">
        <v>929</v>
      </c>
      <c r="B309" s="2" t="s">
        <v>59</v>
      </c>
    </row>
    <row r="310">
      <c r="A310" s="1" t="s">
        <v>932</v>
      </c>
      <c r="B310" s="2" t="s">
        <v>32</v>
      </c>
    </row>
    <row r="311">
      <c r="A311" s="1" t="s">
        <v>935</v>
      </c>
      <c r="B311" s="2" t="s">
        <v>32</v>
      </c>
    </row>
    <row r="312">
      <c r="A312" s="1" t="s">
        <v>938</v>
      </c>
      <c r="B312" s="2" t="s">
        <v>6</v>
      </c>
    </row>
    <row r="313">
      <c r="A313" s="1" t="s">
        <v>941</v>
      </c>
      <c r="B313" s="2" t="s">
        <v>2</v>
      </c>
    </row>
    <row r="314">
      <c r="A314" s="1" t="s">
        <v>944</v>
      </c>
      <c r="B314" s="2" t="s">
        <v>6</v>
      </c>
    </row>
    <row r="315">
      <c r="A315" s="1" t="s">
        <v>947</v>
      </c>
      <c r="B315" s="2" t="s">
        <v>2</v>
      </c>
    </row>
    <row r="316">
      <c r="A316" s="1" t="s">
        <v>950</v>
      </c>
      <c r="B316" s="2" t="s">
        <v>25</v>
      </c>
    </row>
    <row r="317">
      <c r="A317" s="1" t="s">
        <v>953</v>
      </c>
      <c r="B317" s="2" t="s">
        <v>2</v>
      </c>
    </row>
    <row r="318">
      <c r="A318" s="1" t="s">
        <v>956</v>
      </c>
      <c r="B318" s="2" t="s">
        <v>55</v>
      </c>
    </row>
    <row r="319">
      <c r="A319" s="1" t="s">
        <v>959</v>
      </c>
      <c r="B319" s="2" t="s">
        <v>6</v>
      </c>
    </row>
    <row r="320">
      <c r="A320" s="1" t="s">
        <v>996</v>
      </c>
      <c r="B320" s="2" t="s">
        <v>55</v>
      </c>
    </row>
    <row r="321">
      <c r="A321" s="2" t="s">
        <v>999</v>
      </c>
      <c r="B321" s="2" t="s">
        <v>25</v>
      </c>
    </row>
    <row r="322">
      <c r="A322" s="2" t="s">
        <v>1002</v>
      </c>
      <c r="B322" s="2" t="s">
        <v>55</v>
      </c>
    </row>
    <row r="323">
      <c r="A323" s="1" t="s">
        <v>1005</v>
      </c>
      <c r="B323" s="2" t="s">
        <v>2</v>
      </c>
    </row>
    <row r="324">
      <c r="A324" s="2" t="s">
        <v>1008</v>
      </c>
      <c r="B324" s="2" t="s">
        <v>32</v>
      </c>
    </row>
    <row r="325">
      <c r="A325" s="2" t="s">
        <v>1011</v>
      </c>
      <c r="B325" s="2" t="s">
        <v>96</v>
      </c>
    </row>
    <row r="326">
      <c r="A326" s="2" t="s">
        <v>1014</v>
      </c>
      <c r="B326" s="2" t="s">
        <v>55</v>
      </c>
    </row>
    <row r="327">
      <c r="A327" s="1" t="s">
        <v>1017</v>
      </c>
      <c r="B327" s="2" t="s">
        <v>59</v>
      </c>
    </row>
    <row r="328">
      <c r="A328" s="2" t="s">
        <v>1020</v>
      </c>
      <c r="B328" s="2" t="s">
        <v>55</v>
      </c>
    </row>
    <row r="329">
      <c r="A329" s="2" t="s">
        <v>1023</v>
      </c>
      <c r="B329" s="2" t="s">
        <v>25</v>
      </c>
    </row>
    <row r="330">
      <c r="A330" s="2" t="s">
        <v>1026</v>
      </c>
      <c r="B330" s="2" t="s">
        <v>55</v>
      </c>
    </row>
    <row r="331">
      <c r="A331" s="1" t="s">
        <v>1029</v>
      </c>
      <c r="B331" s="2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9.88"/>
    <col customWidth="1" min="3" max="3" width="26.25"/>
    <col customWidth="1" min="4" max="5" width="16.38"/>
    <col customWidth="1" min="6" max="6" width="11.25"/>
    <col customWidth="1" min="7" max="7" width="21.25"/>
    <col customWidth="1" min="8" max="8" width="20.13"/>
    <col customWidth="1" min="9" max="9" width="20.38"/>
    <col customWidth="1" min="11" max="11" width="4.75"/>
    <col customWidth="1" min="13" max="13" width="8.5"/>
    <col customWidth="1" min="14" max="14" width="10.75"/>
    <col customWidth="1" min="28" max="28" width="14.88"/>
    <col customWidth="1" min="29" max="29" width="21.63"/>
    <col customWidth="1" min="31" max="31" width="13.0"/>
    <col customWidth="1" min="32" max="32" width="17.25"/>
    <col customWidth="1" min="33" max="33" width="10.63"/>
    <col customWidth="1" min="34" max="34" width="16.88"/>
    <col customWidth="1" min="35" max="35" width="24.5"/>
    <col customWidth="1" min="36" max="36" width="15.0"/>
    <col customWidth="1" min="37" max="37" width="22.63"/>
    <col customWidth="1" min="38" max="38" width="21.63"/>
    <col customWidth="1" min="39" max="39" width="19.75"/>
    <col customWidth="1" min="40" max="40" width="21.38"/>
    <col customWidth="1" min="41" max="41" width="29.0"/>
    <col customWidth="1" min="42" max="42" width="19.38"/>
    <col customWidth="1" min="43" max="43" width="27.0"/>
    <col customWidth="1" min="44" max="44" width="15.5"/>
    <col customWidth="1" min="45" max="45" width="13.63"/>
    <col customWidth="1" min="46" max="46" width="15.25"/>
    <col customWidth="1" min="47" max="47" width="22.88"/>
    <col customWidth="1" min="48" max="48" width="13.38"/>
    <col customWidth="1" min="49" max="49" width="20.88"/>
    <col customWidth="1" min="50" max="50" width="23.75"/>
    <col customWidth="1" min="51" max="51" width="21.88"/>
    <col customWidth="1" min="52" max="52" width="23.5"/>
    <col customWidth="1" min="53" max="53" width="31.13"/>
    <col customWidth="1" min="54" max="54" width="21.5"/>
    <col customWidth="1" min="55" max="55" width="29.13"/>
    <col customWidth="1" min="56" max="56" width="23.13"/>
    <col customWidth="1" min="57" max="57" width="21.25"/>
    <col customWidth="1" min="58" max="58" width="22.88"/>
    <col customWidth="1" min="59" max="59" width="30.5"/>
    <col customWidth="1" min="60" max="60" width="20.88"/>
    <col customWidth="1" min="61" max="61" width="28.5"/>
    <col customWidth="1" min="62" max="62" width="11.63"/>
    <col customWidth="1" min="63" max="63" width="9.75"/>
    <col customWidth="1" min="64" max="64" width="11.38"/>
    <col customWidth="1" min="65" max="65" width="19.0"/>
    <col customWidth="1" min="66" max="66" width="9.38"/>
    <col customWidth="1" min="67" max="67" width="17.0"/>
  </cols>
  <sheetData>
    <row r="1">
      <c r="A1" s="2" t="s">
        <v>961</v>
      </c>
      <c r="B1" s="2" t="s">
        <v>962</v>
      </c>
      <c r="C1" s="2" t="s">
        <v>964</v>
      </c>
      <c r="D1" s="2" t="s">
        <v>965</v>
      </c>
      <c r="E1" s="2" t="s">
        <v>966</v>
      </c>
      <c r="F1" s="18" t="s">
        <v>967</v>
      </c>
      <c r="G1" s="2" t="s">
        <v>968</v>
      </c>
      <c r="H1" s="2" t="s">
        <v>969</v>
      </c>
      <c r="I1" s="2" t="s">
        <v>970</v>
      </c>
      <c r="J1" s="18" t="s">
        <v>971</v>
      </c>
      <c r="K1" s="2" t="s">
        <v>972</v>
      </c>
      <c r="L1" s="2" t="s">
        <v>973</v>
      </c>
      <c r="M1" s="2" t="s">
        <v>974</v>
      </c>
      <c r="N1" s="2" t="s">
        <v>975</v>
      </c>
      <c r="O1" s="2" t="s">
        <v>976</v>
      </c>
      <c r="P1" s="18" t="s">
        <v>977</v>
      </c>
      <c r="Q1" s="2" t="s">
        <v>978</v>
      </c>
      <c r="R1" s="2" t="s">
        <v>979</v>
      </c>
      <c r="S1" s="2" t="s">
        <v>980</v>
      </c>
      <c r="T1" s="2" t="s">
        <v>981</v>
      </c>
      <c r="U1" s="2" t="s">
        <v>982</v>
      </c>
      <c r="V1" s="2" t="s">
        <v>983</v>
      </c>
      <c r="W1" s="2" t="s">
        <v>984</v>
      </c>
      <c r="X1" s="2" t="s">
        <v>985</v>
      </c>
      <c r="Y1" s="2" t="s">
        <v>986</v>
      </c>
      <c r="Z1" s="2" t="s">
        <v>987</v>
      </c>
      <c r="AA1" s="2" t="s">
        <v>988</v>
      </c>
      <c r="AB1" s="18" t="s">
        <v>989</v>
      </c>
      <c r="AC1" s="2" t="s">
        <v>990</v>
      </c>
      <c r="AD1" s="2" t="s">
        <v>991</v>
      </c>
      <c r="AE1" s="18" t="s">
        <v>992</v>
      </c>
      <c r="AF1" s="18" t="s">
        <v>993</v>
      </c>
      <c r="AG1" s="19" t="s">
        <v>994</v>
      </c>
    </row>
    <row r="2">
      <c r="A2" s="6" t="s">
        <v>375</v>
      </c>
      <c r="B2" s="1" t="s">
        <v>376</v>
      </c>
      <c r="C2" s="2" t="s">
        <v>377</v>
      </c>
      <c r="D2" s="2">
        <f>VLOOKUP(B2,'EC-Nitin'!$B$2:$F$46,5)</f>
        <v>0</v>
      </c>
      <c r="F2" s="2">
        <f t="shared" ref="F2:F331" si="1">0.5*(D2+E2)</f>
        <v>0</v>
      </c>
      <c r="I2" s="2">
        <v>-1.0</v>
      </c>
      <c r="J2" s="3">
        <f t="shared" ref="J2:J331" si="2">G2/4+H2/4+I2/9</f>
        <v>-0.1111111111</v>
      </c>
      <c r="N2" s="3">
        <f t="shared" ref="N2:N331" si="3">max(L2:M2)</f>
        <v>0</v>
      </c>
      <c r="P2" s="2">
        <f t="shared" ref="P2:P331" si="4">K2/20+N2/40+O2/20</f>
        <v>0</v>
      </c>
      <c r="V2" s="2">
        <v>14.0</v>
      </c>
      <c r="Z2" s="2">
        <v>30.0</v>
      </c>
      <c r="AB2" s="2">
        <f t="shared" ref="AB2:AB331" si="5">SUM(Q2:AA2)/20</f>
        <v>2.2</v>
      </c>
      <c r="AF2" s="3">
        <f t="shared" ref="AF2:AF331" si="6">(AC2+AD2)/40</f>
        <v>0</v>
      </c>
      <c r="AG2" s="4">
        <f t="shared" ref="AG2:AG331" si="7">F2+J2+P2+AB2+AF2</f>
        <v>2.088888889</v>
      </c>
      <c r="AH2" s="2" t="s">
        <v>187</v>
      </c>
    </row>
    <row r="3">
      <c r="A3" s="6" t="s">
        <v>185</v>
      </c>
      <c r="B3" s="1" t="s">
        <v>186</v>
      </c>
      <c r="C3" s="2" t="s">
        <v>188</v>
      </c>
      <c r="D3" s="2">
        <f>VLOOKUP(B3, 'CSE-Sandeep'!$B$2:$G$61,5)</f>
        <v>0</v>
      </c>
      <c r="F3" s="2">
        <f t="shared" si="1"/>
        <v>0</v>
      </c>
      <c r="I3" s="2">
        <v>-1.0</v>
      </c>
      <c r="J3" s="3">
        <f t="shared" si="2"/>
        <v>-0.1111111111</v>
      </c>
      <c r="K3" s="2">
        <v>100.0</v>
      </c>
      <c r="N3" s="3">
        <f t="shared" si="3"/>
        <v>0</v>
      </c>
      <c r="P3" s="2">
        <f t="shared" si="4"/>
        <v>5</v>
      </c>
      <c r="Q3" s="2">
        <v>7.0</v>
      </c>
      <c r="R3" s="2">
        <v>10.0</v>
      </c>
      <c r="U3" s="2">
        <v>15.0</v>
      </c>
      <c r="V3" s="2">
        <v>15.0</v>
      </c>
      <c r="W3" s="2">
        <v>20.0</v>
      </c>
      <c r="AB3" s="2">
        <f t="shared" si="5"/>
        <v>3.35</v>
      </c>
      <c r="AF3" s="3">
        <f t="shared" si="6"/>
        <v>0</v>
      </c>
      <c r="AG3" s="4">
        <f t="shared" si="7"/>
        <v>8.238888889</v>
      </c>
      <c r="AH3" s="2" t="s">
        <v>187</v>
      </c>
    </row>
    <row r="4">
      <c r="A4" s="6" t="s">
        <v>485</v>
      </c>
      <c r="B4" s="1" t="s">
        <v>486</v>
      </c>
      <c r="C4" s="2" t="s">
        <v>487</v>
      </c>
      <c r="D4" s="2">
        <f>VLOOKUP(B4, 'EE-Nitin'!$B$2:$F$57,5)</f>
        <v>0</v>
      </c>
      <c r="F4" s="2">
        <f t="shared" si="1"/>
        <v>0</v>
      </c>
      <c r="G4" s="2">
        <v>0.0</v>
      </c>
      <c r="H4" s="2">
        <v>0.0</v>
      </c>
      <c r="I4" s="2">
        <v>-1.0</v>
      </c>
      <c r="J4" s="3">
        <f t="shared" si="2"/>
        <v>-0.1111111111</v>
      </c>
      <c r="K4" s="2">
        <v>93.0</v>
      </c>
      <c r="L4" s="2">
        <v>0.0</v>
      </c>
      <c r="N4" s="3">
        <f t="shared" si="3"/>
        <v>0</v>
      </c>
      <c r="P4" s="2">
        <f t="shared" si="4"/>
        <v>4.65</v>
      </c>
      <c r="Q4" s="2">
        <v>7.0</v>
      </c>
      <c r="R4" s="2">
        <v>9.0</v>
      </c>
      <c r="S4" s="2">
        <v>10.0</v>
      </c>
      <c r="T4" s="2">
        <v>11.0</v>
      </c>
      <c r="U4" s="2">
        <v>14.5</v>
      </c>
      <c r="V4" s="2">
        <v>14.5</v>
      </c>
      <c r="W4" s="2">
        <v>20.0</v>
      </c>
      <c r="X4" s="2">
        <v>0.0</v>
      </c>
      <c r="Y4" s="2">
        <v>0.0</v>
      </c>
      <c r="AB4" s="2">
        <f t="shared" si="5"/>
        <v>4.3</v>
      </c>
      <c r="AF4" s="3">
        <f t="shared" si="6"/>
        <v>0</v>
      </c>
      <c r="AG4" s="4">
        <f t="shared" si="7"/>
        <v>8.838888889</v>
      </c>
      <c r="AH4" s="2" t="s">
        <v>187</v>
      </c>
    </row>
    <row r="5">
      <c r="A5" s="1" t="s">
        <v>578</v>
      </c>
      <c r="B5" s="1" t="s">
        <v>579</v>
      </c>
      <c r="C5" s="2" t="s">
        <v>580</v>
      </c>
      <c r="D5" s="2">
        <f>VLOOKUP(B5, 'EE-Nitin'!$B$2:$F$57,5)</f>
        <v>12</v>
      </c>
      <c r="E5" s="2">
        <v>4.0</v>
      </c>
      <c r="F5" s="2">
        <f t="shared" si="1"/>
        <v>8</v>
      </c>
      <c r="G5" s="2">
        <v>1.5</v>
      </c>
      <c r="H5" s="2">
        <v>3.0</v>
      </c>
      <c r="I5" s="2">
        <v>0.0</v>
      </c>
      <c r="J5" s="3">
        <f t="shared" si="2"/>
        <v>1.125</v>
      </c>
      <c r="K5" s="2">
        <v>0.0</v>
      </c>
      <c r="L5" s="2">
        <v>95.0</v>
      </c>
      <c r="N5" s="3">
        <f t="shared" si="3"/>
        <v>95</v>
      </c>
      <c r="O5" s="2">
        <v>80.0</v>
      </c>
      <c r="P5" s="2">
        <f t="shared" si="4"/>
        <v>6.375</v>
      </c>
      <c r="Q5" s="2">
        <v>6.0</v>
      </c>
      <c r="R5" s="2">
        <v>5.0</v>
      </c>
      <c r="S5" s="2">
        <v>0.0</v>
      </c>
      <c r="T5" s="2">
        <v>8.0</v>
      </c>
      <c r="U5" s="2">
        <v>5.0</v>
      </c>
      <c r="V5" s="2">
        <v>13.0</v>
      </c>
      <c r="W5" s="2">
        <v>18.0</v>
      </c>
      <c r="X5" s="2">
        <v>28.0</v>
      </c>
      <c r="Y5" s="2">
        <v>0.0</v>
      </c>
      <c r="AA5" s="2">
        <v>29.0</v>
      </c>
      <c r="AB5" s="2">
        <f t="shared" si="5"/>
        <v>5.6</v>
      </c>
      <c r="AC5" s="2">
        <v>50.0</v>
      </c>
      <c r="AD5" s="2">
        <v>280.0</v>
      </c>
      <c r="AF5" s="3">
        <f t="shared" si="6"/>
        <v>8.25</v>
      </c>
      <c r="AG5" s="4">
        <f t="shared" si="7"/>
        <v>29.35</v>
      </c>
      <c r="AH5" s="2" t="s">
        <v>96</v>
      </c>
    </row>
    <row r="6">
      <c r="A6" s="1" t="s">
        <v>808</v>
      </c>
      <c r="B6" s="1" t="s">
        <v>809</v>
      </c>
      <c r="C6" s="2" t="s">
        <v>810</v>
      </c>
      <c r="D6" s="2">
        <f>VLOOKUP(B6,'MM-Subhashree'!$B$2:F$26,5)</f>
        <v>20</v>
      </c>
      <c r="E6" s="2">
        <v>11.0</v>
      </c>
      <c r="F6" s="2">
        <f t="shared" si="1"/>
        <v>15.5</v>
      </c>
      <c r="H6" s="2">
        <v>5.0</v>
      </c>
      <c r="I6" s="2">
        <v>16.0</v>
      </c>
      <c r="J6" s="3">
        <f t="shared" si="2"/>
        <v>3.027777778</v>
      </c>
      <c r="M6" s="2">
        <v>165.0</v>
      </c>
      <c r="N6" s="3">
        <f t="shared" si="3"/>
        <v>165</v>
      </c>
      <c r="P6" s="2">
        <f t="shared" si="4"/>
        <v>4.125</v>
      </c>
      <c r="Q6" s="2">
        <v>6.0</v>
      </c>
      <c r="R6" s="2">
        <v>5.0</v>
      </c>
      <c r="S6" s="2">
        <v>6.0</v>
      </c>
      <c r="V6" s="2">
        <v>10.0</v>
      </c>
      <c r="W6" s="2">
        <v>18.0</v>
      </c>
      <c r="Z6" s="2">
        <v>28.0</v>
      </c>
      <c r="AB6" s="2">
        <f t="shared" si="5"/>
        <v>3.65</v>
      </c>
      <c r="AD6" s="2">
        <v>340.0</v>
      </c>
      <c r="AF6" s="3">
        <f t="shared" si="6"/>
        <v>8.5</v>
      </c>
      <c r="AG6" s="4">
        <f t="shared" si="7"/>
        <v>34.80277778</v>
      </c>
      <c r="AH6" s="2" t="s">
        <v>222</v>
      </c>
    </row>
    <row r="7">
      <c r="A7" s="1" t="s">
        <v>695</v>
      </c>
      <c r="B7" s="5" t="s">
        <v>696</v>
      </c>
      <c r="C7" s="2" t="s">
        <v>697</v>
      </c>
      <c r="D7" s="2">
        <f>VLOOKUP(B7, 'ME-Subhashree'!$B$2:$F$56,5)</f>
        <v>5</v>
      </c>
      <c r="E7" s="2">
        <v>7.0</v>
      </c>
      <c r="F7" s="2">
        <f t="shared" si="1"/>
        <v>6</v>
      </c>
      <c r="G7" s="2">
        <v>5.0</v>
      </c>
      <c r="H7" s="2">
        <v>0.0</v>
      </c>
      <c r="I7" s="2">
        <v>40.0</v>
      </c>
      <c r="J7" s="3">
        <f t="shared" si="2"/>
        <v>5.694444444</v>
      </c>
      <c r="K7" s="2">
        <v>100.0</v>
      </c>
      <c r="L7" s="2">
        <v>125.0</v>
      </c>
      <c r="N7" s="3">
        <f t="shared" si="3"/>
        <v>125</v>
      </c>
      <c r="O7" s="2">
        <v>0.0</v>
      </c>
      <c r="P7" s="2">
        <f t="shared" si="4"/>
        <v>8.125</v>
      </c>
      <c r="Q7" s="2">
        <v>7.0</v>
      </c>
      <c r="R7" s="2">
        <v>7.0</v>
      </c>
      <c r="S7" s="2">
        <v>15.0</v>
      </c>
      <c r="T7" s="2">
        <v>15.0</v>
      </c>
      <c r="U7" s="2">
        <v>15.0</v>
      </c>
      <c r="V7" s="2">
        <v>13.0</v>
      </c>
      <c r="W7" s="2">
        <v>20.0</v>
      </c>
      <c r="X7" s="2">
        <v>0.0</v>
      </c>
      <c r="Y7" s="2">
        <v>0.0</v>
      </c>
      <c r="Z7" s="2">
        <v>29.0</v>
      </c>
      <c r="AA7" s="2">
        <v>27.0</v>
      </c>
      <c r="AB7" s="2">
        <f t="shared" si="5"/>
        <v>7.4</v>
      </c>
      <c r="AC7" s="2">
        <v>50.0</v>
      </c>
      <c r="AD7" s="2">
        <v>320.0</v>
      </c>
      <c r="AF7" s="3">
        <f t="shared" si="6"/>
        <v>9.25</v>
      </c>
      <c r="AG7" s="4">
        <f t="shared" si="7"/>
        <v>36.46944444</v>
      </c>
      <c r="AH7" s="2" t="s">
        <v>96</v>
      </c>
    </row>
    <row r="8">
      <c r="A8" s="1" t="s">
        <v>781</v>
      </c>
      <c r="B8" s="1" t="s">
        <v>782</v>
      </c>
      <c r="C8" s="2" t="s">
        <v>783</v>
      </c>
      <c r="D8" s="2">
        <f>VLOOKUP(B8, 'ME-Subhashree'!$B$2:$F$56,5)</f>
        <v>34</v>
      </c>
      <c r="E8" s="2">
        <v>22.0</v>
      </c>
      <c r="F8" s="2">
        <f t="shared" si="1"/>
        <v>28</v>
      </c>
      <c r="I8" s="2">
        <v>-1.0</v>
      </c>
      <c r="J8" s="3">
        <f t="shared" si="2"/>
        <v>-0.1111111111</v>
      </c>
      <c r="L8" s="2">
        <v>175.0</v>
      </c>
      <c r="N8" s="3">
        <f t="shared" si="3"/>
        <v>175</v>
      </c>
      <c r="P8" s="2">
        <f t="shared" si="4"/>
        <v>4.375</v>
      </c>
      <c r="Q8" s="2">
        <v>7.0</v>
      </c>
      <c r="R8" s="2">
        <v>9.0</v>
      </c>
      <c r="S8" s="2">
        <v>0.0</v>
      </c>
      <c r="T8" s="2">
        <v>12.0</v>
      </c>
      <c r="V8" s="2">
        <v>13.5</v>
      </c>
      <c r="W8" s="2">
        <v>17.0</v>
      </c>
      <c r="X8" s="2">
        <v>27.14</v>
      </c>
      <c r="AB8" s="2">
        <f t="shared" si="5"/>
        <v>4.282</v>
      </c>
      <c r="AF8" s="3">
        <f t="shared" si="6"/>
        <v>0</v>
      </c>
      <c r="AG8" s="4">
        <f t="shared" si="7"/>
        <v>36.54588889</v>
      </c>
      <c r="AH8" s="2" t="s">
        <v>222</v>
      </c>
    </row>
    <row r="9">
      <c r="A9" s="1" t="s">
        <v>219</v>
      </c>
      <c r="B9" s="1" t="s">
        <v>220</v>
      </c>
      <c r="C9" s="2" t="s">
        <v>221</v>
      </c>
      <c r="D9" s="2">
        <f>VLOOKUP(B9,'DSAI-Vikrant'!$B$2:$F$44,5)</f>
        <v>4</v>
      </c>
      <c r="E9" s="2">
        <v>6.0</v>
      </c>
      <c r="F9" s="2">
        <f t="shared" si="1"/>
        <v>5</v>
      </c>
      <c r="G9" s="2">
        <v>4.0</v>
      </c>
      <c r="H9" s="2">
        <v>7.5</v>
      </c>
      <c r="I9" s="2">
        <v>4.0</v>
      </c>
      <c r="J9" s="3">
        <f t="shared" si="2"/>
        <v>3.319444444</v>
      </c>
      <c r="K9" s="2">
        <v>93.0</v>
      </c>
      <c r="L9" s="2">
        <v>121.0</v>
      </c>
      <c r="N9" s="3">
        <f t="shared" si="3"/>
        <v>121</v>
      </c>
      <c r="O9" s="2">
        <v>98.0</v>
      </c>
      <c r="P9" s="2">
        <f t="shared" si="4"/>
        <v>12.575</v>
      </c>
      <c r="Q9" s="2">
        <v>6.0</v>
      </c>
      <c r="R9" s="2">
        <v>5.0</v>
      </c>
      <c r="S9" s="2">
        <v>6.0</v>
      </c>
      <c r="T9" s="2">
        <v>0.0</v>
      </c>
      <c r="U9" s="2">
        <v>14.0</v>
      </c>
      <c r="V9" s="2">
        <v>14.0</v>
      </c>
      <c r="W9" s="2">
        <v>18.0</v>
      </c>
      <c r="X9" s="2">
        <v>30.0</v>
      </c>
      <c r="Y9" s="2">
        <v>30.0</v>
      </c>
      <c r="Z9" s="2">
        <v>27.0</v>
      </c>
      <c r="AA9" s="2">
        <v>28.0</v>
      </c>
      <c r="AB9" s="2">
        <f t="shared" si="5"/>
        <v>8.9</v>
      </c>
      <c r="AC9" s="2">
        <v>0.0</v>
      </c>
      <c r="AD9" s="2">
        <v>300.0</v>
      </c>
      <c r="AF9" s="3">
        <f t="shared" si="6"/>
        <v>7.5</v>
      </c>
      <c r="AG9" s="4">
        <f t="shared" si="7"/>
        <v>37.29444444</v>
      </c>
      <c r="AH9" s="2" t="s">
        <v>96</v>
      </c>
    </row>
    <row r="10">
      <c r="A10" s="1" t="s">
        <v>297</v>
      </c>
      <c r="B10" s="1" t="s">
        <v>298</v>
      </c>
      <c r="C10" s="2" t="s">
        <v>299</v>
      </c>
      <c r="D10" s="2">
        <f>VLOOKUP(B10,'DSAI-Vikrant'!$B$2:$F$44,5)</f>
        <v>15</v>
      </c>
      <c r="E10" s="2">
        <v>18.0</v>
      </c>
      <c r="F10" s="2">
        <f t="shared" si="1"/>
        <v>16.5</v>
      </c>
      <c r="G10" s="2">
        <v>7.0</v>
      </c>
      <c r="H10" s="2">
        <v>0.0</v>
      </c>
      <c r="I10" s="2">
        <v>5.5</v>
      </c>
      <c r="J10" s="3">
        <f t="shared" si="2"/>
        <v>2.361111111</v>
      </c>
      <c r="K10" s="2">
        <v>30.0</v>
      </c>
      <c r="L10" s="2">
        <v>165.0</v>
      </c>
      <c r="N10" s="3">
        <f t="shared" si="3"/>
        <v>165</v>
      </c>
      <c r="O10" s="2">
        <v>0.0</v>
      </c>
      <c r="P10" s="2">
        <f t="shared" si="4"/>
        <v>5.625</v>
      </c>
      <c r="R10" s="2">
        <v>4.0</v>
      </c>
      <c r="S10" s="2">
        <v>8.0</v>
      </c>
      <c r="T10" s="2">
        <v>4.0</v>
      </c>
      <c r="U10" s="2">
        <v>15.0</v>
      </c>
      <c r="V10" s="2">
        <v>15.0</v>
      </c>
      <c r="W10" s="2">
        <v>15.0</v>
      </c>
      <c r="X10" s="2">
        <v>0.0</v>
      </c>
      <c r="Y10" s="2">
        <v>0.0</v>
      </c>
      <c r="Z10" s="2">
        <v>30.0</v>
      </c>
      <c r="AA10" s="2">
        <v>26.0</v>
      </c>
      <c r="AB10" s="2">
        <f t="shared" si="5"/>
        <v>5.85</v>
      </c>
      <c r="AC10" s="2">
        <v>10.0</v>
      </c>
      <c r="AD10" s="2">
        <v>310.0</v>
      </c>
      <c r="AF10" s="3">
        <f t="shared" si="6"/>
        <v>8</v>
      </c>
      <c r="AG10" s="4">
        <f t="shared" si="7"/>
        <v>38.33611111</v>
      </c>
      <c r="AH10" s="2" t="s">
        <v>222</v>
      </c>
    </row>
    <row r="11">
      <c r="A11" s="1" t="s">
        <v>740</v>
      </c>
      <c r="B11" s="1" t="s">
        <v>741</v>
      </c>
      <c r="C11" s="2" t="s">
        <v>742</v>
      </c>
      <c r="D11" s="2">
        <f>VLOOKUP(B11, 'ME-Subhashree'!$B$2:$F$56,5)</f>
        <v>6</v>
      </c>
      <c r="E11" s="2">
        <v>6.0</v>
      </c>
      <c r="F11" s="2">
        <f t="shared" si="1"/>
        <v>6</v>
      </c>
      <c r="G11" s="2">
        <v>3.0</v>
      </c>
      <c r="H11" s="2">
        <v>1.0</v>
      </c>
      <c r="I11" s="2">
        <v>40.0</v>
      </c>
      <c r="J11" s="3">
        <f t="shared" si="2"/>
        <v>5.444444444</v>
      </c>
      <c r="K11" s="2">
        <v>100.0</v>
      </c>
      <c r="L11" s="2">
        <v>100.0</v>
      </c>
      <c r="N11" s="3">
        <f t="shared" si="3"/>
        <v>100</v>
      </c>
      <c r="O11" s="2">
        <v>100.0</v>
      </c>
      <c r="P11" s="2">
        <f t="shared" si="4"/>
        <v>12.5</v>
      </c>
      <c r="Q11" s="2">
        <v>6.0</v>
      </c>
      <c r="R11" s="2">
        <v>4.0</v>
      </c>
      <c r="S11" s="2">
        <v>10.0</v>
      </c>
      <c r="T11" s="2">
        <v>10.0</v>
      </c>
      <c r="U11" s="2">
        <v>15.0</v>
      </c>
      <c r="V11" s="2">
        <v>15.0</v>
      </c>
      <c r="W11" s="2">
        <v>20.0</v>
      </c>
      <c r="X11" s="2">
        <v>30.0</v>
      </c>
      <c r="Y11" s="2">
        <v>30.0</v>
      </c>
      <c r="AA11" s="2">
        <v>28.0</v>
      </c>
      <c r="AB11" s="2">
        <f t="shared" si="5"/>
        <v>8.4</v>
      </c>
      <c r="AC11" s="2">
        <v>40.0</v>
      </c>
      <c r="AD11" s="2">
        <v>330.0</v>
      </c>
      <c r="AF11" s="3">
        <f t="shared" si="6"/>
        <v>9.25</v>
      </c>
      <c r="AG11" s="4">
        <f t="shared" si="7"/>
        <v>41.59444444</v>
      </c>
      <c r="AH11" s="2" t="s">
        <v>96</v>
      </c>
    </row>
    <row r="12">
      <c r="A12" s="1" t="s">
        <v>775</v>
      </c>
      <c r="B12" s="1" t="s">
        <v>776</v>
      </c>
      <c r="C12" s="2" t="s">
        <v>777</v>
      </c>
      <c r="D12" s="2">
        <f>VLOOKUP(B12, 'ME-Subhashree'!$B$2:$F$56,5)</f>
        <v>19</v>
      </c>
      <c r="E12" s="2">
        <v>13.0</v>
      </c>
      <c r="F12" s="2">
        <f t="shared" si="1"/>
        <v>16</v>
      </c>
      <c r="G12" s="2">
        <v>6.5</v>
      </c>
      <c r="I12" s="2">
        <v>4.0</v>
      </c>
      <c r="J12" s="3">
        <f t="shared" si="2"/>
        <v>2.069444444</v>
      </c>
      <c r="K12" s="2">
        <v>85.0</v>
      </c>
      <c r="L12" s="2">
        <v>180.0</v>
      </c>
      <c r="N12" s="3">
        <f t="shared" si="3"/>
        <v>180</v>
      </c>
      <c r="P12" s="2">
        <f t="shared" si="4"/>
        <v>8.75</v>
      </c>
      <c r="Q12" s="2">
        <v>3.0</v>
      </c>
      <c r="R12" s="2">
        <v>5.0</v>
      </c>
      <c r="S12" s="2">
        <v>13.0</v>
      </c>
      <c r="T12" s="2">
        <v>0.0</v>
      </c>
      <c r="W12" s="2">
        <v>7.0</v>
      </c>
      <c r="X12" s="2">
        <v>25.62</v>
      </c>
      <c r="Z12" s="2">
        <v>27.0</v>
      </c>
      <c r="AA12" s="2">
        <v>27.0</v>
      </c>
      <c r="AB12" s="2">
        <f t="shared" si="5"/>
        <v>5.381</v>
      </c>
      <c r="AC12" s="2">
        <v>49.0</v>
      </c>
      <c r="AD12" s="2">
        <v>340.0</v>
      </c>
      <c r="AF12" s="3">
        <f t="shared" si="6"/>
        <v>9.725</v>
      </c>
      <c r="AG12" s="4">
        <f t="shared" si="7"/>
        <v>41.92544444</v>
      </c>
      <c r="AH12" s="2" t="s">
        <v>222</v>
      </c>
    </row>
    <row r="13">
      <c r="A13" s="2" t="s">
        <v>1010</v>
      </c>
      <c r="B13" s="2" t="s">
        <v>1011</v>
      </c>
      <c r="C13" s="2" t="s">
        <v>1012</v>
      </c>
      <c r="D13" s="2">
        <f>VLOOKUP(B13, 'MSC-Vikrant'!B7:F18,5)</f>
        <v>11</v>
      </c>
      <c r="E13" s="2">
        <v>11.0</v>
      </c>
      <c r="F13" s="2">
        <f t="shared" si="1"/>
        <v>11</v>
      </c>
      <c r="G13" s="2">
        <v>11.0</v>
      </c>
      <c r="H13" s="2">
        <v>4.0</v>
      </c>
      <c r="I13" s="2">
        <v>3.5</v>
      </c>
      <c r="J13" s="3">
        <f t="shared" si="2"/>
        <v>4.138888889</v>
      </c>
      <c r="K13" s="2">
        <v>70.0</v>
      </c>
      <c r="L13" s="2">
        <v>162.0</v>
      </c>
      <c r="M13" s="2">
        <v>165.0</v>
      </c>
      <c r="N13" s="3">
        <f t="shared" si="3"/>
        <v>165</v>
      </c>
      <c r="O13" s="2">
        <v>92.0</v>
      </c>
      <c r="P13" s="2">
        <f t="shared" si="4"/>
        <v>12.225</v>
      </c>
      <c r="Q13" s="2">
        <v>5.0</v>
      </c>
      <c r="S13" s="2">
        <v>4.0</v>
      </c>
      <c r="T13" s="2">
        <v>5.0</v>
      </c>
      <c r="U13" s="2">
        <v>15.0</v>
      </c>
      <c r="V13" s="2">
        <v>12.0</v>
      </c>
      <c r="W13" s="2">
        <v>15.0</v>
      </c>
      <c r="X13" s="2">
        <v>28.0</v>
      </c>
      <c r="Y13" s="2">
        <v>18.0</v>
      </c>
      <c r="Z13" s="2">
        <v>29.0</v>
      </c>
      <c r="AB13" s="2">
        <f t="shared" si="5"/>
        <v>6.55</v>
      </c>
      <c r="AC13" s="2">
        <v>50.0</v>
      </c>
      <c r="AD13" s="2">
        <v>280.0</v>
      </c>
      <c r="AF13" s="3">
        <f t="shared" si="6"/>
        <v>8.25</v>
      </c>
      <c r="AG13" s="4">
        <f t="shared" si="7"/>
        <v>42.16388889</v>
      </c>
      <c r="AH13" s="2" t="s">
        <v>96</v>
      </c>
    </row>
    <row r="14">
      <c r="A14" s="1" t="s">
        <v>749</v>
      </c>
      <c r="B14" s="1" t="s">
        <v>750</v>
      </c>
      <c r="C14" s="2" t="s">
        <v>751</v>
      </c>
      <c r="D14" s="2">
        <f>VLOOKUP(B14, 'ME-Subhashree'!$B$2:$F$56,5)</f>
        <v>27</v>
      </c>
      <c r="E14" s="2">
        <v>29.0</v>
      </c>
      <c r="F14" s="2">
        <f t="shared" si="1"/>
        <v>28</v>
      </c>
      <c r="G14" s="2">
        <v>5.0</v>
      </c>
      <c r="H14" s="2">
        <v>6.0</v>
      </c>
      <c r="I14" s="2">
        <v>14.0</v>
      </c>
      <c r="J14" s="3">
        <f t="shared" si="2"/>
        <v>4.305555556</v>
      </c>
      <c r="K14" s="2">
        <v>70.0</v>
      </c>
      <c r="L14" s="2">
        <v>179.0</v>
      </c>
      <c r="N14" s="3">
        <f t="shared" si="3"/>
        <v>179</v>
      </c>
      <c r="P14" s="2">
        <f t="shared" si="4"/>
        <v>7.975</v>
      </c>
      <c r="Q14" s="2">
        <v>7.0</v>
      </c>
      <c r="R14" s="2">
        <v>7.0</v>
      </c>
      <c r="S14" s="2">
        <v>10.0</v>
      </c>
      <c r="T14" s="2">
        <v>10.0</v>
      </c>
      <c r="V14" s="2">
        <v>13.0</v>
      </c>
      <c r="W14" s="2">
        <v>17.0</v>
      </c>
      <c r="AB14" s="2">
        <f t="shared" si="5"/>
        <v>3.2</v>
      </c>
      <c r="AF14" s="3">
        <f t="shared" si="6"/>
        <v>0</v>
      </c>
      <c r="AG14" s="4">
        <f t="shared" si="7"/>
        <v>43.48055556</v>
      </c>
      <c r="AH14" s="2" t="s">
        <v>222</v>
      </c>
    </row>
    <row r="15">
      <c r="A15" s="1" t="s">
        <v>617</v>
      </c>
      <c r="B15" s="1" t="s">
        <v>618</v>
      </c>
      <c r="C15" s="2" t="s">
        <v>619</v>
      </c>
      <c r="E15" s="2">
        <v>28.0</v>
      </c>
      <c r="F15" s="2">
        <f t="shared" si="1"/>
        <v>14</v>
      </c>
      <c r="G15" s="2">
        <v>15.0</v>
      </c>
      <c r="H15" s="2">
        <v>9.0</v>
      </c>
      <c r="I15" s="2">
        <v>0.0</v>
      </c>
      <c r="J15" s="3">
        <f t="shared" si="2"/>
        <v>6</v>
      </c>
      <c r="K15" s="2">
        <v>90.0</v>
      </c>
      <c r="L15" s="2">
        <v>185.0</v>
      </c>
      <c r="N15" s="3">
        <f t="shared" si="3"/>
        <v>185</v>
      </c>
      <c r="O15" s="2">
        <v>100.0</v>
      </c>
      <c r="P15" s="2">
        <f t="shared" si="4"/>
        <v>14.125</v>
      </c>
      <c r="Q15" s="2">
        <v>7.0</v>
      </c>
      <c r="R15" s="2">
        <v>10.0</v>
      </c>
      <c r="S15" s="2">
        <v>12.0</v>
      </c>
      <c r="T15" s="2">
        <v>12.0</v>
      </c>
      <c r="U15" s="2">
        <v>14.0</v>
      </c>
      <c r="V15" s="2">
        <v>14.0</v>
      </c>
      <c r="W15" s="2">
        <v>20.0</v>
      </c>
      <c r="X15" s="2">
        <v>29.0</v>
      </c>
      <c r="Y15" s="2">
        <v>28.0</v>
      </c>
      <c r="Z15" s="2">
        <v>29.0</v>
      </c>
      <c r="AB15" s="2">
        <f t="shared" si="5"/>
        <v>8.75</v>
      </c>
      <c r="AC15" s="2">
        <v>30.0</v>
      </c>
      <c r="AD15" s="2">
        <v>0.0</v>
      </c>
      <c r="AF15" s="3">
        <f t="shared" si="6"/>
        <v>0.75</v>
      </c>
      <c r="AG15" s="4">
        <f t="shared" si="7"/>
        <v>43.625</v>
      </c>
      <c r="AH15" s="2" t="s">
        <v>6</v>
      </c>
    </row>
    <row r="16">
      <c r="A16" s="1" t="s">
        <v>309</v>
      </c>
      <c r="B16" s="1" t="s">
        <v>310</v>
      </c>
      <c r="C16" s="2" t="s">
        <v>311</v>
      </c>
      <c r="D16" s="2">
        <f>VLOOKUP(B16,'DSAI-Vikrant'!$B$2:$F$44,5)</f>
        <v>30</v>
      </c>
      <c r="E16" s="2">
        <v>3.0</v>
      </c>
      <c r="F16" s="2">
        <f t="shared" si="1"/>
        <v>16.5</v>
      </c>
      <c r="H16" s="2">
        <v>11.0</v>
      </c>
      <c r="I16" s="2">
        <v>10.0</v>
      </c>
      <c r="J16" s="3">
        <f t="shared" si="2"/>
        <v>3.861111111</v>
      </c>
      <c r="K16" s="2">
        <v>100.0</v>
      </c>
      <c r="L16" s="2">
        <v>100.0</v>
      </c>
      <c r="N16" s="3">
        <f t="shared" si="3"/>
        <v>100</v>
      </c>
      <c r="O16" s="2">
        <v>80.0</v>
      </c>
      <c r="P16" s="2">
        <f t="shared" si="4"/>
        <v>11.5</v>
      </c>
      <c r="Q16" s="2">
        <v>7.0</v>
      </c>
      <c r="R16" s="2">
        <v>4.0</v>
      </c>
      <c r="S16" s="2">
        <v>8.0</v>
      </c>
      <c r="T16" s="2">
        <v>7.0</v>
      </c>
      <c r="U16" s="2">
        <v>15.0</v>
      </c>
      <c r="V16" s="2">
        <v>15.0</v>
      </c>
      <c r="W16" s="2">
        <v>19.0</v>
      </c>
      <c r="X16" s="2">
        <v>0.0</v>
      </c>
      <c r="Y16" s="2">
        <v>0.0</v>
      </c>
      <c r="Z16" s="2">
        <v>30.0</v>
      </c>
      <c r="AA16" s="2">
        <v>28.0</v>
      </c>
      <c r="AB16" s="2">
        <f t="shared" si="5"/>
        <v>6.65</v>
      </c>
      <c r="AC16" s="2">
        <v>30.0</v>
      </c>
      <c r="AD16" s="2">
        <v>335.0</v>
      </c>
      <c r="AF16" s="3">
        <f t="shared" si="6"/>
        <v>9.125</v>
      </c>
      <c r="AG16" s="4">
        <f t="shared" si="7"/>
        <v>47.63611111</v>
      </c>
      <c r="AH16" s="2" t="s">
        <v>59</v>
      </c>
    </row>
    <row r="17">
      <c r="A17" s="1" t="s">
        <v>1016</v>
      </c>
      <c r="B17" s="1" t="s">
        <v>1017</v>
      </c>
      <c r="C17" s="2" t="s">
        <v>1018</v>
      </c>
      <c r="D17" s="2">
        <f>VLOOKUP(B17, 'MSC-Vikrant'!B9:F20,5)</f>
        <v>21</v>
      </c>
      <c r="E17" s="2">
        <v>13.0</v>
      </c>
      <c r="F17" s="2">
        <f t="shared" si="1"/>
        <v>17</v>
      </c>
      <c r="G17" s="2">
        <v>9.0</v>
      </c>
      <c r="H17" s="2">
        <v>1.0</v>
      </c>
      <c r="I17" s="2">
        <v>6.5</v>
      </c>
      <c r="J17" s="3">
        <f t="shared" si="2"/>
        <v>3.222222222</v>
      </c>
      <c r="K17" s="2">
        <v>80.0</v>
      </c>
      <c r="L17" s="2">
        <v>154.0</v>
      </c>
      <c r="N17" s="3">
        <f t="shared" si="3"/>
        <v>154</v>
      </c>
      <c r="O17" s="2">
        <v>91.0</v>
      </c>
      <c r="P17" s="2">
        <f t="shared" si="4"/>
        <v>12.4</v>
      </c>
      <c r="R17" s="2">
        <v>7.0</v>
      </c>
      <c r="T17" s="2">
        <v>0.0</v>
      </c>
      <c r="U17" s="2">
        <v>15.0</v>
      </c>
      <c r="V17" s="2">
        <v>10.0</v>
      </c>
      <c r="W17" s="2">
        <v>12.0</v>
      </c>
      <c r="X17" s="2">
        <v>29.0</v>
      </c>
      <c r="Y17" s="2">
        <v>27.0</v>
      </c>
      <c r="Z17" s="2">
        <v>28.0</v>
      </c>
      <c r="AB17" s="2">
        <f t="shared" si="5"/>
        <v>6.4</v>
      </c>
      <c r="AC17" s="2">
        <v>50.0</v>
      </c>
      <c r="AD17" s="2">
        <v>300.0</v>
      </c>
      <c r="AF17" s="3">
        <f t="shared" si="6"/>
        <v>8.75</v>
      </c>
      <c r="AG17" s="4">
        <f t="shared" si="7"/>
        <v>47.77222222</v>
      </c>
      <c r="AH17" s="2" t="s">
        <v>59</v>
      </c>
    </row>
    <row r="18">
      <c r="A18" s="1" t="s">
        <v>357</v>
      </c>
      <c r="B18" s="1" t="s">
        <v>358</v>
      </c>
      <c r="C18" s="2" t="s">
        <v>359</v>
      </c>
      <c r="D18" s="2">
        <f>VLOOKUP(B18,'EC-Nitin'!$B$2:$F$46,5)</f>
        <v>13</v>
      </c>
      <c r="E18" s="2">
        <v>10.0</v>
      </c>
      <c r="F18" s="2">
        <f t="shared" si="1"/>
        <v>11.5</v>
      </c>
      <c r="G18" s="2">
        <v>9.0</v>
      </c>
      <c r="H18" s="2">
        <v>10.0</v>
      </c>
      <c r="I18" s="2">
        <v>17.0</v>
      </c>
      <c r="J18" s="3">
        <f t="shared" si="2"/>
        <v>6.638888889</v>
      </c>
      <c r="K18" s="2">
        <v>80.0</v>
      </c>
      <c r="L18" s="2">
        <v>100.0</v>
      </c>
      <c r="N18" s="3">
        <f t="shared" si="3"/>
        <v>100</v>
      </c>
      <c r="O18" s="2">
        <v>90.0</v>
      </c>
      <c r="P18" s="2">
        <f t="shared" si="4"/>
        <v>11</v>
      </c>
      <c r="R18" s="2">
        <v>7.0</v>
      </c>
      <c r="S18" s="2">
        <v>13.0</v>
      </c>
      <c r="T18" s="2">
        <v>11.0</v>
      </c>
      <c r="U18" s="2">
        <v>14.0</v>
      </c>
      <c r="V18" s="2">
        <v>14.0</v>
      </c>
      <c r="W18" s="2">
        <v>20.0</v>
      </c>
      <c r="X18" s="2">
        <v>30.0</v>
      </c>
      <c r="Y18" s="2">
        <v>30.0</v>
      </c>
      <c r="Z18" s="2">
        <v>29.0</v>
      </c>
      <c r="AA18" s="2">
        <v>28.0</v>
      </c>
      <c r="AB18" s="2">
        <f t="shared" si="5"/>
        <v>9.8</v>
      </c>
      <c r="AC18" s="2">
        <v>50.0</v>
      </c>
      <c r="AD18" s="2">
        <v>330.0</v>
      </c>
      <c r="AF18" s="3">
        <f t="shared" si="6"/>
        <v>9.5</v>
      </c>
      <c r="AG18" s="4">
        <f t="shared" si="7"/>
        <v>48.43888889</v>
      </c>
      <c r="AH18" s="2" t="s">
        <v>96</v>
      </c>
    </row>
    <row r="19">
      <c r="A19" s="1" t="s">
        <v>143</v>
      </c>
      <c r="B19" s="1" t="s">
        <v>144</v>
      </c>
      <c r="C19" s="2" t="s">
        <v>145</v>
      </c>
      <c r="D19" s="2">
        <f>VLOOKUP(B19, 'CSE-Sandeep'!$B$2:$G$61,5)</f>
        <v>15</v>
      </c>
      <c r="E19" s="2">
        <v>6.0</v>
      </c>
      <c r="F19" s="2">
        <f t="shared" si="1"/>
        <v>10.5</v>
      </c>
      <c r="G19" s="2">
        <v>5.0</v>
      </c>
      <c r="H19" s="2">
        <v>15.0</v>
      </c>
      <c r="I19" s="2">
        <v>20.0</v>
      </c>
      <c r="J19" s="3">
        <f t="shared" si="2"/>
        <v>7.222222222</v>
      </c>
      <c r="K19" s="2">
        <v>100.0</v>
      </c>
      <c r="L19" s="2">
        <v>180.0</v>
      </c>
      <c r="N19" s="3">
        <f t="shared" si="3"/>
        <v>180</v>
      </c>
      <c r="O19" s="2">
        <v>92.0</v>
      </c>
      <c r="P19" s="2">
        <f t="shared" si="4"/>
        <v>14.1</v>
      </c>
      <c r="R19" s="2">
        <v>0.0</v>
      </c>
      <c r="T19" s="2">
        <v>11.0</v>
      </c>
      <c r="U19" s="2">
        <v>12.0</v>
      </c>
      <c r="V19" s="2">
        <v>15.0</v>
      </c>
      <c r="W19" s="2">
        <v>18.0</v>
      </c>
      <c r="X19" s="2">
        <v>26.0</v>
      </c>
      <c r="Y19" s="2">
        <v>25.0</v>
      </c>
      <c r="Z19" s="2">
        <v>28.0</v>
      </c>
      <c r="AA19" s="2">
        <v>28.0</v>
      </c>
      <c r="AB19" s="2">
        <f t="shared" si="5"/>
        <v>8.15</v>
      </c>
      <c r="AC19" s="2">
        <v>40.0</v>
      </c>
      <c r="AD19" s="2">
        <v>310.0</v>
      </c>
      <c r="AF19" s="3">
        <f t="shared" si="6"/>
        <v>8.75</v>
      </c>
      <c r="AG19" s="4">
        <f t="shared" si="7"/>
        <v>48.72222222</v>
      </c>
      <c r="AH19" s="2" t="s">
        <v>96</v>
      </c>
    </row>
    <row r="20">
      <c r="A20" s="1" t="s">
        <v>94</v>
      </c>
      <c r="B20" s="1" t="s">
        <v>95</v>
      </c>
      <c r="C20" s="2" t="s">
        <v>97</v>
      </c>
      <c r="D20" s="2">
        <f>VLOOKUP(B20, 'CSE-Sandeep'!$B$2:$G$61,5)</f>
        <v>18</v>
      </c>
      <c r="E20" s="2">
        <v>4.0</v>
      </c>
      <c r="F20" s="2">
        <f t="shared" si="1"/>
        <v>11</v>
      </c>
      <c r="G20" s="2">
        <v>3.5</v>
      </c>
      <c r="H20" s="2">
        <v>8.5</v>
      </c>
      <c r="I20" s="2">
        <v>30.0</v>
      </c>
      <c r="J20" s="3">
        <f t="shared" si="2"/>
        <v>6.333333333</v>
      </c>
      <c r="K20" s="2">
        <v>85.0</v>
      </c>
      <c r="L20" s="2">
        <v>145.0</v>
      </c>
      <c r="N20" s="3">
        <f t="shared" si="3"/>
        <v>145</v>
      </c>
      <c r="O20" s="2">
        <v>100.0</v>
      </c>
      <c r="P20" s="2">
        <f t="shared" si="4"/>
        <v>12.875</v>
      </c>
      <c r="Q20" s="2">
        <v>6.0</v>
      </c>
      <c r="R20" s="2">
        <v>6.0</v>
      </c>
      <c r="S20" s="2">
        <v>7.0</v>
      </c>
      <c r="T20" s="2">
        <v>11.0</v>
      </c>
      <c r="U20" s="2">
        <v>2.0</v>
      </c>
      <c r="V20" s="2">
        <v>8.0</v>
      </c>
      <c r="W20" s="2">
        <v>20.0</v>
      </c>
      <c r="X20" s="2">
        <v>30.0</v>
      </c>
      <c r="Y20" s="2">
        <v>30.0</v>
      </c>
      <c r="Z20" s="2">
        <v>28.0</v>
      </c>
      <c r="AA20" s="2">
        <v>28.0</v>
      </c>
      <c r="AB20" s="2">
        <f t="shared" si="5"/>
        <v>8.8</v>
      </c>
      <c r="AC20" s="2">
        <v>40.0</v>
      </c>
      <c r="AD20" s="2">
        <v>350.0</v>
      </c>
      <c r="AF20" s="3">
        <f t="shared" si="6"/>
        <v>9.75</v>
      </c>
      <c r="AG20" s="4">
        <f t="shared" si="7"/>
        <v>48.75833333</v>
      </c>
      <c r="AH20" s="2" t="s">
        <v>96</v>
      </c>
    </row>
    <row r="21">
      <c r="A21" s="1" t="s">
        <v>265</v>
      </c>
      <c r="B21" s="1" t="s">
        <v>266</v>
      </c>
      <c r="C21" s="2" t="s">
        <v>267</v>
      </c>
      <c r="D21" s="2">
        <f>VLOOKUP(B21,'DSAI-Vikrant'!$B$2:$F$44,5)</f>
        <v>20</v>
      </c>
      <c r="E21" s="2">
        <v>11.0</v>
      </c>
      <c r="F21" s="2">
        <f t="shared" si="1"/>
        <v>15.5</v>
      </c>
      <c r="G21" s="2">
        <v>6.0</v>
      </c>
      <c r="H21" s="2">
        <v>5.0</v>
      </c>
      <c r="I21" s="2">
        <v>0.0</v>
      </c>
      <c r="J21" s="3">
        <f t="shared" si="2"/>
        <v>2.75</v>
      </c>
      <c r="K21" s="2">
        <v>90.0</v>
      </c>
      <c r="L21" s="2">
        <v>160.0</v>
      </c>
      <c r="N21" s="3">
        <f t="shared" si="3"/>
        <v>160</v>
      </c>
      <c r="O21" s="2">
        <v>94.0</v>
      </c>
      <c r="P21" s="2">
        <f t="shared" si="4"/>
        <v>13.2</v>
      </c>
      <c r="Q21" s="2">
        <v>7.0</v>
      </c>
      <c r="R21" s="2">
        <v>6.0</v>
      </c>
      <c r="S21" s="2">
        <v>7.0</v>
      </c>
      <c r="T21" s="2">
        <v>7.0</v>
      </c>
      <c r="U21" s="2">
        <v>13.0</v>
      </c>
      <c r="V21" s="2">
        <v>12.0</v>
      </c>
      <c r="W21" s="2">
        <v>17.0</v>
      </c>
      <c r="X21" s="2">
        <v>22.0</v>
      </c>
      <c r="Y21" s="2">
        <v>26.0</v>
      </c>
      <c r="Z21" s="2">
        <v>28.0</v>
      </c>
      <c r="AA21" s="2">
        <v>28.0</v>
      </c>
      <c r="AB21" s="2">
        <f t="shared" si="5"/>
        <v>8.65</v>
      </c>
      <c r="AC21" s="2">
        <v>50.0</v>
      </c>
      <c r="AD21" s="2">
        <v>300.0</v>
      </c>
      <c r="AF21" s="3">
        <f t="shared" si="6"/>
        <v>8.75</v>
      </c>
      <c r="AG21" s="4">
        <f t="shared" si="7"/>
        <v>48.85</v>
      </c>
      <c r="AH21" s="2" t="s">
        <v>59</v>
      </c>
    </row>
    <row r="22">
      <c r="A22" s="1" t="s">
        <v>57</v>
      </c>
      <c r="B22" s="1" t="s">
        <v>58</v>
      </c>
      <c r="C22" s="2" t="s">
        <v>60</v>
      </c>
      <c r="D22" s="2">
        <f>VLOOKUP(B22, 'CSE-Sandeep'!$B$2:$G$61,5)</f>
        <v>21</v>
      </c>
      <c r="E22" s="2">
        <v>11.0</v>
      </c>
      <c r="F22" s="2">
        <f t="shared" si="1"/>
        <v>16</v>
      </c>
      <c r="G22" s="2">
        <v>6.0</v>
      </c>
      <c r="H22" s="2">
        <v>6.0</v>
      </c>
      <c r="I22" s="2">
        <v>18.0</v>
      </c>
      <c r="J22" s="3">
        <f t="shared" si="2"/>
        <v>5</v>
      </c>
      <c r="K22" s="2">
        <v>87.0</v>
      </c>
      <c r="L22" s="2">
        <v>180.0</v>
      </c>
      <c r="N22" s="3">
        <f t="shared" si="3"/>
        <v>180</v>
      </c>
      <c r="O22" s="2">
        <v>85.0</v>
      </c>
      <c r="P22" s="2">
        <f t="shared" si="4"/>
        <v>13.1</v>
      </c>
      <c r="Q22" s="2">
        <v>5.0</v>
      </c>
      <c r="R22" s="2">
        <v>4.0</v>
      </c>
      <c r="S22" s="2">
        <v>15.0</v>
      </c>
      <c r="T22" s="2">
        <v>5.0</v>
      </c>
      <c r="U22" s="2">
        <v>5.0</v>
      </c>
      <c r="V22" s="2">
        <v>14.0</v>
      </c>
      <c r="W22" s="2">
        <v>0.0</v>
      </c>
      <c r="X22" s="2">
        <v>30.0</v>
      </c>
      <c r="Z22" s="2">
        <v>28.0</v>
      </c>
      <c r="AB22" s="2">
        <f t="shared" si="5"/>
        <v>5.3</v>
      </c>
      <c r="AC22" s="2">
        <v>50.0</v>
      </c>
      <c r="AD22" s="2">
        <v>330.0</v>
      </c>
      <c r="AF22" s="3">
        <f t="shared" si="6"/>
        <v>9.5</v>
      </c>
      <c r="AG22" s="4">
        <f t="shared" si="7"/>
        <v>48.9</v>
      </c>
      <c r="AH22" s="2" t="s">
        <v>59</v>
      </c>
    </row>
    <row r="23">
      <c r="A23" s="6" t="s">
        <v>928</v>
      </c>
      <c r="B23" s="1" t="s">
        <v>929</v>
      </c>
      <c r="C23" s="2" t="s">
        <v>930</v>
      </c>
      <c r="D23" s="2">
        <f>VLOOKUP(B23,MT!$B$2:$F$30,5)</f>
        <v>28</v>
      </c>
      <c r="F23" s="2">
        <f t="shared" si="1"/>
        <v>14</v>
      </c>
      <c r="G23" s="2">
        <v>0.0</v>
      </c>
      <c r="H23" s="2">
        <v>6.5</v>
      </c>
      <c r="I23" s="2">
        <v>17.0</v>
      </c>
      <c r="J23" s="3">
        <f t="shared" si="2"/>
        <v>3.513888889</v>
      </c>
      <c r="K23" s="2">
        <v>90.0</v>
      </c>
      <c r="L23" s="2">
        <v>192.0</v>
      </c>
      <c r="N23" s="3">
        <f t="shared" si="3"/>
        <v>192</v>
      </c>
      <c r="O23" s="2">
        <v>100.0</v>
      </c>
      <c r="P23" s="2">
        <f t="shared" si="4"/>
        <v>14.3</v>
      </c>
      <c r="Q23" s="2">
        <v>6.0</v>
      </c>
      <c r="R23" s="2">
        <v>6.0</v>
      </c>
      <c r="S23" s="2">
        <v>6.0</v>
      </c>
      <c r="U23" s="2">
        <v>15.0</v>
      </c>
      <c r="V23" s="2">
        <v>15.0</v>
      </c>
      <c r="W23" s="2">
        <v>20.0</v>
      </c>
      <c r="X23" s="2">
        <v>27.0</v>
      </c>
      <c r="Y23" s="2">
        <v>28.0</v>
      </c>
      <c r="Z23" s="2">
        <v>28.0</v>
      </c>
      <c r="AA23" s="2">
        <v>29.0</v>
      </c>
      <c r="AB23" s="2">
        <f t="shared" si="5"/>
        <v>9</v>
      </c>
      <c r="AC23" s="2">
        <v>28.0</v>
      </c>
      <c r="AD23" s="2">
        <v>325.0</v>
      </c>
      <c r="AF23" s="3">
        <f t="shared" si="6"/>
        <v>8.825</v>
      </c>
      <c r="AG23" s="4">
        <f t="shared" si="7"/>
        <v>49.63888889</v>
      </c>
      <c r="AH23" s="2" t="s">
        <v>59</v>
      </c>
    </row>
    <row r="24">
      <c r="A24" s="1" t="s">
        <v>494</v>
      </c>
      <c r="B24" s="1" t="s">
        <v>495</v>
      </c>
      <c r="C24" s="2" t="s">
        <v>496</v>
      </c>
      <c r="D24" s="2">
        <f>VLOOKUP(B24, 'EE-Nitin'!$B$2:$F$57,5)</f>
        <v>26</v>
      </c>
      <c r="E24" s="2">
        <v>20.0</v>
      </c>
      <c r="F24" s="2">
        <f t="shared" si="1"/>
        <v>23</v>
      </c>
      <c r="G24" s="2">
        <v>7.0</v>
      </c>
      <c r="H24" s="2">
        <v>0.0</v>
      </c>
      <c r="I24" s="2">
        <v>21.0</v>
      </c>
      <c r="J24" s="3">
        <f t="shared" si="2"/>
        <v>4.083333333</v>
      </c>
      <c r="K24" s="2">
        <v>84.0</v>
      </c>
      <c r="L24" s="2">
        <v>0.0</v>
      </c>
      <c r="N24" s="3">
        <f t="shared" si="3"/>
        <v>0</v>
      </c>
      <c r="O24" s="2">
        <v>97.0</v>
      </c>
      <c r="P24" s="2">
        <f t="shared" si="4"/>
        <v>9.05</v>
      </c>
      <c r="Q24" s="2">
        <v>7.0</v>
      </c>
      <c r="R24" s="2">
        <v>9.0</v>
      </c>
      <c r="S24" s="2">
        <v>7.0</v>
      </c>
      <c r="T24" s="2">
        <v>10.0</v>
      </c>
      <c r="U24" s="2">
        <v>13.0</v>
      </c>
      <c r="V24" s="2">
        <v>12.0</v>
      </c>
      <c r="W24" s="2">
        <v>18.0</v>
      </c>
      <c r="X24" s="2">
        <v>0.0</v>
      </c>
      <c r="Y24" s="2">
        <v>0.0</v>
      </c>
      <c r="Z24" s="2">
        <v>29.0</v>
      </c>
      <c r="AB24" s="2">
        <f t="shared" si="5"/>
        <v>5.25</v>
      </c>
      <c r="AC24" s="2">
        <v>0.0</v>
      </c>
      <c r="AD24" s="2">
        <v>343.0</v>
      </c>
      <c r="AF24" s="3">
        <f t="shared" si="6"/>
        <v>8.575</v>
      </c>
      <c r="AG24" s="4">
        <f t="shared" si="7"/>
        <v>49.95833333</v>
      </c>
      <c r="AH24" s="2" t="s">
        <v>59</v>
      </c>
    </row>
    <row r="25">
      <c r="A25" s="1" t="s">
        <v>360</v>
      </c>
      <c r="B25" s="1" t="s">
        <v>361</v>
      </c>
      <c r="C25" s="2" t="s">
        <v>362</v>
      </c>
      <c r="D25" s="2">
        <f>VLOOKUP(B25,'EC-Nitin'!$B$2:$F$46,5)</f>
        <v>20</v>
      </c>
      <c r="E25" s="2">
        <v>7.0</v>
      </c>
      <c r="F25" s="2">
        <f t="shared" si="1"/>
        <v>13.5</v>
      </c>
      <c r="G25" s="2">
        <v>10.0</v>
      </c>
      <c r="H25" s="2">
        <v>15.0</v>
      </c>
      <c r="I25" s="2">
        <v>22.0</v>
      </c>
      <c r="J25" s="3">
        <f t="shared" si="2"/>
        <v>8.694444444</v>
      </c>
      <c r="K25" s="2">
        <v>90.0</v>
      </c>
      <c r="L25" s="2">
        <v>180.0</v>
      </c>
      <c r="N25" s="3">
        <f t="shared" si="3"/>
        <v>180</v>
      </c>
      <c r="P25" s="2">
        <f t="shared" si="4"/>
        <v>9</v>
      </c>
      <c r="Q25" s="2">
        <v>6.0</v>
      </c>
      <c r="R25" s="2">
        <v>5.0</v>
      </c>
      <c r="S25" s="2">
        <v>14.0</v>
      </c>
      <c r="T25" s="2">
        <v>13.0</v>
      </c>
      <c r="U25" s="2">
        <v>14.0</v>
      </c>
      <c r="V25" s="2">
        <v>13.0</v>
      </c>
      <c r="W25" s="2">
        <v>18.0</v>
      </c>
      <c r="X25" s="2">
        <v>30.0</v>
      </c>
      <c r="Y25" s="2">
        <v>30.0</v>
      </c>
      <c r="Z25" s="2">
        <v>28.0</v>
      </c>
      <c r="AA25" s="2">
        <v>28.0</v>
      </c>
      <c r="AB25" s="2">
        <f t="shared" si="5"/>
        <v>9.95</v>
      </c>
      <c r="AC25" s="2">
        <v>30.0</v>
      </c>
      <c r="AD25" s="2">
        <v>330.0</v>
      </c>
      <c r="AF25" s="3">
        <f t="shared" si="6"/>
        <v>9</v>
      </c>
      <c r="AG25" s="4">
        <f t="shared" si="7"/>
        <v>50.14444444</v>
      </c>
      <c r="AH25" s="2" t="s">
        <v>59</v>
      </c>
    </row>
    <row r="26">
      <c r="A26" s="6" t="s">
        <v>468</v>
      </c>
      <c r="B26" s="1" t="s">
        <v>469</v>
      </c>
      <c r="C26" s="2" t="s">
        <v>470</v>
      </c>
      <c r="D26" s="2">
        <f>VLOOKUP(B26, 'EE-Nitin'!$B$2:$F$57,5)</f>
        <v>26</v>
      </c>
      <c r="E26" s="2"/>
      <c r="F26" s="2">
        <f t="shared" si="1"/>
        <v>13</v>
      </c>
      <c r="G26" s="2">
        <v>4.0</v>
      </c>
      <c r="H26" s="2">
        <v>7.0</v>
      </c>
      <c r="I26" s="2">
        <v>20.0</v>
      </c>
      <c r="J26" s="3">
        <f t="shared" si="2"/>
        <v>4.972222222</v>
      </c>
      <c r="K26" s="2">
        <v>95.0</v>
      </c>
      <c r="L26" s="2">
        <v>170.0</v>
      </c>
      <c r="N26" s="3">
        <f t="shared" si="3"/>
        <v>170</v>
      </c>
      <c r="O26" s="2">
        <v>96.0</v>
      </c>
      <c r="P26" s="2">
        <f t="shared" si="4"/>
        <v>13.8</v>
      </c>
      <c r="Q26" s="2">
        <v>7.0</v>
      </c>
      <c r="R26" s="2">
        <v>3.0</v>
      </c>
      <c r="S26" s="2">
        <v>0.0</v>
      </c>
      <c r="T26" s="2">
        <v>12.0</v>
      </c>
      <c r="U26" s="2">
        <v>14.5</v>
      </c>
      <c r="V26" s="2">
        <v>14.0</v>
      </c>
      <c r="W26" s="2">
        <v>19.5</v>
      </c>
      <c r="X26" s="2">
        <v>28.0</v>
      </c>
      <c r="Y26" s="2">
        <v>28.0</v>
      </c>
      <c r="Z26" s="2">
        <v>29.0</v>
      </c>
      <c r="AA26" s="2">
        <v>29.0</v>
      </c>
      <c r="AB26" s="2">
        <f t="shared" si="5"/>
        <v>9.2</v>
      </c>
      <c r="AC26" s="2">
        <v>45.0</v>
      </c>
      <c r="AD26" s="2">
        <v>345.0</v>
      </c>
      <c r="AF26" s="3">
        <f t="shared" si="6"/>
        <v>9.75</v>
      </c>
      <c r="AG26" s="4">
        <f t="shared" si="7"/>
        <v>50.72222222</v>
      </c>
      <c r="AH26" s="2" t="s">
        <v>55</v>
      </c>
    </row>
    <row r="27">
      <c r="A27" s="1" t="s">
        <v>677</v>
      </c>
      <c r="B27" s="1" t="s">
        <v>678</v>
      </c>
      <c r="C27" s="2" t="s">
        <v>679</v>
      </c>
      <c r="D27" s="2">
        <f>VLOOKUP(B27, 'ME-Subhashree'!$B$2:$F$56,5)</f>
        <v>27</v>
      </c>
      <c r="E27" s="2">
        <v>14.0</v>
      </c>
      <c r="F27" s="2">
        <f t="shared" si="1"/>
        <v>20.5</v>
      </c>
      <c r="G27" s="2">
        <v>2.0</v>
      </c>
      <c r="H27" s="2">
        <v>6.0</v>
      </c>
      <c r="I27" s="2">
        <v>27.0</v>
      </c>
      <c r="J27" s="3">
        <f t="shared" si="2"/>
        <v>5</v>
      </c>
      <c r="K27" s="2">
        <v>80.0</v>
      </c>
      <c r="L27" s="2">
        <v>140.0</v>
      </c>
      <c r="N27" s="3">
        <f t="shared" si="3"/>
        <v>140</v>
      </c>
      <c r="O27" s="2">
        <v>80.0</v>
      </c>
      <c r="P27" s="2">
        <f t="shared" si="4"/>
        <v>11.5</v>
      </c>
      <c r="Q27" s="2">
        <v>0.0</v>
      </c>
      <c r="R27" s="2">
        <v>10.0</v>
      </c>
      <c r="S27" s="2">
        <v>9.0</v>
      </c>
      <c r="T27" s="2">
        <v>5.0</v>
      </c>
      <c r="U27" s="2">
        <v>15.0</v>
      </c>
      <c r="V27" s="2">
        <v>13.0</v>
      </c>
      <c r="W27" s="2">
        <v>16.0</v>
      </c>
      <c r="X27" s="2">
        <v>29.0</v>
      </c>
      <c r="Y27" s="2">
        <v>0.0</v>
      </c>
      <c r="Z27" s="2">
        <v>30.0</v>
      </c>
      <c r="AA27" s="2">
        <v>27.0</v>
      </c>
      <c r="AB27" s="2">
        <f t="shared" si="5"/>
        <v>7.7</v>
      </c>
      <c r="AC27" s="2">
        <v>0.0</v>
      </c>
      <c r="AD27" s="2">
        <v>250.0</v>
      </c>
      <c r="AF27" s="3">
        <f t="shared" si="6"/>
        <v>6.25</v>
      </c>
      <c r="AG27" s="4">
        <f t="shared" si="7"/>
        <v>50.95</v>
      </c>
      <c r="AH27" s="2" t="s">
        <v>55</v>
      </c>
    </row>
    <row r="28">
      <c r="A28" s="1" t="s">
        <v>995</v>
      </c>
      <c r="B28" s="1" t="s">
        <v>996</v>
      </c>
      <c r="C28" s="2" t="s">
        <v>997</v>
      </c>
      <c r="D28" s="2">
        <f>VLOOKUP(B28, 'MSC-Vikrant'!B2:F13,5)</f>
        <v>20</v>
      </c>
      <c r="E28" s="2">
        <v>11.0</v>
      </c>
      <c r="F28" s="2">
        <f t="shared" si="1"/>
        <v>15.5</v>
      </c>
      <c r="G28" s="2">
        <v>9.0</v>
      </c>
      <c r="H28" s="2">
        <v>10.0</v>
      </c>
      <c r="I28" s="2">
        <v>22.0</v>
      </c>
      <c r="J28" s="3">
        <f t="shared" si="2"/>
        <v>7.194444444</v>
      </c>
      <c r="K28" s="2">
        <v>50.0</v>
      </c>
      <c r="L28" s="2">
        <v>165.0</v>
      </c>
      <c r="M28" s="2">
        <v>160.0</v>
      </c>
      <c r="N28" s="3">
        <f t="shared" si="3"/>
        <v>165</v>
      </c>
      <c r="O28" s="2">
        <v>92.0</v>
      </c>
      <c r="P28" s="2">
        <f t="shared" si="4"/>
        <v>11.225</v>
      </c>
      <c r="Q28" s="2">
        <v>6.0</v>
      </c>
      <c r="S28" s="2">
        <v>10.0</v>
      </c>
      <c r="T28" s="2">
        <v>5.0</v>
      </c>
      <c r="U28" s="2">
        <v>10.0</v>
      </c>
      <c r="V28" s="2">
        <v>12.0</v>
      </c>
      <c r="W28" s="2">
        <v>15.0</v>
      </c>
      <c r="X28" s="2">
        <v>28.0</v>
      </c>
      <c r="Y28" s="2">
        <v>30.0</v>
      </c>
      <c r="Z28" s="2">
        <v>28.0</v>
      </c>
      <c r="AA28" s="2">
        <v>29.0</v>
      </c>
      <c r="AB28" s="2">
        <f t="shared" si="5"/>
        <v>8.65</v>
      </c>
      <c r="AC28" s="2">
        <v>50.0</v>
      </c>
      <c r="AD28" s="2">
        <v>290.0</v>
      </c>
      <c r="AF28" s="3">
        <f t="shared" si="6"/>
        <v>8.5</v>
      </c>
      <c r="AG28" s="4">
        <f t="shared" si="7"/>
        <v>51.06944444</v>
      </c>
      <c r="AH28" s="2" t="s">
        <v>55</v>
      </c>
    </row>
    <row r="29">
      <c r="A29" s="1" t="s">
        <v>53</v>
      </c>
      <c r="B29" s="1" t="s">
        <v>54</v>
      </c>
      <c r="C29" s="2" t="s">
        <v>56</v>
      </c>
      <c r="D29" s="2">
        <f>VLOOKUP(B29, 'CSE-Sandeep'!$B$2:$G$61,5)</f>
        <v>23</v>
      </c>
      <c r="E29" s="2">
        <v>2.0</v>
      </c>
      <c r="F29" s="2">
        <f t="shared" si="1"/>
        <v>12.5</v>
      </c>
      <c r="G29" s="2">
        <v>7.0</v>
      </c>
      <c r="H29" s="2">
        <v>7.0</v>
      </c>
      <c r="I29" s="2">
        <v>19.0</v>
      </c>
      <c r="J29" s="3">
        <f t="shared" si="2"/>
        <v>5.611111111</v>
      </c>
      <c r="K29" s="2">
        <v>90.0</v>
      </c>
      <c r="L29" s="2">
        <v>180.0</v>
      </c>
      <c r="N29" s="3">
        <f t="shared" si="3"/>
        <v>180</v>
      </c>
      <c r="O29" s="2">
        <v>95.0</v>
      </c>
      <c r="P29" s="2">
        <f t="shared" si="4"/>
        <v>13.75</v>
      </c>
      <c r="Q29" s="2">
        <v>6.0</v>
      </c>
      <c r="R29" s="2">
        <v>7.0</v>
      </c>
      <c r="S29" s="2">
        <v>14.0</v>
      </c>
      <c r="T29" s="2">
        <v>0.0</v>
      </c>
      <c r="U29" s="2">
        <v>14.0</v>
      </c>
      <c r="V29" s="2">
        <v>14.0</v>
      </c>
      <c r="W29" s="2">
        <v>20.0</v>
      </c>
      <c r="X29" s="2">
        <v>30.0</v>
      </c>
      <c r="Y29" s="2">
        <v>30.0</v>
      </c>
      <c r="Z29" s="2">
        <v>28.0</v>
      </c>
      <c r="AA29" s="2">
        <v>28.0</v>
      </c>
      <c r="AB29" s="2">
        <f t="shared" si="5"/>
        <v>9.55</v>
      </c>
      <c r="AC29" s="2">
        <v>50.0</v>
      </c>
      <c r="AD29" s="2">
        <v>340.0</v>
      </c>
      <c r="AF29" s="3">
        <f t="shared" si="6"/>
        <v>9.75</v>
      </c>
      <c r="AG29" s="4">
        <f t="shared" si="7"/>
        <v>51.16111111</v>
      </c>
      <c r="AH29" s="2" t="s">
        <v>55</v>
      </c>
    </row>
    <row r="30">
      <c r="A30" s="1" t="s">
        <v>629</v>
      </c>
      <c r="B30" s="1" t="s">
        <v>630</v>
      </c>
      <c r="C30" s="2" t="s">
        <v>631</v>
      </c>
      <c r="D30" s="2">
        <f>VLOOKUP(B30, 'EE-Nitin'!$B$2:$F$57,5)</f>
        <v>29</v>
      </c>
      <c r="E30" s="2">
        <v>21.0</v>
      </c>
      <c r="F30" s="2">
        <f t="shared" si="1"/>
        <v>25</v>
      </c>
      <c r="G30" s="2">
        <v>4.5</v>
      </c>
      <c r="H30" s="2">
        <v>0.0</v>
      </c>
      <c r="I30" s="2">
        <v>17.0</v>
      </c>
      <c r="J30" s="3">
        <f t="shared" si="2"/>
        <v>3.013888889</v>
      </c>
      <c r="K30" s="2">
        <v>100.0</v>
      </c>
      <c r="M30" s="2">
        <v>0.0</v>
      </c>
      <c r="N30" s="3">
        <f t="shared" si="3"/>
        <v>0</v>
      </c>
      <c r="O30" s="2">
        <v>90.0</v>
      </c>
      <c r="P30" s="2">
        <f t="shared" si="4"/>
        <v>9.5</v>
      </c>
      <c r="Q30" s="2">
        <v>7.0</v>
      </c>
      <c r="R30" s="2">
        <v>9.0</v>
      </c>
      <c r="S30" s="2">
        <v>0.0</v>
      </c>
      <c r="T30" s="2">
        <v>0.0</v>
      </c>
      <c r="U30" s="2">
        <v>15.0</v>
      </c>
      <c r="V30" s="2">
        <v>15.0</v>
      </c>
      <c r="W30" s="2">
        <v>20.0</v>
      </c>
      <c r="X30" s="2">
        <v>0.0</v>
      </c>
      <c r="Y30" s="2">
        <v>0.0</v>
      </c>
      <c r="Z30" s="2">
        <v>30.0</v>
      </c>
      <c r="AA30" s="2">
        <v>27.0</v>
      </c>
      <c r="AB30" s="2">
        <f t="shared" si="5"/>
        <v>6.15</v>
      </c>
      <c r="AC30" s="2">
        <v>0.0</v>
      </c>
      <c r="AD30" s="2">
        <v>310.0</v>
      </c>
      <c r="AF30" s="3">
        <f t="shared" si="6"/>
        <v>7.75</v>
      </c>
      <c r="AG30" s="4">
        <f t="shared" si="7"/>
        <v>51.41388889</v>
      </c>
      <c r="AH30" s="2" t="s">
        <v>55</v>
      </c>
    </row>
    <row r="31">
      <c r="A31" s="1" t="s">
        <v>500</v>
      </c>
      <c r="B31" s="1" t="s">
        <v>501</v>
      </c>
      <c r="C31" s="2" t="s">
        <v>502</v>
      </c>
      <c r="D31" s="2">
        <f>VLOOKUP(B31, 'EE-Nitin'!$B$2:$F$57,5)</f>
        <v>15</v>
      </c>
      <c r="E31" s="2">
        <v>19.0</v>
      </c>
      <c r="F31" s="2">
        <f t="shared" si="1"/>
        <v>17</v>
      </c>
      <c r="G31" s="2">
        <v>2.0</v>
      </c>
      <c r="H31" s="2">
        <v>0.0</v>
      </c>
      <c r="I31" s="2">
        <v>16.0</v>
      </c>
      <c r="J31" s="3">
        <f t="shared" si="2"/>
        <v>2.277777778</v>
      </c>
      <c r="K31" s="2">
        <v>93.0</v>
      </c>
      <c r="L31" s="2">
        <v>180.0</v>
      </c>
      <c r="N31" s="3">
        <f t="shared" si="3"/>
        <v>180</v>
      </c>
      <c r="O31" s="2">
        <v>96.0</v>
      </c>
      <c r="P31" s="2">
        <f t="shared" si="4"/>
        <v>13.95</v>
      </c>
      <c r="Q31" s="2">
        <v>6.0</v>
      </c>
      <c r="R31" s="2">
        <v>4.0</v>
      </c>
      <c r="S31" s="2">
        <v>0.0</v>
      </c>
      <c r="T31" s="2">
        <v>9.0</v>
      </c>
      <c r="U31" s="2">
        <v>13.0</v>
      </c>
      <c r="V31" s="2">
        <v>10.0</v>
      </c>
      <c r="W31" s="2">
        <v>18.0</v>
      </c>
      <c r="X31" s="2">
        <v>26.0</v>
      </c>
      <c r="Y31" s="2">
        <v>29.0</v>
      </c>
      <c r="Z31" s="2">
        <v>28.0</v>
      </c>
      <c r="AA31" s="2">
        <v>28.0</v>
      </c>
      <c r="AB31" s="2">
        <f t="shared" si="5"/>
        <v>8.55</v>
      </c>
      <c r="AC31" s="2">
        <v>45.0</v>
      </c>
      <c r="AD31" s="2">
        <v>341.0</v>
      </c>
      <c r="AF31" s="3">
        <f t="shared" si="6"/>
        <v>9.65</v>
      </c>
      <c r="AG31" s="4">
        <f t="shared" si="7"/>
        <v>51.42777778</v>
      </c>
      <c r="AH31" s="2" t="s">
        <v>55</v>
      </c>
    </row>
    <row r="32">
      <c r="A32" s="2" t="s">
        <v>1001</v>
      </c>
      <c r="B32" s="2" t="s">
        <v>1002</v>
      </c>
      <c r="C32" s="2" t="s">
        <v>1003</v>
      </c>
      <c r="D32" s="2">
        <f>VLOOKUP(B32, 'MSC-Vikrant'!B4:F15,5)</f>
        <v>28</v>
      </c>
      <c r="E32" s="2">
        <v>5.0</v>
      </c>
      <c r="F32" s="2">
        <f t="shared" si="1"/>
        <v>16.5</v>
      </c>
      <c r="G32" s="2">
        <v>9.0</v>
      </c>
      <c r="H32" s="2">
        <v>10.0</v>
      </c>
      <c r="I32" s="2">
        <v>12.0</v>
      </c>
      <c r="J32" s="3">
        <f t="shared" si="2"/>
        <v>6.083333333</v>
      </c>
      <c r="K32" s="2">
        <v>80.0</v>
      </c>
      <c r="L32" s="2">
        <v>158.0</v>
      </c>
      <c r="N32" s="3">
        <f t="shared" si="3"/>
        <v>158</v>
      </c>
      <c r="O32" s="2">
        <v>93.0</v>
      </c>
      <c r="P32" s="2">
        <f t="shared" si="4"/>
        <v>12.6</v>
      </c>
      <c r="Q32" s="2">
        <v>7.0</v>
      </c>
      <c r="R32" s="2">
        <v>7.0</v>
      </c>
      <c r="S32" s="2">
        <v>8.0</v>
      </c>
      <c r="T32" s="2">
        <v>0.0</v>
      </c>
      <c r="U32" s="2">
        <v>14.0</v>
      </c>
      <c r="V32" s="2">
        <v>15.0</v>
      </c>
      <c r="W32" s="2">
        <v>12.0</v>
      </c>
      <c r="X32" s="2">
        <v>29.0</v>
      </c>
      <c r="Y32" s="2">
        <v>27.0</v>
      </c>
      <c r="Z32" s="2">
        <v>28.0</v>
      </c>
      <c r="AB32" s="2">
        <f t="shared" si="5"/>
        <v>7.35</v>
      </c>
      <c r="AC32" s="2">
        <v>50.0</v>
      </c>
      <c r="AD32" s="2">
        <v>310.0</v>
      </c>
      <c r="AF32" s="3">
        <f t="shared" si="6"/>
        <v>9</v>
      </c>
      <c r="AG32" s="4">
        <f t="shared" si="7"/>
        <v>51.53333333</v>
      </c>
      <c r="AH32" s="2" t="s">
        <v>55</v>
      </c>
    </row>
    <row r="33">
      <c r="A33" s="1" t="s">
        <v>698</v>
      </c>
      <c r="B33" s="1" t="s">
        <v>699</v>
      </c>
      <c r="C33" s="2" t="s">
        <v>700</v>
      </c>
      <c r="D33" s="2">
        <f>VLOOKUP(B33, 'ME-Subhashree'!$B$2:$F$56,5)</f>
        <v>27</v>
      </c>
      <c r="E33" s="2">
        <v>21.0</v>
      </c>
      <c r="F33" s="2">
        <f t="shared" si="1"/>
        <v>24</v>
      </c>
      <c r="G33" s="2">
        <v>7.0</v>
      </c>
      <c r="H33" s="2">
        <v>10.0</v>
      </c>
      <c r="I33" s="2">
        <v>29.0</v>
      </c>
      <c r="J33" s="3">
        <f t="shared" si="2"/>
        <v>7.472222222</v>
      </c>
      <c r="K33" s="2">
        <v>80.0</v>
      </c>
      <c r="L33" s="2">
        <v>150.0</v>
      </c>
      <c r="N33" s="3">
        <f t="shared" si="3"/>
        <v>150</v>
      </c>
      <c r="O33" s="2">
        <v>0.0</v>
      </c>
      <c r="P33" s="2">
        <f t="shared" si="4"/>
        <v>7.75</v>
      </c>
      <c r="Q33" s="2">
        <v>6.0</v>
      </c>
      <c r="R33" s="2">
        <v>5.0</v>
      </c>
      <c r="S33" s="2">
        <v>14.0</v>
      </c>
      <c r="T33" s="2">
        <v>10.0</v>
      </c>
      <c r="U33" s="2">
        <v>15.0</v>
      </c>
      <c r="V33" s="2">
        <v>14.0</v>
      </c>
      <c r="W33" s="2">
        <v>20.0</v>
      </c>
      <c r="X33" s="2">
        <v>30.0</v>
      </c>
      <c r="Y33" s="2">
        <v>28.0</v>
      </c>
      <c r="Z33" s="2">
        <v>27.0</v>
      </c>
      <c r="AA33" s="2">
        <v>29.0</v>
      </c>
      <c r="AB33" s="2">
        <f t="shared" si="5"/>
        <v>9.9</v>
      </c>
      <c r="AC33" s="2">
        <v>50.0</v>
      </c>
      <c r="AD33" s="2">
        <v>50.0</v>
      </c>
      <c r="AF33" s="3">
        <f t="shared" si="6"/>
        <v>2.5</v>
      </c>
      <c r="AG33" s="4">
        <f t="shared" si="7"/>
        <v>51.62222222</v>
      </c>
      <c r="AH33" s="2" t="s">
        <v>55</v>
      </c>
    </row>
    <row r="34">
      <c r="A34" s="1" t="s">
        <v>312</v>
      </c>
      <c r="B34" s="1" t="s">
        <v>313</v>
      </c>
      <c r="C34" s="2" t="s">
        <v>314</v>
      </c>
      <c r="D34" s="2">
        <f>VLOOKUP(B34,'DSAI-Vikrant'!$B$2:$F$44,5)</f>
        <v>18</v>
      </c>
      <c r="E34" s="2">
        <v>22.0</v>
      </c>
      <c r="F34" s="2">
        <f t="shared" si="1"/>
        <v>20</v>
      </c>
      <c r="G34" s="2">
        <v>8.0</v>
      </c>
      <c r="H34" s="2">
        <v>7.0</v>
      </c>
      <c r="I34" s="2">
        <v>6.0</v>
      </c>
      <c r="J34" s="3">
        <f t="shared" si="2"/>
        <v>4.416666667</v>
      </c>
      <c r="K34" s="2">
        <v>75.0</v>
      </c>
      <c r="L34" s="2">
        <v>0.0</v>
      </c>
      <c r="M34" s="2">
        <v>175.0</v>
      </c>
      <c r="N34" s="3">
        <f t="shared" si="3"/>
        <v>175</v>
      </c>
      <c r="O34" s="2">
        <v>87.0</v>
      </c>
      <c r="P34" s="2">
        <f t="shared" si="4"/>
        <v>12.475</v>
      </c>
      <c r="Q34" s="2">
        <v>7.0</v>
      </c>
      <c r="S34" s="2">
        <v>8.0</v>
      </c>
      <c r="T34" s="2">
        <v>0.0</v>
      </c>
      <c r="U34" s="2">
        <v>14.0</v>
      </c>
      <c r="V34" s="2">
        <v>14.0</v>
      </c>
      <c r="W34" s="2">
        <v>20.0</v>
      </c>
      <c r="X34" s="2">
        <v>0.0</v>
      </c>
      <c r="Y34" s="2">
        <v>0.0</v>
      </c>
      <c r="Z34" s="2">
        <v>28.0</v>
      </c>
      <c r="AA34" s="2">
        <v>30.0</v>
      </c>
      <c r="AB34" s="2">
        <f t="shared" si="5"/>
        <v>6.05</v>
      </c>
      <c r="AC34" s="2">
        <v>30.0</v>
      </c>
      <c r="AD34" s="2">
        <v>320.0</v>
      </c>
      <c r="AF34" s="3">
        <f t="shared" si="6"/>
        <v>8.75</v>
      </c>
      <c r="AG34" s="4">
        <f t="shared" si="7"/>
        <v>51.69166667</v>
      </c>
      <c r="AH34" s="2" t="s">
        <v>55</v>
      </c>
    </row>
    <row r="35">
      <c r="A35" s="1" t="s">
        <v>734</v>
      </c>
      <c r="B35" s="1" t="s">
        <v>735</v>
      </c>
      <c r="C35" s="2" t="s">
        <v>736</v>
      </c>
      <c r="D35" s="2">
        <f>VLOOKUP(B35, 'ME-Subhashree'!$B$2:$F$56,5)</f>
        <v>28</v>
      </c>
      <c r="E35" s="2">
        <v>16.0</v>
      </c>
      <c r="F35" s="2">
        <f t="shared" si="1"/>
        <v>22</v>
      </c>
      <c r="G35" s="2">
        <v>5.0</v>
      </c>
      <c r="H35" s="2">
        <v>2.0</v>
      </c>
      <c r="I35" s="2">
        <v>9.0</v>
      </c>
      <c r="J35" s="3">
        <f t="shared" si="2"/>
        <v>2.75</v>
      </c>
      <c r="K35" s="2">
        <v>50.0</v>
      </c>
      <c r="L35" s="2">
        <v>125.0</v>
      </c>
      <c r="N35" s="3">
        <f t="shared" si="3"/>
        <v>125</v>
      </c>
      <c r="O35" s="2">
        <v>100.0</v>
      </c>
      <c r="P35" s="2">
        <f t="shared" si="4"/>
        <v>10.625</v>
      </c>
      <c r="Q35" s="2">
        <v>6.0</v>
      </c>
      <c r="R35" s="2">
        <v>5.0</v>
      </c>
      <c r="S35" s="2">
        <v>12.0</v>
      </c>
      <c r="T35" s="2">
        <v>12.0</v>
      </c>
      <c r="U35" s="2">
        <v>12.0</v>
      </c>
      <c r="V35" s="2">
        <v>11.0</v>
      </c>
      <c r="W35" s="2">
        <v>20.0</v>
      </c>
      <c r="X35" s="2">
        <v>30.0</v>
      </c>
      <c r="Y35" s="2">
        <v>28.0</v>
      </c>
      <c r="AA35" s="2">
        <v>29.0</v>
      </c>
      <c r="AB35" s="2">
        <f t="shared" si="5"/>
        <v>8.25</v>
      </c>
      <c r="AC35" s="2">
        <v>30.0</v>
      </c>
      <c r="AD35" s="2">
        <v>300.0</v>
      </c>
      <c r="AF35" s="3">
        <f t="shared" si="6"/>
        <v>8.25</v>
      </c>
      <c r="AG35" s="4">
        <f t="shared" si="7"/>
        <v>51.875</v>
      </c>
      <c r="AH35" s="2" t="s">
        <v>55</v>
      </c>
    </row>
    <row r="36">
      <c r="A36" s="2" t="s">
        <v>1025</v>
      </c>
      <c r="B36" s="2" t="s">
        <v>1026</v>
      </c>
      <c r="C36" s="2" t="s">
        <v>1027</v>
      </c>
      <c r="D36" s="2">
        <f>VLOOKUP(B36, 'MSC-Vikrant'!B12:F23,5)</f>
        <v>15</v>
      </c>
      <c r="E36" s="2">
        <v>18.0</v>
      </c>
      <c r="F36" s="2">
        <f t="shared" si="1"/>
        <v>16.5</v>
      </c>
      <c r="G36" s="2">
        <v>6.0</v>
      </c>
      <c r="H36" s="2">
        <v>10.0</v>
      </c>
      <c r="I36" s="2">
        <v>23.0</v>
      </c>
      <c r="J36" s="3">
        <f t="shared" si="2"/>
        <v>6.555555556</v>
      </c>
      <c r="K36" s="2">
        <v>85.0</v>
      </c>
      <c r="L36" s="2">
        <v>160.0</v>
      </c>
      <c r="N36" s="3">
        <f t="shared" si="3"/>
        <v>160</v>
      </c>
      <c r="O36" s="2">
        <v>92.0</v>
      </c>
      <c r="P36" s="2">
        <f t="shared" si="4"/>
        <v>12.85</v>
      </c>
      <c r="Q36" s="2">
        <v>6.0</v>
      </c>
      <c r="R36" s="2">
        <v>6.0</v>
      </c>
      <c r="S36" s="2">
        <v>8.0</v>
      </c>
      <c r="T36" s="2">
        <v>0.0</v>
      </c>
      <c r="U36" s="2">
        <v>14.0</v>
      </c>
      <c r="V36" s="2">
        <v>15.0</v>
      </c>
      <c r="W36" s="2">
        <v>12.0</v>
      </c>
      <c r="X36" s="2">
        <v>28.0</v>
      </c>
      <c r="Y36" s="2">
        <v>27.0</v>
      </c>
      <c r="Z36" s="2">
        <v>30.0</v>
      </c>
      <c r="AB36" s="2">
        <f t="shared" si="5"/>
        <v>7.3</v>
      </c>
      <c r="AC36" s="2">
        <v>50.0</v>
      </c>
      <c r="AD36" s="2">
        <v>300.0</v>
      </c>
      <c r="AF36" s="3">
        <f t="shared" si="6"/>
        <v>8.75</v>
      </c>
      <c r="AG36" s="4">
        <f t="shared" si="7"/>
        <v>51.95555556</v>
      </c>
      <c r="AH36" s="2" t="s">
        <v>55</v>
      </c>
    </row>
    <row r="37">
      <c r="A37" s="1" t="s">
        <v>701</v>
      </c>
      <c r="B37" s="1" t="s">
        <v>702</v>
      </c>
      <c r="C37" s="2" t="s">
        <v>703</v>
      </c>
      <c r="D37" s="2">
        <f>VLOOKUP(B37, 'ME-Subhashree'!$B$2:$F$56,5)</f>
        <v>32</v>
      </c>
      <c r="E37" s="2">
        <v>20.0</v>
      </c>
      <c r="F37" s="2">
        <f t="shared" si="1"/>
        <v>26</v>
      </c>
      <c r="G37" s="2">
        <v>3.0</v>
      </c>
      <c r="H37" s="2">
        <v>2.0</v>
      </c>
      <c r="I37" s="2">
        <v>16.0</v>
      </c>
      <c r="J37" s="3">
        <f t="shared" si="2"/>
        <v>3.027777778</v>
      </c>
      <c r="K37" s="2">
        <v>100.0</v>
      </c>
      <c r="M37" s="2">
        <v>170.0</v>
      </c>
      <c r="N37" s="3">
        <f t="shared" si="3"/>
        <v>170</v>
      </c>
      <c r="O37" s="2">
        <v>0.0</v>
      </c>
      <c r="P37" s="2">
        <f t="shared" si="4"/>
        <v>9.25</v>
      </c>
      <c r="Q37" s="2">
        <v>7.0</v>
      </c>
      <c r="R37" s="2">
        <v>1.0</v>
      </c>
      <c r="S37" s="2">
        <v>15.0</v>
      </c>
      <c r="T37" s="2">
        <v>10.0</v>
      </c>
      <c r="U37" s="2">
        <v>15.0</v>
      </c>
      <c r="V37" s="2">
        <v>13.0</v>
      </c>
      <c r="W37" s="2">
        <v>20.0</v>
      </c>
      <c r="X37" s="2">
        <v>0.0</v>
      </c>
      <c r="Y37" s="2">
        <v>0.0</v>
      </c>
      <c r="Z37" s="2">
        <v>30.0</v>
      </c>
      <c r="AA37" s="2">
        <v>27.0</v>
      </c>
      <c r="AB37" s="2">
        <f t="shared" si="5"/>
        <v>6.9</v>
      </c>
      <c r="AC37" s="2">
        <v>0.0</v>
      </c>
      <c r="AD37" s="2">
        <v>330.0</v>
      </c>
      <c r="AF37" s="3">
        <f t="shared" si="6"/>
        <v>8.25</v>
      </c>
      <c r="AG37" s="4">
        <f t="shared" si="7"/>
        <v>53.42777778</v>
      </c>
      <c r="AH37" s="2" t="s">
        <v>55</v>
      </c>
    </row>
    <row r="38">
      <c r="A38" s="1" t="s">
        <v>686</v>
      </c>
      <c r="B38" s="1" t="s">
        <v>687</v>
      </c>
      <c r="C38" s="2" t="s">
        <v>688</v>
      </c>
      <c r="D38" s="2">
        <f>VLOOKUP(B38, 'ME-Subhashree'!$B$2:$F$56,5)</f>
        <v>24</v>
      </c>
      <c r="E38" s="2">
        <v>15.0</v>
      </c>
      <c r="F38" s="2">
        <f t="shared" si="1"/>
        <v>19.5</v>
      </c>
      <c r="G38" s="2">
        <v>2.0</v>
      </c>
      <c r="H38" s="2">
        <v>9.5</v>
      </c>
      <c r="I38" s="2">
        <v>18.0</v>
      </c>
      <c r="J38" s="3">
        <f t="shared" si="2"/>
        <v>4.875</v>
      </c>
      <c r="K38" s="2">
        <v>80.0</v>
      </c>
      <c r="L38" s="2">
        <v>155.0</v>
      </c>
      <c r="N38" s="3">
        <f t="shared" si="3"/>
        <v>155</v>
      </c>
      <c r="O38" s="2">
        <v>98.0</v>
      </c>
      <c r="P38" s="2">
        <f t="shared" si="4"/>
        <v>12.775</v>
      </c>
      <c r="Q38" s="2">
        <v>5.0</v>
      </c>
      <c r="R38" s="2">
        <v>5.0</v>
      </c>
      <c r="S38" s="2">
        <v>12.0</v>
      </c>
      <c r="T38" s="2">
        <v>12.0</v>
      </c>
      <c r="U38" s="2">
        <v>15.0</v>
      </c>
      <c r="V38" s="2">
        <v>12.0</v>
      </c>
      <c r="W38" s="2">
        <v>20.0</v>
      </c>
      <c r="X38" s="2">
        <v>22.0</v>
      </c>
      <c r="Y38" s="2">
        <v>17.0</v>
      </c>
      <c r="Z38" s="2">
        <v>29.0</v>
      </c>
      <c r="AA38" s="2">
        <v>28.0</v>
      </c>
      <c r="AB38" s="2">
        <f t="shared" si="5"/>
        <v>8.85</v>
      </c>
      <c r="AC38" s="2">
        <v>50.0</v>
      </c>
      <c r="AD38" s="2">
        <v>250.0</v>
      </c>
      <c r="AF38" s="3">
        <f t="shared" si="6"/>
        <v>7.5</v>
      </c>
      <c r="AG38" s="4">
        <f t="shared" si="7"/>
        <v>53.5</v>
      </c>
      <c r="AH38" s="2" t="s">
        <v>55</v>
      </c>
    </row>
    <row r="39">
      <c r="A39" s="1" t="s">
        <v>557</v>
      </c>
      <c r="B39" s="1" t="s">
        <v>558</v>
      </c>
      <c r="C39" s="2" t="s">
        <v>559</v>
      </c>
      <c r="D39" s="2">
        <f>VLOOKUP(B39, 'EE-Nitin'!$B$2:$F$57,5)</f>
        <v>33</v>
      </c>
      <c r="E39" s="2">
        <v>9.0</v>
      </c>
      <c r="F39" s="2">
        <f t="shared" si="1"/>
        <v>21</v>
      </c>
      <c r="G39" s="2">
        <v>2.0</v>
      </c>
      <c r="H39" s="2">
        <v>9.0</v>
      </c>
      <c r="I39" s="2">
        <v>15.0</v>
      </c>
      <c r="J39" s="3">
        <f t="shared" si="2"/>
        <v>4.416666667</v>
      </c>
      <c r="K39" s="2">
        <v>90.0</v>
      </c>
      <c r="L39" s="2">
        <v>95.0</v>
      </c>
      <c r="N39" s="3">
        <f t="shared" si="3"/>
        <v>95</v>
      </c>
      <c r="O39" s="2">
        <v>97.0</v>
      </c>
      <c r="P39" s="2">
        <f t="shared" si="4"/>
        <v>11.725</v>
      </c>
      <c r="Q39" s="2">
        <v>5.0</v>
      </c>
      <c r="R39" s="2">
        <v>0.0</v>
      </c>
      <c r="S39" s="2">
        <v>7.0</v>
      </c>
      <c r="T39" s="2">
        <v>6.0</v>
      </c>
      <c r="U39" s="2">
        <v>0.0</v>
      </c>
      <c r="V39" s="2">
        <v>13.5</v>
      </c>
      <c r="W39" s="2">
        <v>19.5</v>
      </c>
      <c r="X39" s="2">
        <v>0.0</v>
      </c>
      <c r="Y39" s="2">
        <v>28.0</v>
      </c>
      <c r="Z39" s="2">
        <v>29.0</v>
      </c>
      <c r="AA39" s="2">
        <v>27.0</v>
      </c>
      <c r="AB39" s="2">
        <f t="shared" si="5"/>
        <v>6.75</v>
      </c>
      <c r="AC39" s="2">
        <v>45.0</v>
      </c>
      <c r="AD39" s="2">
        <v>342.0</v>
      </c>
      <c r="AF39" s="3">
        <f t="shared" si="6"/>
        <v>9.675</v>
      </c>
      <c r="AG39" s="4">
        <f t="shared" si="7"/>
        <v>53.56666667</v>
      </c>
      <c r="AH39" s="2" t="s">
        <v>55</v>
      </c>
    </row>
    <row r="40">
      <c r="A40" s="2" t="s">
        <v>1019</v>
      </c>
      <c r="B40" s="2" t="s">
        <v>1020</v>
      </c>
      <c r="C40" s="2" t="s">
        <v>1021</v>
      </c>
      <c r="D40" s="2">
        <f>VLOOKUP(B40, 'MSC-Vikrant'!B10:F21,5)</f>
        <v>25</v>
      </c>
      <c r="E40" s="2">
        <v>10.0</v>
      </c>
      <c r="F40" s="2">
        <f t="shared" si="1"/>
        <v>17.5</v>
      </c>
      <c r="G40" s="2">
        <v>11.0</v>
      </c>
      <c r="H40" s="2">
        <v>6.0</v>
      </c>
      <c r="I40" s="2">
        <v>20.0</v>
      </c>
      <c r="J40" s="3">
        <f t="shared" si="2"/>
        <v>6.472222222</v>
      </c>
      <c r="K40" s="2">
        <v>95.0</v>
      </c>
      <c r="L40" s="2">
        <v>160.0</v>
      </c>
      <c r="N40" s="3">
        <f t="shared" si="3"/>
        <v>160</v>
      </c>
      <c r="O40" s="2">
        <v>93.0</v>
      </c>
      <c r="P40" s="2">
        <f t="shared" si="4"/>
        <v>13.4</v>
      </c>
      <c r="Q40" s="2">
        <v>7.0</v>
      </c>
      <c r="R40" s="2">
        <v>8.0</v>
      </c>
      <c r="S40" s="2">
        <v>7.0</v>
      </c>
      <c r="T40" s="2">
        <v>0.0</v>
      </c>
      <c r="U40" s="2">
        <v>13.0</v>
      </c>
      <c r="V40" s="2">
        <v>15.0</v>
      </c>
      <c r="W40" s="2">
        <v>13.0</v>
      </c>
      <c r="X40" s="2">
        <v>30.0</v>
      </c>
      <c r="Y40" s="2">
        <v>27.0</v>
      </c>
      <c r="Z40" s="2">
        <v>30.0</v>
      </c>
      <c r="AB40" s="2">
        <f t="shared" si="5"/>
        <v>7.5</v>
      </c>
      <c r="AC40" s="2">
        <v>50.0</v>
      </c>
      <c r="AD40" s="2">
        <v>300.0</v>
      </c>
      <c r="AF40" s="3">
        <f t="shared" si="6"/>
        <v>8.75</v>
      </c>
      <c r="AG40" s="4">
        <f t="shared" si="7"/>
        <v>53.62222222</v>
      </c>
      <c r="AH40" s="2" t="s">
        <v>55</v>
      </c>
    </row>
    <row r="41">
      <c r="A41" s="1" t="s">
        <v>393</v>
      </c>
      <c r="B41" s="1" t="s">
        <v>394</v>
      </c>
      <c r="C41" s="2" t="s">
        <v>395</v>
      </c>
      <c r="D41" s="2">
        <f>VLOOKUP(B41,'EC-Nitin'!$B$2:$F$46,5)</f>
        <v>24</v>
      </c>
      <c r="E41" s="2">
        <v>5.0</v>
      </c>
      <c r="F41" s="2">
        <f t="shared" si="1"/>
        <v>14.5</v>
      </c>
      <c r="G41" s="2">
        <v>4.0</v>
      </c>
      <c r="H41" s="2">
        <v>7.0</v>
      </c>
      <c r="I41" s="2">
        <v>20.0</v>
      </c>
      <c r="J41" s="3">
        <f t="shared" si="2"/>
        <v>4.972222222</v>
      </c>
      <c r="K41" s="2">
        <v>90.0</v>
      </c>
      <c r="L41" s="2">
        <v>170.0</v>
      </c>
      <c r="M41" s="2">
        <v>200.0</v>
      </c>
      <c r="N41" s="3">
        <f t="shared" si="3"/>
        <v>200</v>
      </c>
      <c r="O41" s="2">
        <v>95.0</v>
      </c>
      <c r="P41" s="2">
        <f t="shared" si="4"/>
        <v>14.25</v>
      </c>
      <c r="Q41" s="2">
        <v>7.0</v>
      </c>
      <c r="R41" s="2">
        <v>7.0</v>
      </c>
      <c r="S41" s="2">
        <v>13.0</v>
      </c>
      <c r="T41" s="2">
        <v>13.0</v>
      </c>
      <c r="U41" s="2">
        <v>14.0</v>
      </c>
      <c r="V41" s="2">
        <v>14.0</v>
      </c>
      <c r="W41" s="2">
        <v>20.0</v>
      </c>
      <c r="X41" s="2">
        <v>30.0</v>
      </c>
      <c r="Y41" s="2">
        <v>30.0</v>
      </c>
      <c r="Z41" s="2">
        <v>29.0</v>
      </c>
      <c r="AA41" s="2">
        <v>28.0</v>
      </c>
      <c r="AB41" s="2">
        <f t="shared" si="5"/>
        <v>10.25</v>
      </c>
      <c r="AC41" s="2">
        <v>40.0</v>
      </c>
      <c r="AD41" s="2">
        <v>350.0</v>
      </c>
      <c r="AF41" s="3">
        <f t="shared" si="6"/>
        <v>9.75</v>
      </c>
      <c r="AG41" s="4">
        <f t="shared" si="7"/>
        <v>53.72222222</v>
      </c>
      <c r="AH41" s="2" t="s">
        <v>55</v>
      </c>
    </row>
    <row r="42">
      <c r="A42" s="13" t="s">
        <v>907</v>
      </c>
      <c r="B42" s="14" t="s">
        <v>908</v>
      </c>
      <c r="C42" s="16" t="s">
        <v>909</v>
      </c>
      <c r="D42" s="16">
        <f>VLOOKUP(B42,MT!$B$2:$F$30,5)</f>
        <v>30</v>
      </c>
      <c r="E42" s="16">
        <v>6.0</v>
      </c>
      <c r="F42" s="16">
        <f t="shared" si="1"/>
        <v>18</v>
      </c>
      <c r="G42" s="16">
        <v>6.0</v>
      </c>
      <c r="H42" s="16">
        <v>6.0</v>
      </c>
      <c r="I42" s="16">
        <v>12.5</v>
      </c>
      <c r="J42" s="17">
        <f t="shared" si="2"/>
        <v>4.388888889</v>
      </c>
      <c r="K42" s="16">
        <v>75.0</v>
      </c>
      <c r="L42" s="16">
        <v>150.0</v>
      </c>
      <c r="M42" s="17"/>
      <c r="N42" s="17">
        <f t="shared" si="3"/>
        <v>150</v>
      </c>
      <c r="O42" s="16">
        <v>100.0</v>
      </c>
      <c r="P42" s="16">
        <f t="shared" si="4"/>
        <v>12.5</v>
      </c>
      <c r="Q42" s="16">
        <v>5.0</v>
      </c>
      <c r="R42" s="16">
        <v>10.0</v>
      </c>
      <c r="S42" s="17"/>
      <c r="T42" s="16">
        <v>13.0</v>
      </c>
      <c r="U42" s="16">
        <v>13.0</v>
      </c>
      <c r="V42" s="16">
        <v>13.5</v>
      </c>
      <c r="W42" s="16">
        <v>18.0</v>
      </c>
      <c r="X42" s="16">
        <v>29.0</v>
      </c>
      <c r="Y42" s="16">
        <v>29.0</v>
      </c>
      <c r="Z42" s="16">
        <v>28.0</v>
      </c>
      <c r="AA42" s="16">
        <v>28.0</v>
      </c>
      <c r="AB42" s="16">
        <f t="shared" si="5"/>
        <v>9.325</v>
      </c>
      <c r="AC42" s="16">
        <v>45.0</v>
      </c>
      <c r="AD42" s="16">
        <v>350.0</v>
      </c>
      <c r="AE42" s="17"/>
      <c r="AF42" s="17">
        <f t="shared" si="6"/>
        <v>9.875</v>
      </c>
      <c r="AG42" s="21">
        <f t="shared" si="7"/>
        <v>54.08888889</v>
      </c>
      <c r="AH42" s="16" t="s">
        <v>187</v>
      </c>
      <c r="AI42" s="2" t="s">
        <v>1031</v>
      </c>
    </row>
    <row r="43">
      <c r="A43" s="1" t="s">
        <v>447</v>
      </c>
      <c r="B43" s="1" t="s">
        <v>448</v>
      </c>
      <c r="C43" s="2" t="s">
        <v>449</v>
      </c>
      <c r="D43" s="2">
        <f>VLOOKUP(B43,'EC-Nitin'!$B$2:$F$46,5)</f>
        <v>23</v>
      </c>
      <c r="E43" s="2">
        <v>21.0</v>
      </c>
      <c r="F43" s="2">
        <f t="shared" si="1"/>
        <v>22</v>
      </c>
      <c r="G43" s="2">
        <v>9.0</v>
      </c>
      <c r="I43" s="2">
        <v>40.0</v>
      </c>
      <c r="J43" s="3">
        <f t="shared" si="2"/>
        <v>6.694444444</v>
      </c>
      <c r="K43" s="2">
        <v>85.0</v>
      </c>
      <c r="L43" s="2">
        <v>170.0</v>
      </c>
      <c r="N43" s="3">
        <f t="shared" si="3"/>
        <v>170</v>
      </c>
      <c r="O43" s="2">
        <v>99.0</v>
      </c>
      <c r="P43" s="2">
        <f t="shared" si="4"/>
        <v>13.45</v>
      </c>
      <c r="Q43" s="2">
        <v>5.0</v>
      </c>
      <c r="R43" s="2">
        <v>6.0</v>
      </c>
      <c r="S43" s="2">
        <v>9.0</v>
      </c>
      <c r="T43" s="2">
        <v>10.0</v>
      </c>
      <c r="U43" s="2">
        <v>9.0</v>
      </c>
      <c r="V43" s="2">
        <v>9.0</v>
      </c>
      <c r="W43" s="2">
        <v>0.0</v>
      </c>
      <c r="X43" s="2">
        <v>0.0</v>
      </c>
      <c r="AB43" s="2">
        <f t="shared" si="5"/>
        <v>2.4</v>
      </c>
      <c r="AC43" s="2">
        <v>49.0</v>
      </c>
      <c r="AD43" s="2">
        <v>342.0</v>
      </c>
      <c r="AF43" s="3">
        <f t="shared" si="6"/>
        <v>9.775</v>
      </c>
      <c r="AG43" s="4">
        <f t="shared" si="7"/>
        <v>54.31944444</v>
      </c>
      <c r="AH43" s="2" t="s">
        <v>55</v>
      </c>
    </row>
    <row r="44">
      <c r="A44" s="1" t="s">
        <v>128</v>
      </c>
      <c r="B44" s="1" t="s">
        <v>129</v>
      </c>
      <c r="C44" s="2" t="s">
        <v>130</v>
      </c>
      <c r="D44" s="2">
        <f>VLOOKUP(B44, 'CSE-Sandeep'!$B$2:$G$61,5)</f>
        <v>27</v>
      </c>
      <c r="E44" s="2">
        <v>14.0</v>
      </c>
      <c r="F44" s="2">
        <f t="shared" si="1"/>
        <v>20.5</v>
      </c>
      <c r="G44" s="2">
        <v>5.0</v>
      </c>
      <c r="H44" s="2">
        <v>7.0</v>
      </c>
      <c r="I44" s="2">
        <v>16.0</v>
      </c>
      <c r="J44" s="3">
        <f t="shared" si="2"/>
        <v>4.777777778</v>
      </c>
      <c r="K44" s="2">
        <v>100.0</v>
      </c>
      <c r="L44" s="2">
        <v>80.0</v>
      </c>
      <c r="N44" s="3">
        <f t="shared" si="3"/>
        <v>80</v>
      </c>
      <c r="O44" s="2">
        <v>96.0</v>
      </c>
      <c r="P44" s="2">
        <f t="shared" si="4"/>
        <v>11.8</v>
      </c>
      <c r="Q44" s="2">
        <v>5.0</v>
      </c>
      <c r="R44" s="2">
        <v>3.0</v>
      </c>
      <c r="S44" s="2">
        <v>9.5</v>
      </c>
      <c r="T44" s="2">
        <v>0.0</v>
      </c>
      <c r="U44" s="2">
        <v>8.0</v>
      </c>
      <c r="V44" s="2">
        <v>9.0</v>
      </c>
      <c r="W44" s="2">
        <v>15.0</v>
      </c>
      <c r="X44" s="2">
        <v>24.0</v>
      </c>
      <c r="Y44" s="2">
        <v>28.0</v>
      </c>
      <c r="Z44" s="2">
        <v>29.0</v>
      </c>
      <c r="AA44" s="2">
        <v>29.0</v>
      </c>
      <c r="AB44" s="2">
        <f t="shared" si="5"/>
        <v>7.975</v>
      </c>
      <c r="AC44" s="2">
        <v>50.0</v>
      </c>
      <c r="AD44" s="2">
        <v>350.0</v>
      </c>
      <c r="AF44" s="3">
        <f t="shared" si="6"/>
        <v>10</v>
      </c>
      <c r="AG44" s="4">
        <f t="shared" si="7"/>
        <v>55.05277778</v>
      </c>
      <c r="AH44" s="2" t="s">
        <v>55</v>
      </c>
    </row>
    <row r="45">
      <c r="A45" s="1" t="s">
        <v>164</v>
      </c>
      <c r="B45" s="1" t="s">
        <v>165</v>
      </c>
      <c r="C45" s="2" t="s">
        <v>166</v>
      </c>
      <c r="D45" s="2">
        <f>VLOOKUP(B45, 'CSE-Sandeep'!$B$2:$G$61,5)</f>
        <v>46</v>
      </c>
      <c r="E45" s="2">
        <v>31.0</v>
      </c>
      <c r="F45" s="2">
        <f t="shared" si="1"/>
        <v>38.5</v>
      </c>
      <c r="G45" s="2">
        <v>16.0</v>
      </c>
      <c r="I45" s="2">
        <v>30.0</v>
      </c>
      <c r="J45" s="3">
        <f t="shared" si="2"/>
        <v>7.333333333</v>
      </c>
      <c r="K45" s="2">
        <v>100.0</v>
      </c>
      <c r="N45" s="3">
        <f t="shared" si="3"/>
        <v>0</v>
      </c>
      <c r="P45" s="2">
        <f t="shared" si="4"/>
        <v>5</v>
      </c>
      <c r="Q45" s="2">
        <v>7.0</v>
      </c>
      <c r="R45" s="2">
        <v>9.0</v>
      </c>
      <c r="T45" s="2">
        <v>9.0</v>
      </c>
      <c r="U45" s="2">
        <v>12.0</v>
      </c>
      <c r="V45" s="2">
        <v>12.0</v>
      </c>
      <c r="W45" s="2">
        <v>16.0</v>
      </c>
      <c r="Z45" s="2">
        <v>30.0</v>
      </c>
      <c r="AB45" s="2">
        <f t="shared" si="5"/>
        <v>4.75</v>
      </c>
      <c r="AC45" s="2">
        <v>10.0</v>
      </c>
      <c r="AF45" s="3">
        <f t="shared" si="6"/>
        <v>0.25</v>
      </c>
      <c r="AG45" s="4">
        <f t="shared" si="7"/>
        <v>55.83333333</v>
      </c>
      <c r="AH45" s="2" t="s">
        <v>55</v>
      </c>
    </row>
    <row r="46">
      <c r="A46" s="1" t="s">
        <v>659</v>
      </c>
      <c r="B46" s="1" t="s">
        <v>660</v>
      </c>
      <c r="C46" s="2" t="s">
        <v>661</v>
      </c>
      <c r="D46" s="2">
        <f>VLOOKUP(B46, 'ME-Subhashree'!$B$2:$F$56,5)</f>
        <v>35</v>
      </c>
      <c r="E46" s="2">
        <v>21.0</v>
      </c>
      <c r="F46" s="2">
        <f t="shared" si="1"/>
        <v>28</v>
      </c>
      <c r="G46" s="2">
        <v>4.0</v>
      </c>
      <c r="H46" s="2">
        <v>5.0</v>
      </c>
      <c r="I46" s="2">
        <v>20.0</v>
      </c>
      <c r="J46" s="3">
        <f t="shared" si="2"/>
        <v>4.472222222</v>
      </c>
      <c r="K46" s="2">
        <v>90.0</v>
      </c>
      <c r="L46" s="2">
        <v>175.0</v>
      </c>
      <c r="N46" s="3">
        <f t="shared" si="3"/>
        <v>175</v>
      </c>
      <c r="O46" s="2">
        <v>98.0</v>
      </c>
      <c r="P46" s="2">
        <f t="shared" si="4"/>
        <v>13.775</v>
      </c>
      <c r="Q46" s="2">
        <v>6.0</v>
      </c>
      <c r="R46" s="2">
        <v>2.0</v>
      </c>
      <c r="S46" s="2">
        <v>6.0</v>
      </c>
      <c r="T46" s="2">
        <v>5.0</v>
      </c>
      <c r="U46" s="2">
        <v>12.0</v>
      </c>
      <c r="V46" s="2">
        <v>13.0</v>
      </c>
      <c r="W46" s="2">
        <v>18.0</v>
      </c>
      <c r="X46" s="2">
        <v>25.0</v>
      </c>
      <c r="Y46" s="2">
        <v>28.0</v>
      </c>
      <c r="Z46" s="2">
        <v>30.0</v>
      </c>
      <c r="AA46" s="2">
        <v>28.0</v>
      </c>
      <c r="AB46" s="2">
        <f t="shared" si="5"/>
        <v>8.65</v>
      </c>
      <c r="AC46" s="2">
        <v>40.0</v>
      </c>
      <c r="AF46" s="3">
        <f t="shared" si="6"/>
        <v>1</v>
      </c>
      <c r="AG46" s="4">
        <f t="shared" si="7"/>
        <v>55.89722222</v>
      </c>
      <c r="AH46" s="2" t="s">
        <v>55</v>
      </c>
    </row>
    <row r="47">
      <c r="A47" s="1" t="s">
        <v>226</v>
      </c>
      <c r="B47" s="1" t="s">
        <v>227</v>
      </c>
      <c r="C47" s="2" t="s">
        <v>228</v>
      </c>
      <c r="D47" s="2">
        <f>VLOOKUP(B47,'DSAI-Vikrant'!$B$2:$F$44,5)</f>
        <v>20</v>
      </c>
      <c r="E47" s="2">
        <v>26.0</v>
      </c>
      <c r="F47" s="2">
        <f t="shared" si="1"/>
        <v>23</v>
      </c>
      <c r="G47" s="2">
        <v>13.0</v>
      </c>
      <c r="H47" s="2">
        <v>2.5</v>
      </c>
      <c r="I47" s="2">
        <v>8.0</v>
      </c>
      <c r="J47" s="3">
        <f t="shared" si="2"/>
        <v>4.763888889</v>
      </c>
      <c r="K47" s="2">
        <v>95.0</v>
      </c>
      <c r="L47" s="2">
        <v>170.0</v>
      </c>
      <c r="N47" s="3">
        <f t="shared" si="3"/>
        <v>170</v>
      </c>
      <c r="O47" s="2">
        <v>75.0</v>
      </c>
      <c r="P47" s="2">
        <f t="shared" si="4"/>
        <v>12.75</v>
      </c>
      <c r="Q47" s="2">
        <v>4.0</v>
      </c>
      <c r="R47" s="2">
        <v>8.0</v>
      </c>
      <c r="S47" s="2">
        <v>10.0</v>
      </c>
      <c r="T47" s="2">
        <v>10.0</v>
      </c>
      <c r="U47" s="2">
        <v>14.0</v>
      </c>
      <c r="V47" s="2">
        <v>13.5</v>
      </c>
      <c r="W47" s="2">
        <v>20.0</v>
      </c>
      <c r="X47" s="2">
        <v>27.0</v>
      </c>
      <c r="Y47" s="2">
        <v>21.0</v>
      </c>
      <c r="AA47" s="2">
        <v>28.0</v>
      </c>
      <c r="AB47" s="2">
        <f t="shared" si="5"/>
        <v>7.775</v>
      </c>
      <c r="AC47" s="2">
        <v>30.0</v>
      </c>
      <c r="AD47" s="2">
        <v>280.0</v>
      </c>
      <c r="AF47" s="3">
        <f t="shared" si="6"/>
        <v>7.75</v>
      </c>
      <c r="AG47" s="4">
        <f t="shared" si="7"/>
        <v>56.03888889</v>
      </c>
      <c r="AH47" s="2" t="s">
        <v>55</v>
      </c>
    </row>
    <row r="48">
      <c r="A48" s="2" t="s">
        <v>1013</v>
      </c>
      <c r="B48" s="2" t="s">
        <v>1014</v>
      </c>
      <c r="C48" s="2" t="s">
        <v>1015</v>
      </c>
      <c r="D48" s="2">
        <f>VLOOKUP(B48, 'MSC-Vikrant'!B8:F19,5)</f>
        <v>30</v>
      </c>
      <c r="E48" s="2">
        <v>17.0</v>
      </c>
      <c r="F48" s="2">
        <f t="shared" si="1"/>
        <v>23.5</v>
      </c>
      <c r="G48" s="2">
        <v>7.0</v>
      </c>
      <c r="H48" s="2">
        <v>13.0</v>
      </c>
      <c r="I48" s="2">
        <v>8.5</v>
      </c>
      <c r="J48" s="3">
        <f t="shared" si="2"/>
        <v>5.944444444</v>
      </c>
      <c r="K48" s="2">
        <v>90.0</v>
      </c>
      <c r="M48" s="2">
        <v>165.0</v>
      </c>
      <c r="N48" s="3">
        <f t="shared" si="3"/>
        <v>165</v>
      </c>
      <c r="O48" s="2">
        <v>90.0</v>
      </c>
      <c r="P48" s="2">
        <f t="shared" si="4"/>
        <v>13.125</v>
      </c>
      <c r="Q48" s="2">
        <v>6.0</v>
      </c>
      <c r="S48" s="2">
        <v>8.0</v>
      </c>
      <c r="T48" s="2">
        <v>5.0</v>
      </c>
      <c r="U48" s="2">
        <v>15.0</v>
      </c>
      <c r="W48" s="2">
        <v>13.0</v>
      </c>
      <c r="Z48" s="2">
        <v>30.0</v>
      </c>
      <c r="AA48" s="2">
        <v>28.0</v>
      </c>
      <c r="AB48" s="2">
        <f t="shared" si="5"/>
        <v>5.25</v>
      </c>
      <c r="AC48" s="2">
        <v>50.0</v>
      </c>
      <c r="AD48" s="2">
        <v>310.0</v>
      </c>
      <c r="AF48" s="3">
        <f t="shared" si="6"/>
        <v>9</v>
      </c>
      <c r="AG48" s="4">
        <f t="shared" si="7"/>
        <v>56.81944444</v>
      </c>
      <c r="AH48" s="2" t="s">
        <v>55</v>
      </c>
    </row>
    <row r="49">
      <c r="A49" s="1" t="s">
        <v>321</v>
      </c>
      <c r="B49" s="1" t="s">
        <v>322</v>
      </c>
      <c r="C49" s="2" t="s">
        <v>323</v>
      </c>
      <c r="D49" s="2">
        <f>VLOOKUP(B49,'DSAI-Vikrant'!$B$2:$F$44,5)</f>
        <v>27</v>
      </c>
      <c r="E49" s="2">
        <v>13.0</v>
      </c>
      <c r="F49" s="2">
        <f t="shared" si="1"/>
        <v>20</v>
      </c>
      <c r="G49" s="2">
        <v>10.0</v>
      </c>
      <c r="H49" s="2">
        <v>5.0</v>
      </c>
      <c r="I49" s="2">
        <v>15.5</v>
      </c>
      <c r="J49" s="3">
        <f t="shared" si="2"/>
        <v>5.472222222</v>
      </c>
      <c r="K49" s="2">
        <v>80.0</v>
      </c>
      <c r="L49" s="2">
        <v>0.0</v>
      </c>
      <c r="M49" s="2">
        <v>175.0</v>
      </c>
      <c r="N49" s="3">
        <f t="shared" si="3"/>
        <v>175</v>
      </c>
      <c r="O49" s="2">
        <v>92.0</v>
      </c>
      <c r="P49" s="2">
        <f t="shared" si="4"/>
        <v>12.975</v>
      </c>
      <c r="Q49" s="2">
        <v>5.0</v>
      </c>
      <c r="R49" s="2">
        <v>4.0</v>
      </c>
      <c r="S49" s="2">
        <v>7.0</v>
      </c>
      <c r="T49" s="2">
        <v>11.0</v>
      </c>
      <c r="U49" s="2">
        <v>14.0</v>
      </c>
      <c r="V49" s="2">
        <v>13.0</v>
      </c>
      <c r="W49" s="2">
        <v>14.0</v>
      </c>
      <c r="X49" s="2">
        <v>29.0</v>
      </c>
      <c r="Y49" s="2">
        <v>25.0</v>
      </c>
      <c r="Z49" s="2">
        <v>28.0</v>
      </c>
      <c r="AA49" s="2">
        <v>28.0</v>
      </c>
      <c r="AB49" s="2">
        <f t="shared" si="5"/>
        <v>8.9</v>
      </c>
      <c r="AC49" s="2">
        <v>50.0</v>
      </c>
      <c r="AD49" s="2">
        <v>330.0</v>
      </c>
      <c r="AF49" s="3">
        <f t="shared" si="6"/>
        <v>9.5</v>
      </c>
      <c r="AG49" s="4">
        <f t="shared" si="7"/>
        <v>56.84722222</v>
      </c>
      <c r="AH49" s="2" t="s">
        <v>55</v>
      </c>
    </row>
    <row r="50">
      <c r="A50" s="1" t="s">
        <v>548</v>
      </c>
      <c r="B50" s="1" t="s">
        <v>549</v>
      </c>
      <c r="C50" s="2" t="s">
        <v>550</v>
      </c>
      <c r="D50" s="2">
        <f>VLOOKUP(B50, 'EE-Nitin'!$B$2:$F$57,5)</f>
        <v>25</v>
      </c>
      <c r="E50" s="2">
        <v>15.0</v>
      </c>
      <c r="F50" s="2">
        <f t="shared" si="1"/>
        <v>20</v>
      </c>
      <c r="G50" s="2">
        <v>4.0</v>
      </c>
      <c r="H50" s="2">
        <v>8.0</v>
      </c>
      <c r="I50" s="2">
        <v>26.0</v>
      </c>
      <c r="J50" s="3">
        <f t="shared" si="2"/>
        <v>5.888888889</v>
      </c>
      <c r="K50" s="2">
        <v>93.0</v>
      </c>
      <c r="L50" s="2">
        <v>170.0</v>
      </c>
      <c r="M50" s="2">
        <v>165.0</v>
      </c>
      <c r="N50" s="3">
        <f t="shared" si="3"/>
        <v>170</v>
      </c>
      <c r="O50" s="2">
        <v>98.0</v>
      </c>
      <c r="P50" s="2">
        <f t="shared" si="4"/>
        <v>13.8</v>
      </c>
      <c r="Q50" s="2">
        <v>7.0</v>
      </c>
      <c r="R50" s="2">
        <v>2.0</v>
      </c>
      <c r="S50" s="2">
        <v>7.0</v>
      </c>
      <c r="T50" s="2">
        <v>12.0</v>
      </c>
      <c r="U50" s="2">
        <v>14.5</v>
      </c>
      <c r="V50" s="2">
        <v>11.5</v>
      </c>
      <c r="W50" s="2">
        <v>19.5</v>
      </c>
      <c r="X50" s="2">
        <v>28.0</v>
      </c>
      <c r="Y50" s="2">
        <v>0.0</v>
      </c>
      <c r="Z50" s="2">
        <v>28.0</v>
      </c>
      <c r="AA50" s="2">
        <v>28.0</v>
      </c>
      <c r="AB50" s="2">
        <f t="shared" si="5"/>
        <v>7.875</v>
      </c>
      <c r="AC50" s="2">
        <v>45.0</v>
      </c>
      <c r="AD50" s="2">
        <v>345.0</v>
      </c>
      <c r="AF50" s="3">
        <f t="shared" si="6"/>
        <v>9.75</v>
      </c>
      <c r="AG50" s="4">
        <f t="shared" si="7"/>
        <v>57.31388889</v>
      </c>
      <c r="AH50" s="2" t="s">
        <v>55</v>
      </c>
    </row>
    <row r="51">
      <c r="A51" s="1" t="s">
        <v>614</v>
      </c>
      <c r="B51" s="1" t="s">
        <v>615</v>
      </c>
      <c r="C51" s="2" t="s">
        <v>616</v>
      </c>
      <c r="D51" s="2">
        <f>VLOOKUP(B51, 'EE-Nitin'!$B$2:$F$57,5)</f>
        <v>22</v>
      </c>
      <c r="E51" s="2">
        <v>19.0</v>
      </c>
      <c r="F51" s="2">
        <f t="shared" si="1"/>
        <v>20.5</v>
      </c>
      <c r="G51" s="2">
        <v>5.0</v>
      </c>
      <c r="H51" s="2">
        <v>8.0</v>
      </c>
      <c r="I51" s="2">
        <v>26.5</v>
      </c>
      <c r="J51" s="3">
        <f t="shared" si="2"/>
        <v>6.194444444</v>
      </c>
      <c r="K51" s="2">
        <v>100.0</v>
      </c>
      <c r="L51" s="2">
        <v>110.0</v>
      </c>
      <c r="N51" s="3">
        <f t="shared" si="3"/>
        <v>110</v>
      </c>
      <c r="O51" s="2">
        <v>80.0</v>
      </c>
      <c r="P51" s="2">
        <f t="shared" si="4"/>
        <v>11.75</v>
      </c>
      <c r="Q51" s="2">
        <v>7.0</v>
      </c>
      <c r="R51" s="2">
        <v>0.0</v>
      </c>
      <c r="S51" s="2">
        <v>12.0</v>
      </c>
      <c r="T51" s="2">
        <v>8.0</v>
      </c>
      <c r="U51" s="2">
        <v>14.0</v>
      </c>
      <c r="V51" s="2">
        <v>15.0</v>
      </c>
      <c r="W51" s="2">
        <v>20.0</v>
      </c>
      <c r="X51" s="2">
        <v>28.0</v>
      </c>
      <c r="Y51" s="2">
        <v>27.0</v>
      </c>
      <c r="Z51" s="2">
        <v>30.0</v>
      </c>
      <c r="AA51" s="2">
        <v>28.0</v>
      </c>
      <c r="AB51" s="2">
        <f t="shared" si="5"/>
        <v>9.45</v>
      </c>
      <c r="AC51" s="2">
        <v>50.0</v>
      </c>
      <c r="AD51" s="2">
        <v>330.0</v>
      </c>
      <c r="AF51" s="3">
        <f t="shared" si="6"/>
        <v>9.5</v>
      </c>
      <c r="AG51" s="4">
        <f t="shared" si="7"/>
        <v>57.39444444</v>
      </c>
      <c r="AH51" s="2" t="s">
        <v>55</v>
      </c>
    </row>
    <row r="52">
      <c r="A52" s="1" t="s">
        <v>396</v>
      </c>
      <c r="B52" s="1" t="s">
        <v>397</v>
      </c>
      <c r="C52" s="2" t="s">
        <v>398</v>
      </c>
      <c r="D52" s="2">
        <f>VLOOKUP(B52,'EC-Nitin'!$B$2:$F$46,5)</f>
        <v>34</v>
      </c>
      <c r="E52" s="2">
        <v>10.0</v>
      </c>
      <c r="F52" s="2">
        <f t="shared" si="1"/>
        <v>22</v>
      </c>
      <c r="G52" s="2">
        <v>4.0</v>
      </c>
      <c r="H52" s="2">
        <v>17.5</v>
      </c>
      <c r="I52" s="2">
        <v>19.0</v>
      </c>
      <c r="J52" s="3">
        <f t="shared" si="2"/>
        <v>7.486111111</v>
      </c>
      <c r="K52" s="2">
        <v>100.0</v>
      </c>
      <c r="L52" s="2">
        <v>185.0</v>
      </c>
      <c r="N52" s="3">
        <f t="shared" si="3"/>
        <v>185</v>
      </c>
      <c r="O52" s="2">
        <v>95.0</v>
      </c>
      <c r="P52" s="2">
        <f t="shared" si="4"/>
        <v>14.375</v>
      </c>
      <c r="R52" s="2">
        <v>5.0</v>
      </c>
      <c r="S52" s="2">
        <v>0.0</v>
      </c>
      <c r="T52" s="2">
        <v>5.0</v>
      </c>
      <c r="U52" s="2">
        <v>0.0</v>
      </c>
      <c r="V52" s="2">
        <v>0.0</v>
      </c>
      <c r="W52" s="2">
        <v>0.0</v>
      </c>
      <c r="X52" s="2">
        <v>13.0</v>
      </c>
      <c r="Y52" s="2">
        <v>30.0</v>
      </c>
      <c r="Z52" s="2">
        <v>28.0</v>
      </c>
      <c r="AB52" s="2">
        <f t="shared" si="5"/>
        <v>4.05</v>
      </c>
      <c r="AC52" s="2">
        <v>49.0</v>
      </c>
      <c r="AD52" s="2">
        <v>346.0</v>
      </c>
      <c r="AF52" s="3">
        <f t="shared" si="6"/>
        <v>9.875</v>
      </c>
      <c r="AG52" s="4">
        <f t="shared" si="7"/>
        <v>57.78611111</v>
      </c>
      <c r="AH52" s="2" t="s">
        <v>32</v>
      </c>
    </row>
    <row r="53">
      <c r="A53" s="1" t="s">
        <v>134</v>
      </c>
      <c r="B53" s="1" t="s">
        <v>135</v>
      </c>
      <c r="C53" s="2" t="s">
        <v>136</v>
      </c>
      <c r="D53" s="2">
        <f>VLOOKUP(B53, 'CSE-Sandeep'!$B$2:$G$61,5)</f>
        <v>27</v>
      </c>
      <c r="E53" s="2">
        <v>21.0</v>
      </c>
      <c r="F53" s="2">
        <f t="shared" si="1"/>
        <v>24</v>
      </c>
      <c r="G53" s="2">
        <v>5.0</v>
      </c>
      <c r="H53" s="2">
        <v>5.5</v>
      </c>
      <c r="I53" s="2">
        <v>18.5</v>
      </c>
      <c r="J53" s="3">
        <f t="shared" si="2"/>
        <v>4.680555556</v>
      </c>
      <c r="K53" s="2">
        <v>100.0</v>
      </c>
      <c r="L53" s="2">
        <v>200.0</v>
      </c>
      <c r="N53" s="3">
        <f t="shared" si="3"/>
        <v>200</v>
      </c>
      <c r="O53" s="2">
        <v>80.0</v>
      </c>
      <c r="P53" s="2">
        <f t="shared" si="4"/>
        <v>14</v>
      </c>
      <c r="Q53" s="2">
        <v>4.0</v>
      </c>
      <c r="R53" s="2">
        <v>2.0</v>
      </c>
      <c r="S53" s="2">
        <v>11.0</v>
      </c>
      <c r="T53" s="2">
        <v>11.0</v>
      </c>
      <c r="U53" s="2">
        <v>0.0</v>
      </c>
      <c r="V53" s="2">
        <v>11.0</v>
      </c>
      <c r="W53" s="2">
        <v>16.0</v>
      </c>
      <c r="X53" s="2">
        <v>24.0</v>
      </c>
      <c r="Z53" s="2">
        <v>28.0</v>
      </c>
      <c r="AB53" s="2">
        <f t="shared" si="5"/>
        <v>5.35</v>
      </c>
      <c r="AC53" s="2">
        <v>50.0</v>
      </c>
      <c r="AD53" s="2">
        <v>350.0</v>
      </c>
      <c r="AF53" s="3">
        <f t="shared" si="6"/>
        <v>10</v>
      </c>
      <c r="AG53" s="4">
        <f t="shared" si="7"/>
        <v>58.03055556</v>
      </c>
      <c r="AH53" s="2" t="s">
        <v>32</v>
      </c>
    </row>
    <row r="54">
      <c r="A54" s="1" t="s">
        <v>838</v>
      </c>
      <c r="B54" s="1" t="s">
        <v>839</v>
      </c>
      <c r="C54" s="2" t="s">
        <v>840</v>
      </c>
      <c r="D54" s="2">
        <f>VLOOKUP(B54,'MM-Subhashree'!$B$2:F$26,5)</f>
        <v>21</v>
      </c>
      <c r="E54" s="2">
        <v>16.0</v>
      </c>
      <c r="F54" s="2">
        <f t="shared" si="1"/>
        <v>18.5</v>
      </c>
      <c r="G54" s="2">
        <v>4.0</v>
      </c>
      <c r="H54" s="2">
        <v>1.0</v>
      </c>
      <c r="I54" s="2">
        <v>39.0</v>
      </c>
      <c r="J54" s="3">
        <f t="shared" si="2"/>
        <v>5.583333333</v>
      </c>
      <c r="K54" s="2">
        <v>100.0</v>
      </c>
      <c r="L54" s="2">
        <v>189.0</v>
      </c>
      <c r="N54" s="3">
        <f t="shared" si="3"/>
        <v>189</v>
      </c>
      <c r="O54" s="2">
        <v>98.0</v>
      </c>
      <c r="P54" s="2">
        <f t="shared" si="4"/>
        <v>14.625</v>
      </c>
      <c r="Q54" s="2">
        <v>7.0</v>
      </c>
      <c r="R54" s="2">
        <v>6.0</v>
      </c>
      <c r="S54" s="2">
        <v>14.0</v>
      </c>
      <c r="T54" s="2">
        <v>13.0</v>
      </c>
      <c r="U54" s="2">
        <v>14.5</v>
      </c>
      <c r="V54" s="2">
        <v>7.5</v>
      </c>
      <c r="W54" s="2">
        <v>19.5</v>
      </c>
      <c r="X54" s="2">
        <v>28.0</v>
      </c>
      <c r="Y54" s="2">
        <v>25.0</v>
      </c>
      <c r="Z54" s="2">
        <v>29.0</v>
      </c>
      <c r="AA54" s="2">
        <v>28.0</v>
      </c>
      <c r="AB54" s="2">
        <f t="shared" si="5"/>
        <v>9.575</v>
      </c>
      <c r="AC54" s="2">
        <v>48.0</v>
      </c>
      <c r="AD54" s="2">
        <v>350.0</v>
      </c>
      <c r="AF54" s="3">
        <f t="shared" si="6"/>
        <v>9.95</v>
      </c>
      <c r="AG54" s="4">
        <f t="shared" si="7"/>
        <v>58.23333333</v>
      </c>
      <c r="AH54" s="2" t="s">
        <v>32</v>
      </c>
    </row>
    <row r="55">
      <c r="A55" s="1" t="s">
        <v>232</v>
      </c>
      <c r="B55" s="1" t="s">
        <v>233</v>
      </c>
      <c r="C55" s="2" t="s">
        <v>234</v>
      </c>
      <c r="D55" s="2">
        <f>VLOOKUP(B55,'DSAI-Vikrant'!$B$2:$F$44,5)</f>
        <v>33</v>
      </c>
      <c r="E55" s="2">
        <v>15.0</v>
      </c>
      <c r="F55" s="2">
        <f t="shared" si="1"/>
        <v>24</v>
      </c>
      <c r="G55" s="2">
        <v>9.0</v>
      </c>
      <c r="H55" s="2">
        <v>8.0</v>
      </c>
      <c r="I55" s="2">
        <v>16.0</v>
      </c>
      <c r="J55" s="3">
        <f t="shared" si="2"/>
        <v>6.027777778</v>
      </c>
      <c r="K55" s="2">
        <v>90.0</v>
      </c>
      <c r="L55" s="2">
        <v>160.0</v>
      </c>
      <c r="N55" s="3">
        <f t="shared" si="3"/>
        <v>160</v>
      </c>
      <c r="O55" s="2">
        <v>100.0</v>
      </c>
      <c r="P55" s="2">
        <f t="shared" si="4"/>
        <v>13.5</v>
      </c>
      <c r="Q55" s="2">
        <v>7.0</v>
      </c>
      <c r="R55" s="2">
        <v>6.0</v>
      </c>
      <c r="S55" s="2">
        <v>6.0</v>
      </c>
      <c r="T55" s="2">
        <v>7.0</v>
      </c>
      <c r="U55" s="2">
        <v>13.0</v>
      </c>
      <c r="V55" s="2">
        <v>13.0</v>
      </c>
      <c r="W55" s="2">
        <v>0.0</v>
      </c>
      <c r="X55" s="2">
        <v>26.0</v>
      </c>
      <c r="Y55" s="2">
        <v>26.0</v>
      </c>
      <c r="Z55" s="2">
        <v>30.0</v>
      </c>
      <c r="AB55" s="2">
        <f t="shared" si="5"/>
        <v>6.7</v>
      </c>
      <c r="AC55" s="2">
        <v>35.0</v>
      </c>
      <c r="AD55" s="2">
        <v>300.0</v>
      </c>
      <c r="AF55" s="3">
        <f t="shared" si="6"/>
        <v>8.375</v>
      </c>
      <c r="AG55" s="4">
        <f t="shared" si="7"/>
        <v>58.60277778</v>
      </c>
      <c r="AH55" s="2" t="s">
        <v>32</v>
      </c>
    </row>
    <row r="56">
      <c r="A56" s="1" t="s">
        <v>925</v>
      </c>
      <c r="B56" s="1" t="s">
        <v>926</v>
      </c>
      <c r="C56" s="2" t="s">
        <v>927</v>
      </c>
      <c r="D56" s="2">
        <f>VLOOKUP(B56,MT!$B$2:$F$30,5)</f>
        <v>30</v>
      </c>
      <c r="E56" s="2">
        <v>11.0</v>
      </c>
      <c r="F56" s="2">
        <f t="shared" si="1"/>
        <v>20.5</v>
      </c>
      <c r="G56" s="2">
        <v>5.0</v>
      </c>
      <c r="H56" s="2">
        <v>9.5</v>
      </c>
      <c r="I56" s="2">
        <v>20.0</v>
      </c>
      <c r="J56" s="3">
        <f t="shared" si="2"/>
        <v>5.847222222</v>
      </c>
      <c r="K56" s="2">
        <v>90.0</v>
      </c>
      <c r="L56" s="2">
        <v>200.0</v>
      </c>
      <c r="N56" s="3">
        <f t="shared" si="3"/>
        <v>200</v>
      </c>
      <c r="O56" s="2">
        <v>100.0</v>
      </c>
      <c r="P56" s="2">
        <f t="shared" si="4"/>
        <v>14.5</v>
      </c>
      <c r="Q56" s="2">
        <v>3.0</v>
      </c>
      <c r="R56" s="2">
        <v>3.0</v>
      </c>
      <c r="S56" s="2">
        <v>10.0</v>
      </c>
      <c r="T56" s="2">
        <v>14.0</v>
      </c>
      <c r="U56" s="2">
        <v>10.0</v>
      </c>
      <c r="W56" s="2">
        <v>19.0</v>
      </c>
      <c r="X56" s="2">
        <v>29.0</v>
      </c>
      <c r="Y56" s="2">
        <v>30.0</v>
      </c>
      <c r="Z56" s="2">
        <v>29.0</v>
      </c>
      <c r="AA56" s="2">
        <v>30.0</v>
      </c>
      <c r="AB56" s="2">
        <f t="shared" si="5"/>
        <v>8.85</v>
      </c>
      <c r="AC56" s="2">
        <v>45.0</v>
      </c>
      <c r="AD56" s="2">
        <v>340.0</v>
      </c>
      <c r="AF56" s="3">
        <f t="shared" si="6"/>
        <v>9.625</v>
      </c>
      <c r="AG56" s="4">
        <f t="shared" si="7"/>
        <v>59.32222222</v>
      </c>
      <c r="AH56" s="2" t="s">
        <v>32</v>
      </c>
    </row>
    <row r="57">
      <c r="A57" s="1" t="s">
        <v>814</v>
      </c>
      <c r="B57" s="1" t="s">
        <v>815</v>
      </c>
      <c r="C57" s="2" t="s">
        <v>816</v>
      </c>
      <c r="D57" s="2">
        <f>VLOOKUP(B57,'MM-Subhashree'!$B$2:F$26,5)</f>
        <v>30</v>
      </c>
      <c r="E57" s="2">
        <v>4.0</v>
      </c>
      <c r="F57" s="2">
        <f t="shared" si="1"/>
        <v>17</v>
      </c>
      <c r="G57" s="2">
        <v>7.0</v>
      </c>
      <c r="H57" s="2">
        <v>13.0</v>
      </c>
      <c r="I57" s="2">
        <v>38.0</v>
      </c>
      <c r="J57" s="3">
        <f t="shared" si="2"/>
        <v>9.222222222</v>
      </c>
      <c r="K57" s="2">
        <v>87.0</v>
      </c>
      <c r="L57" s="2">
        <v>191.0</v>
      </c>
      <c r="N57" s="3">
        <f t="shared" si="3"/>
        <v>191</v>
      </c>
      <c r="O57" s="2">
        <v>99.0</v>
      </c>
      <c r="P57" s="2">
        <f t="shared" si="4"/>
        <v>14.075</v>
      </c>
      <c r="Q57" s="2">
        <v>7.0</v>
      </c>
      <c r="R57" s="2">
        <v>6.0</v>
      </c>
      <c r="S57" s="2">
        <v>9.0</v>
      </c>
      <c r="U57" s="2">
        <v>15.0</v>
      </c>
      <c r="V57" s="2">
        <v>15.0</v>
      </c>
      <c r="W57" s="2">
        <v>20.0</v>
      </c>
      <c r="X57" s="2">
        <v>29.0</v>
      </c>
      <c r="Y57" s="2">
        <v>26.0</v>
      </c>
      <c r="Z57" s="2">
        <v>30.0</v>
      </c>
      <c r="AA57" s="2">
        <v>29.0</v>
      </c>
      <c r="AB57" s="2">
        <f t="shared" si="5"/>
        <v>9.3</v>
      </c>
      <c r="AC57" s="2">
        <v>49.0</v>
      </c>
      <c r="AD57" s="2">
        <v>350.0</v>
      </c>
      <c r="AF57" s="3">
        <f t="shared" si="6"/>
        <v>9.975</v>
      </c>
      <c r="AG57" s="4">
        <f t="shared" si="7"/>
        <v>59.57222222</v>
      </c>
      <c r="AH57" s="2" t="s">
        <v>32</v>
      </c>
    </row>
    <row r="58">
      <c r="A58" s="1" t="s">
        <v>844</v>
      </c>
      <c r="B58" s="1" t="s">
        <v>845</v>
      </c>
      <c r="C58" s="2" t="s">
        <v>846</v>
      </c>
      <c r="D58" s="2">
        <f>VLOOKUP(B58,'MM-Subhashree'!$B$2:F$26,5)</f>
        <v>25</v>
      </c>
      <c r="E58" s="2">
        <v>10.0</v>
      </c>
      <c r="F58" s="2">
        <f t="shared" si="1"/>
        <v>17.5</v>
      </c>
      <c r="G58" s="2">
        <v>9.0</v>
      </c>
      <c r="H58" s="2">
        <v>13.0</v>
      </c>
      <c r="I58" s="2">
        <v>39.0</v>
      </c>
      <c r="J58" s="3">
        <f t="shared" si="2"/>
        <v>9.833333333</v>
      </c>
      <c r="K58" s="2">
        <v>82.0</v>
      </c>
      <c r="L58" s="2">
        <v>156.0</v>
      </c>
      <c r="N58" s="3">
        <f t="shared" si="3"/>
        <v>156</v>
      </c>
      <c r="O58" s="2">
        <v>98.0</v>
      </c>
      <c r="P58" s="2">
        <f t="shared" si="4"/>
        <v>12.9</v>
      </c>
      <c r="Q58" s="2">
        <v>7.0</v>
      </c>
      <c r="R58" s="2">
        <v>3.0</v>
      </c>
      <c r="S58" s="2">
        <v>6.0</v>
      </c>
      <c r="T58" s="2">
        <v>14.0</v>
      </c>
      <c r="U58" s="2">
        <v>15.0</v>
      </c>
      <c r="V58" s="2">
        <v>12.0</v>
      </c>
      <c r="W58" s="2">
        <v>19.0</v>
      </c>
      <c r="X58" s="2">
        <v>29.0</v>
      </c>
      <c r="Y58" s="2">
        <v>28.0</v>
      </c>
      <c r="Z58" s="2">
        <v>29.0</v>
      </c>
      <c r="AA58" s="2">
        <v>29.0</v>
      </c>
      <c r="AB58" s="2">
        <f t="shared" si="5"/>
        <v>9.55</v>
      </c>
      <c r="AC58" s="2">
        <v>49.0</v>
      </c>
      <c r="AD58" s="2">
        <v>350.0</v>
      </c>
      <c r="AF58" s="3">
        <f t="shared" si="6"/>
        <v>9.975</v>
      </c>
      <c r="AG58" s="4">
        <f t="shared" si="7"/>
        <v>59.75833333</v>
      </c>
      <c r="AH58" s="2" t="s">
        <v>32</v>
      </c>
    </row>
    <row r="59">
      <c r="A59" s="1" t="s">
        <v>955</v>
      </c>
      <c r="B59" s="1" t="s">
        <v>956</v>
      </c>
      <c r="C59" s="2" t="s">
        <v>957</v>
      </c>
      <c r="D59" s="2">
        <f>VLOOKUP(B59,MT!$B$2:$F$30,5)</f>
        <v>30</v>
      </c>
      <c r="E59" s="2">
        <v>13.0</v>
      </c>
      <c r="F59" s="2">
        <f t="shared" si="1"/>
        <v>21.5</v>
      </c>
      <c r="G59" s="2">
        <v>6.0</v>
      </c>
      <c r="H59" s="2">
        <v>12.0</v>
      </c>
      <c r="I59" s="2">
        <v>-1.0</v>
      </c>
      <c r="J59" s="3">
        <f t="shared" si="2"/>
        <v>4.388888889</v>
      </c>
      <c r="K59" s="2">
        <v>85.0</v>
      </c>
      <c r="L59" s="2">
        <v>200.0</v>
      </c>
      <c r="N59" s="3">
        <f t="shared" si="3"/>
        <v>200</v>
      </c>
      <c r="O59" s="2">
        <v>100.0</v>
      </c>
      <c r="P59" s="2">
        <f t="shared" si="4"/>
        <v>14.25</v>
      </c>
      <c r="Q59" s="2">
        <v>7.0</v>
      </c>
      <c r="R59" s="2">
        <v>8.0</v>
      </c>
      <c r="S59" s="2">
        <v>12.0</v>
      </c>
      <c r="T59" s="2">
        <v>14.0</v>
      </c>
      <c r="U59" s="2">
        <v>12.0</v>
      </c>
      <c r="V59" s="2">
        <v>12.5</v>
      </c>
      <c r="W59" s="2">
        <v>18.0</v>
      </c>
      <c r="X59" s="2">
        <v>30.0</v>
      </c>
      <c r="Y59" s="2">
        <v>28.0</v>
      </c>
      <c r="Z59" s="2">
        <v>28.0</v>
      </c>
      <c r="AA59" s="2">
        <v>29.0</v>
      </c>
      <c r="AB59" s="2">
        <f t="shared" si="5"/>
        <v>9.925</v>
      </c>
      <c r="AC59" s="2">
        <v>50.0</v>
      </c>
      <c r="AD59" s="2">
        <v>345.0</v>
      </c>
      <c r="AF59" s="3">
        <f t="shared" si="6"/>
        <v>9.875</v>
      </c>
      <c r="AG59" s="4">
        <f t="shared" si="7"/>
        <v>59.93888889</v>
      </c>
      <c r="AH59" s="2" t="s">
        <v>32</v>
      </c>
    </row>
    <row r="60">
      <c r="A60" s="1" t="s">
        <v>170</v>
      </c>
      <c r="B60" s="1" t="s">
        <v>171</v>
      </c>
      <c r="C60" s="2" t="s">
        <v>172</v>
      </c>
      <c r="D60" s="2">
        <f>VLOOKUP(B60, 'CSE-Sandeep'!$B$2:$G$61,5)</f>
        <v>41</v>
      </c>
      <c r="E60" s="2">
        <v>21.0</v>
      </c>
      <c r="F60" s="2">
        <f t="shared" si="1"/>
        <v>31</v>
      </c>
      <c r="G60" s="2">
        <v>9.5</v>
      </c>
      <c r="H60" s="2">
        <v>12.0</v>
      </c>
      <c r="I60" s="2">
        <v>30.0</v>
      </c>
      <c r="J60" s="3">
        <f t="shared" si="2"/>
        <v>8.708333333</v>
      </c>
      <c r="K60" s="2">
        <v>100.0</v>
      </c>
      <c r="L60" s="2">
        <v>100.0</v>
      </c>
      <c r="M60" s="2">
        <v>190.0</v>
      </c>
      <c r="N60" s="3">
        <f t="shared" si="3"/>
        <v>190</v>
      </c>
      <c r="P60" s="2">
        <f t="shared" si="4"/>
        <v>9.75</v>
      </c>
      <c r="Q60" s="2">
        <v>6.0</v>
      </c>
      <c r="R60" s="2">
        <v>2.0</v>
      </c>
      <c r="T60" s="2">
        <v>10.0</v>
      </c>
      <c r="V60" s="2">
        <v>10.0</v>
      </c>
      <c r="W60" s="2">
        <v>18.0</v>
      </c>
      <c r="AB60" s="2">
        <f t="shared" si="5"/>
        <v>2.3</v>
      </c>
      <c r="AC60" s="2">
        <v>50.0</v>
      </c>
      <c r="AD60" s="2">
        <v>290.0</v>
      </c>
      <c r="AF60" s="3">
        <f t="shared" si="6"/>
        <v>8.5</v>
      </c>
      <c r="AG60" s="4">
        <f t="shared" si="7"/>
        <v>60.25833333</v>
      </c>
      <c r="AH60" s="2" t="s">
        <v>32</v>
      </c>
    </row>
    <row r="61">
      <c r="A61" s="1" t="s">
        <v>30</v>
      </c>
      <c r="B61" s="1" t="s">
        <v>31</v>
      </c>
      <c r="C61" s="2" t="s">
        <v>33</v>
      </c>
      <c r="D61" s="2">
        <f>VLOOKUP(B61, 'CSE-Sandeep'!$B$2:$G$61,5)</f>
        <v>24</v>
      </c>
      <c r="E61" s="2">
        <v>18.0</v>
      </c>
      <c r="F61" s="2">
        <f t="shared" si="1"/>
        <v>21</v>
      </c>
      <c r="G61" s="2">
        <v>15.0</v>
      </c>
      <c r="H61" s="2">
        <v>15.0</v>
      </c>
      <c r="I61" s="2">
        <v>35.0</v>
      </c>
      <c r="J61" s="3">
        <f t="shared" si="2"/>
        <v>11.38888889</v>
      </c>
      <c r="K61" s="2">
        <v>85.0</v>
      </c>
      <c r="L61" s="2">
        <v>180.0</v>
      </c>
      <c r="N61" s="3">
        <f t="shared" si="3"/>
        <v>180</v>
      </c>
      <c r="P61" s="2">
        <f t="shared" si="4"/>
        <v>8.75</v>
      </c>
      <c r="Q61" s="2">
        <v>5.0</v>
      </c>
      <c r="R61" s="2">
        <v>5.0</v>
      </c>
      <c r="S61" s="2">
        <v>14.0</v>
      </c>
      <c r="T61" s="2">
        <v>10.0</v>
      </c>
      <c r="U61" s="2">
        <v>15.0</v>
      </c>
      <c r="V61" s="2">
        <v>12.0</v>
      </c>
      <c r="W61" s="2">
        <v>20.0</v>
      </c>
      <c r="X61" s="2">
        <v>30.0</v>
      </c>
      <c r="Y61" s="2">
        <v>24.0</v>
      </c>
      <c r="Z61" s="2">
        <v>29.0</v>
      </c>
      <c r="AA61" s="2">
        <v>29.0</v>
      </c>
      <c r="AB61" s="2">
        <f t="shared" si="5"/>
        <v>9.65</v>
      </c>
      <c r="AC61" s="2">
        <v>40.0</v>
      </c>
      <c r="AD61" s="2">
        <v>340.0</v>
      </c>
      <c r="AF61" s="3">
        <f t="shared" si="6"/>
        <v>9.5</v>
      </c>
      <c r="AG61" s="4">
        <f t="shared" si="7"/>
        <v>60.28888889</v>
      </c>
      <c r="AH61" s="2" t="s">
        <v>32</v>
      </c>
    </row>
    <row r="62">
      <c r="A62" s="1" t="s">
        <v>608</v>
      </c>
      <c r="B62" s="1" t="s">
        <v>609</v>
      </c>
      <c r="C62" s="2" t="s">
        <v>610</v>
      </c>
      <c r="D62" s="2">
        <f>VLOOKUP(B62, 'EE-Nitin'!$B$2:$F$57,5)</f>
        <v>37</v>
      </c>
      <c r="E62" s="2">
        <v>20.0</v>
      </c>
      <c r="F62" s="2">
        <f t="shared" si="1"/>
        <v>28.5</v>
      </c>
      <c r="G62" s="2">
        <v>3.0</v>
      </c>
      <c r="H62" s="2">
        <v>7.0</v>
      </c>
      <c r="I62" s="2">
        <v>27.0</v>
      </c>
      <c r="J62" s="3">
        <f t="shared" si="2"/>
        <v>5.5</v>
      </c>
      <c r="K62" s="2">
        <v>60.0</v>
      </c>
      <c r="L62" s="2">
        <v>105.0</v>
      </c>
      <c r="N62" s="3">
        <f t="shared" si="3"/>
        <v>105</v>
      </c>
      <c r="O62" s="2">
        <v>100.0</v>
      </c>
      <c r="P62" s="2">
        <f t="shared" si="4"/>
        <v>10.625</v>
      </c>
      <c r="Q62" s="2">
        <v>0.0</v>
      </c>
      <c r="R62" s="2">
        <v>2.0</v>
      </c>
      <c r="S62" s="2">
        <v>0.0</v>
      </c>
      <c r="T62" s="2">
        <v>6.0</v>
      </c>
      <c r="U62" s="2">
        <v>5.0</v>
      </c>
      <c r="V62" s="2">
        <v>0.0</v>
      </c>
      <c r="W62" s="2">
        <v>15.0</v>
      </c>
      <c r="X62" s="2">
        <v>23.0</v>
      </c>
      <c r="Y62" s="2">
        <v>24.0</v>
      </c>
      <c r="Z62" s="2">
        <v>29.0</v>
      </c>
      <c r="AA62" s="2">
        <v>28.0</v>
      </c>
      <c r="AB62" s="2">
        <f t="shared" si="5"/>
        <v>6.6</v>
      </c>
      <c r="AC62" s="2">
        <v>30.0</v>
      </c>
      <c r="AD62" s="2">
        <v>335.0</v>
      </c>
      <c r="AF62" s="3">
        <f t="shared" si="6"/>
        <v>9.125</v>
      </c>
      <c r="AG62" s="4">
        <f t="shared" si="7"/>
        <v>60.35</v>
      </c>
      <c r="AH62" s="2" t="s">
        <v>32</v>
      </c>
    </row>
    <row r="63">
      <c r="A63" s="1" t="s">
        <v>823</v>
      </c>
      <c r="B63" s="1" t="s">
        <v>824</v>
      </c>
      <c r="C63" s="2" t="s">
        <v>825</v>
      </c>
      <c r="D63" s="2">
        <f>VLOOKUP(B63,'MM-Subhashree'!$B$2:F$26,5)</f>
        <v>25</v>
      </c>
      <c r="E63" s="2">
        <v>27.0</v>
      </c>
      <c r="F63" s="2">
        <f t="shared" si="1"/>
        <v>26</v>
      </c>
      <c r="G63" s="2">
        <v>7.0</v>
      </c>
      <c r="H63" s="2">
        <v>11.0</v>
      </c>
      <c r="I63" s="2">
        <v>38.0</v>
      </c>
      <c r="J63" s="3">
        <f t="shared" si="2"/>
        <v>8.722222222</v>
      </c>
      <c r="K63" s="2">
        <v>90.0</v>
      </c>
      <c r="L63" s="2">
        <v>150.0</v>
      </c>
      <c r="M63" s="2">
        <v>195.0</v>
      </c>
      <c r="N63" s="3">
        <f t="shared" si="3"/>
        <v>195</v>
      </c>
      <c r="P63" s="2">
        <f t="shared" si="4"/>
        <v>9.375</v>
      </c>
      <c r="Q63" s="2">
        <v>7.0</v>
      </c>
      <c r="R63" s="2">
        <v>4.0</v>
      </c>
      <c r="T63" s="2">
        <v>13.0</v>
      </c>
      <c r="U63" s="2">
        <v>14.5</v>
      </c>
      <c r="V63" s="2">
        <v>11.0</v>
      </c>
      <c r="W63" s="2">
        <v>20.0</v>
      </c>
      <c r="X63" s="2">
        <v>27.0</v>
      </c>
      <c r="Z63" s="2">
        <v>30.0</v>
      </c>
      <c r="AB63" s="2">
        <f t="shared" si="5"/>
        <v>6.325</v>
      </c>
      <c r="AC63" s="2">
        <v>50.0</v>
      </c>
      <c r="AD63" s="2">
        <v>350.0</v>
      </c>
      <c r="AF63" s="3">
        <f t="shared" si="6"/>
        <v>10</v>
      </c>
      <c r="AG63" s="4">
        <f t="shared" si="7"/>
        <v>60.42222222</v>
      </c>
      <c r="AH63" s="2" t="s">
        <v>32</v>
      </c>
    </row>
    <row r="64">
      <c r="A64" s="1" t="s">
        <v>277</v>
      </c>
      <c r="B64" s="1" t="s">
        <v>278</v>
      </c>
      <c r="C64" s="2" t="s">
        <v>279</v>
      </c>
      <c r="D64" s="2">
        <f>VLOOKUP(B64,'DSAI-Vikrant'!$B$2:$F$44,5)</f>
        <v>31</v>
      </c>
      <c r="E64" s="2">
        <v>21.0</v>
      </c>
      <c r="F64" s="2">
        <f t="shared" si="1"/>
        <v>26</v>
      </c>
      <c r="G64" s="2">
        <v>5.0</v>
      </c>
      <c r="H64" s="2">
        <v>3.5</v>
      </c>
      <c r="I64" s="2">
        <v>22.5</v>
      </c>
      <c r="J64" s="3">
        <f t="shared" si="2"/>
        <v>4.625</v>
      </c>
      <c r="K64" s="2">
        <v>70.0</v>
      </c>
      <c r="L64" s="2">
        <v>185.0</v>
      </c>
      <c r="N64" s="3">
        <f t="shared" si="3"/>
        <v>185</v>
      </c>
      <c r="O64" s="2">
        <v>92.0</v>
      </c>
      <c r="P64" s="2">
        <f t="shared" si="4"/>
        <v>12.725</v>
      </c>
      <c r="Q64" s="2">
        <v>3.0</v>
      </c>
      <c r="R64" s="2">
        <v>5.0</v>
      </c>
      <c r="S64" s="2">
        <v>0.0</v>
      </c>
      <c r="T64" s="2">
        <v>3.0</v>
      </c>
      <c r="U64" s="2">
        <v>11.0</v>
      </c>
      <c r="V64" s="2">
        <v>15.0</v>
      </c>
      <c r="W64" s="2">
        <v>8.5</v>
      </c>
      <c r="X64" s="2">
        <v>28.0</v>
      </c>
      <c r="Y64" s="2">
        <v>30.0</v>
      </c>
      <c r="Z64" s="2">
        <v>28.0</v>
      </c>
      <c r="AA64" s="2">
        <v>27.0</v>
      </c>
      <c r="AB64" s="2">
        <f t="shared" si="5"/>
        <v>7.925</v>
      </c>
      <c r="AC64" s="2">
        <v>50.0</v>
      </c>
      <c r="AD64" s="2">
        <v>330.0</v>
      </c>
      <c r="AF64" s="3">
        <f t="shared" si="6"/>
        <v>9.5</v>
      </c>
      <c r="AG64" s="4">
        <f t="shared" si="7"/>
        <v>60.775</v>
      </c>
      <c r="AH64" s="2" t="s">
        <v>32</v>
      </c>
    </row>
    <row r="65">
      <c r="A65" s="1" t="s">
        <v>417</v>
      </c>
      <c r="B65" s="1" t="s">
        <v>418</v>
      </c>
      <c r="C65" s="2" t="s">
        <v>419</v>
      </c>
      <c r="D65" s="2">
        <f>VLOOKUP(B65,'EC-Nitin'!$B$2:$F$46,5)</f>
        <v>36</v>
      </c>
      <c r="E65" s="2">
        <v>27.0</v>
      </c>
      <c r="F65" s="2">
        <f t="shared" si="1"/>
        <v>31.5</v>
      </c>
      <c r="I65" s="2">
        <v>22.0</v>
      </c>
      <c r="J65" s="3">
        <f t="shared" si="2"/>
        <v>2.444444444</v>
      </c>
      <c r="K65" s="2">
        <v>85.0</v>
      </c>
      <c r="L65" s="2">
        <v>165.0</v>
      </c>
      <c r="N65" s="3">
        <f t="shared" si="3"/>
        <v>165</v>
      </c>
      <c r="O65" s="2">
        <v>94.0</v>
      </c>
      <c r="P65" s="2">
        <f t="shared" si="4"/>
        <v>13.075</v>
      </c>
      <c r="Q65" s="2">
        <v>7.0</v>
      </c>
      <c r="R65" s="2">
        <v>6.0</v>
      </c>
      <c r="S65" s="2">
        <v>6.0</v>
      </c>
      <c r="T65" s="2">
        <v>5.0</v>
      </c>
      <c r="U65" s="2">
        <v>0.0</v>
      </c>
      <c r="V65" s="2">
        <v>6.0</v>
      </c>
      <c r="W65" s="2">
        <v>9.0</v>
      </c>
      <c r="X65" s="2">
        <v>27.0</v>
      </c>
      <c r="Y65" s="2">
        <v>27.0</v>
      </c>
      <c r="Z65" s="2">
        <v>29.0</v>
      </c>
      <c r="AB65" s="2">
        <f t="shared" si="5"/>
        <v>6.1</v>
      </c>
      <c r="AD65" s="2">
        <v>325.0</v>
      </c>
      <c r="AF65" s="3">
        <f t="shared" si="6"/>
        <v>8.125</v>
      </c>
      <c r="AG65" s="4">
        <f t="shared" si="7"/>
        <v>61.24444444</v>
      </c>
      <c r="AH65" s="2" t="s">
        <v>32</v>
      </c>
    </row>
    <row r="66">
      <c r="A66" s="1" t="s">
        <v>689</v>
      </c>
      <c r="B66" s="1" t="s">
        <v>690</v>
      </c>
      <c r="C66" s="2" t="s">
        <v>691</v>
      </c>
      <c r="D66" s="2">
        <f>VLOOKUP(B66, 'ME-Subhashree'!$B$2:$F$56,5)</f>
        <v>25</v>
      </c>
      <c r="E66" s="2">
        <v>13.0</v>
      </c>
      <c r="F66" s="2">
        <f t="shared" si="1"/>
        <v>19</v>
      </c>
      <c r="G66" s="2">
        <v>6.0</v>
      </c>
      <c r="H66" s="2">
        <v>13.0</v>
      </c>
      <c r="I66" s="2">
        <v>36.0</v>
      </c>
      <c r="J66" s="3">
        <f t="shared" si="2"/>
        <v>8.75</v>
      </c>
      <c r="K66" s="2">
        <v>100.0</v>
      </c>
      <c r="L66" s="2">
        <v>200.0</v>
      </c>
      <c r="N66" s="3">
        <f t="shared" si="3"/>
        <v>200</v>
      </c>
      <c r="O66" s="2">
        <v>80.0</v>
      </c>
      <c r="P66" s="2">
        <f t="shared" si="4"/>
        <v>14</v>
      </c>
      <c r="Q66" s="2">
        <v>0.0</v>
      </c>
      <c r="R66" s="2">
        <v>8.0</v>
      </c>
      <c r="S66" s="2">
        <v>15.0</v>
      </c>
      <c r="T66" s="2">
        <v>12.0</v>
      </c>
      <c r="U66" s="2">
        <v>15.0</v>
      </c>
      <c r="V66" s="2">
        <v>10.0</v>
      </c>
      <c r="W66" s="2">
        <v>20.0</v>
      </c>
      <c r="X66" s="2">
        <v>30.0</v>
      </c>
      <c r="Y66" s="2">
        <v>30.0</v>
      </c>
      <c r="Z66" s="2">
        <v>30.0</v>
      </c>
      <c r="AA66" s="2">
        <v>29.0</v>
      </c>
      <c r="AB66" s="2">
        <f t="shared" si="5"/>
        <v>9.95</v>
      </c>
      <c r="AC66" s="2">
        <v>50.0</v>
      </c>
      <c r="AD66" s="2">
        <v>340.0</v>
      </c>
      <c r="AF66" s="3">
        <f t="shared" si="6"/>
        <v>9.75</v>
      </c>
      <c r="AG66" s="4">
        <f t="shared" si="7"/>
        <v>61.45</v>
      </c>
      <c r="AH66" s="2" t="s">
        <v>32</v>
      </c>
    </row>
    <row r="67">
      <c r="A67" s="1" t="s">
        <v>294</v>
      </c>
      <c r="B67" s="1" t="s">
        <v>295</v>
      </c>
      <c r="C67" s="2" t="s">
        <v>296</v>
      </c>
      <c r="D67" s="2">
        <f>VLOOKUP(B67,'DSAI-Vikrant'!$B$2:$F$44,5)</f>
        <v>35</v>
      </c>
      <c r="E67" s="2">
        <v>17.0</v>
      </c>
      <c r="F67" s="2">
        <f t="shared" si="1"/>
        <v>26</v>
      </c>
      <c r="G67" s="2">
        <v>3.0</v>
      </c>
      <c r="H67" s="2">
        <v>10.5</v>
      </c>
      <c r="I67" s="2">
        <v>21.0</v>
      </c>
      <c r="J67" s="3">
        <f t="shared" si="2"/>
        <v>5.708333333</v>
      </c>
      <c r="K67" s="2">
        <v>90.0</v>
      </c>
      <c r="L67" s="2">
        <v>0.0</v>
      </c>
      <c r="M67" s="2">
        <v>165.0</v>
      </c>
      <c r="N67" s="3">
        <f t="shared" si="3"/>
        <v>165</v>
      </c>
      <c r="O67" s="2">
        <v>85.0</v>
      </c>
      <c r="P67" s="2">
        <f t="shared" si="4"/>
        <v>12.875</v>
      </c>
      <c r="Q67" s="2">
        <v>7.0</v>
      </c>
      <c r="R67" s="2">
        <v>3.0</v>
      </c>
      <c r="S67" s="2">
        <v>7.0</v>
      </c>
      <c r="T67" s="2">
        <v>6.0</v>
      </c>
      <c r="U67" s="2">
        <v>14.0</v>
      </c>
      <c r="V67" s="2">
        <v>12.0</v>
      </c>
      <c r="W67" s="2">
        <v>15.0</v>
      </c>
      <c r="X67" s="2">
        <v>28.0</v>
      </c>
      <c r="Y67" s="2">
        <v>30.0</v>
      </c>
      <c r="Z67" s="2">
        <v>30.0</v>
      </c>
      <c r="AB67" s="2">
        <f t="shared" si="5"/>
        <v>7.6</v>
      </c>
      <c r="AC67" s="2">
        <v>50.0</v>
      </c>
      <c r="AD67" s="2">
        <v>340.0</v>
      </c>
      <c r="AF67" s="3">
        <f t="shared" si="6"/>
        <v>9.75</v>
      </c>
      <c r="AG67" s="4">
        <f t="shared" si="7"/>
        <v>61.93333333</v>
      </c>
      <c r="AH67" s="2" t="s">
        <v>32</v>
      </c>
    </row>
    <row r="68">
      <c r="A68" s="1" t="s">
        <v>402</v>
      </c>
      <c r="B68" s="1" t="s">
        <v>403</v>
      </c>
      <c r="C68" s="2" t="s">
        <v>404</v>
      </c>
      <c r="D68" s="2">
        <f>VLOOKUP(B68,'EC-Nitin'!$B$2:$F$46,5)</f>
        <v>34</v>
      </c>
      <c r="E68" s="2">
        <v>12.0</v>
      </c>
      <c r="F68" s="2">
        <f t="shared" si="1"/>
        <v>23</v>
      </c>
      <c r="G68" s="2">
        <v>2.0</v>
      </c>
      <c r="H68" s="2">
        <v>10.0</v>
      </c>
      <c r="I68" s="2">
        <v>31.0</v>
      </c>
      <c r="J68" s="3">
        <f t="shared" si="2"/>
        <v>6.444444444</v>
      </c>
      <c r="K68" s="2">
        <v>95.0</v>
      </c>
      <c r="L68" s="2">
        <v>185.0</v>
      </c>
      <c r="N68" s="3">
        <f t="shared" si="3"/>
        <v>185</v>
      </c>
      <c r="O68" s="2">
        <v>97.0</v>
      </c>
      <c r="P68" s="2">
        <f t="shared" si="4"/>
        <v>14.225</v>
      </c>
      <c r="Q68" s="2">
        <v>6.0</v>
      </c>
      <c r="R68" s="2">
        <v>2.0</v>
      </c>
      <c r="S68" s="2">
        <v>9.0</v>
      </c>
      <c r="T68" s="2">
        <v>10.0</v>
      </c>
      <c r="U68" s="2">
        <v>12.0</v>
      </c>
      <c r="V68" s="2">
        <v>5.0</v>
      </c>
      <c r="W68" s="2">
        <v>16.0</v>
      </c>
      <c r="X68" s="2">
        <v>30.0</v>
      </c>
      <c r="Y68" s="2">
        <v>27.0</v>
      </c>
      <c r="Z68" s="2">
        <v>29.0</v>
      </c>
      <c r="AA68" s="2">
        <v>28.0</v>
      </c>
      <c r="AB68" s="2">
        <f t="shared" si="5"/>
        <v>8.7</v>
      </c>
      <c r="AC68" s="2">
        <v>48.0</v>
      </c>
      <c r="AD68" s="2">
        <v>343.0</v>
      </c>
      <c r="AF68" s="3">
        <f t="shared" si="6"/>
        <v>9.775</v>
      </c>
      <c r="AG68" s="4">
        <f t="shared" si="7"/>
        <v>62.14444444</v>
      </c>
      <c r="AH68" s="2" t="s">
        <v>32</v>
      </c>
    </row>
    <row r="69">
      <c r="A69" s="1" t="s">
        <v>256</v>
      </c>
      <c r="B69" s="1" t="s">
        <v>257</v>
      </c>
      <c r="C69" s="2" t="s">
        <v>258</v>
      </c>
      <c r="D69" s="2">
        <f>VLOOKUP(B69,'DSAI-Vikrant'!$B$2:$F$44,5)</f>
        <v>39</v>
      </c>
      <c r="E69" s="2">
        <v>17.0</v>
      </c>
      <c r="F69" s="2">
        <f t="shared" si="1"/>
        <v>28</v>
      </c>
      <c r="G69" s="2">
        <v>8.0</v>
      </c>
      <c r="H69" s="2">
        <v>4.0</v>
      </c>
      <c r="I69" s="2">
        <v>15.0</v>
      </c>
      <c r="J69" s="3">
        <f t="shared" si="2"/>
        <v>4.666666667</v>
      </c>
      <c r="K69" s="2">
        <v>90.0</v>
      </c>
      <c r="L69" s="2">
        <v>170.0</v>
      </c>
      <c r="N69" s="3">
        <f t="shared" si="3"/>
        <v>170</v>
      </c>
      <c r="O69" s="2">
        <v>90.0</v>
      </c>
      <c r="P69" s="2">
        <f t="shared" si="4"/>
        <v>13.25</v>
      </c>
      <c r="Q69" s="2">
        <v>6.0</v>
      </c>
      <c r="R69" s="2">
        <v>5.0</v>
      </c>
      <c r="S69" s="2">
        <v>0.0</v>
      </c>
      <c r="T69" s="2">
        <v>3.0</v>
      </c>
      <c r="U69" s="2">
        <v>14.0</v>
      </c>
      <c r="V69" s="2">
        <v>15.0</v>
      </c>
      <c r="W69" s="2">
        <v>20.0</v>
      </c>
      <c r="X69" s="2">
        <v>25.0</v>
      </c>
      <c r="Y69" s="2">
        <v>24.0</v>
      </c>
      <c r="Z69" s="2">
        <v>30.0</v>
      </c>
      <c r="AA69" s="2">
        <v>28.0</v>
      </c>
      <c r="AB69" s="2">
        <f t="shared" si="5"/>
        <v>8.5</v>
      </c>
      <c r="AC69" s="2">
        <v>35.0</v>
      </c>
      <c r="AD69" s="2">
        <v>280.0</v>
      </c>
      <c r="AF69" s="3">
        <f t="shared" si="6"/>
        <v>7.875</v>
      </c>
      <c r="AG69" s="4">
        <f t="shared" si="7"/>
        <v>62.29166667</v>
      </c>
      <c r="AH69" s="2" t="s">
        <v>32</v>
      </c>
    </row>
    <row r="70">
      <c r="A70" s="2" t="s">
        <v>1007</v>
      </c>
      <c r="B70" s="2" t="s">
        <v>1008</v>
      </c>
      <c r="C70" s="2" t="s">
        <v>1009</v>
      </c>
      <c r="D70" s="2">
        <f>VLOOKUP(B70, 'MSC-Vikrant'!B6:F17,5)</f>
        <v>30</v>
      </c>
      <c r="E70" s="2">
        <v>25.0</v>
      </c>
      <c r="F70" s="2">
        <f t="shared" si="1"/>
        <v>27.5</v>
      </c>
      <c r="G70" s="2">
        <v>7.0</v>
      </c>
      <c r="H70" s="2">
        <v>9.0</v>
      </c>
      <c r="I70" s="2">
        <v>8.0</v>
      </c>
      <c r="J70" s="3">
        <f t="shared" si="2"/>
        <v>4.888888889</v>
      </c>
      <c r="K70" s="2">
        <v>90.0</v>
      </c>
      <c r="L70" s="2">
        <v>170.0</v>
      </c>
      <c r="M70" s="2">
        <v>165.0</v>
      </c>
      <c r="N70" s="3">
        <f t="shared" si="3"/>
        <v>170</v>
      </c>
      <c r="O70" s="2">
        <v>94.0</v>
      </c>
      <c r="P70" s="2">
        <f t="shared" si="4"/>
        <v>13.45</v>
      </c>
      <c r="Q70" s="2">
        <v>7.0</v>
      </c>
      <c r="S70" s="2">
        <v>8.0</v>
      </c>
      <c r="T70" s="2">
        <v>6.0</v>
      </c>
      <c r="U70" s="2">
        <v>14.0</v>
      </c>
      <c r="V70" s="2">
        <v>12.0</v>
      </c>
      <c r="W70" s="2">
        <v>14.0</v>
      </c>
      <c r="X70" s="2">
        <v>29.0</v>
      </c>
      <c r="Z70" s="2">
        <v>27.0</v>
      </c>
      <c r="AA70" s="2">
        <v>28.0</v>
      </c>
      <c r="AB70" s="2">
        <f t="shared" si="5"/>
        <v>7.25</v>
      </c>
      <c r="AC70" s="2">
        <v>50.0</v>
      </c>
      <c r="AD70" s="2">
        <v>320.0</v>
      </c>
      <c r="AF70" s="3">
        <f t="shared" si="6"/>
        <v>9.25</v>
      </c>
      <c r="AG70" s="4">
        <f t="shared" si="7"/>
        <v>62.33888889</v>
      </c>
      <c r="AH70" s="2" t="s">
        <v>32</v>
      </c>
    </row>
    <row r="71">
      <c r="A71" s="1" t="s">
        <v>204</v>
      </c>
      <c r="B71" s="1" t="s">
        <v>477</v>
      </c>
      <c r="C71" s="2" t="s">
        <v>478</v>
      </c>
      <c r="D71" s="2">
        <f>VLOOKUP(B71, 'EE-Nitin'!$B$2:$F$57,5)</f>
        <v>30</v>
      </c>
      <c r="E71" s="2">
        <v>16.0</v>
      </c>
      <c r="F71" s="2">
        <f t="shared" si="1"/>
        <v>23</v>
      </c>
      <c r="G71" s="2">
        <v>10.0</v>
      </c>
      <c r="H71" s="2">
        <v>9.0</v>
      </c>
      <c r="I71" s="2">
        <v>23.0</v>
      </c>
      <c r="J71" s="3">
        <f t="shared" si="2"/>
        <v>7.305555556</v>
      </c>
      <c r="K71" s="2">
        <v>90.0</v>
      </c>
      <c r="L71" s="2">
        <v>170.0</v>
      </c>
      <c r="M71" s="2">
        <v>160.0</v>
      </c>
      <c r="N71" s="3">
        <f t="shared" si="3"/>
        <v>170</v>
      </c>
      <c r="O71" s="2">
        <v>97.0</v>
      </c>
      <c r="P71" s="2">
        <f t="shared" si="4"/>
        <v>13.6</v>
      </c>
      <c r="Q71" s="2">
        <v>6.0</v>
      </c>
      <c r="R71" s="2">
        <v>0.0</v>
      </c>
      <c r="S71" s="2">
        <v>8.0</v>
      </c>
      <c r="T71" s="2">
        <v>13.5</v>
      </c>
      <c r="U71" s="2">
        <v>13.0</v>
      </c>
      <c r="V71" s="2">
        <v>12.0</v>
      </c>
      <c r="W71" s="2">
        <v>18.5</v>
      </c>
      <c r="X71" s="2">
        <v>27.0</v>
      </c>
      <c r="Y71" s="2">
        <v>28.0</v>
      </c>
      <c r="Z71" s="2">
        <v>28.0</v>
      </c>
      <c r="AA71" s="2">
        <v>28.0</v>
      </c>
      <c r="AB71" s="2">
        <f t="shared" si="5"/>
        <v>9.1</v>
      </c>
      <c r="AC71" s="2">
        <v>40.0</v>
      </c>
      <c r="AD71" s="2">
        <v>342.0</v>
      </c>
      <c r="AF71" s="3">
        <f t="shared" si="6"/>
        <v>9.55</v>
      </c>
      <c r="AG71" s="4">
        <f t="shared" si="7"/>
        <v>62.55555556</v>
      </c>
      <c r="AH71" s="2" t="s">
        <v>32</v>
      </c>
    </row>
    <row r="72">
      <c r="A72" s="1" t="s">
        <v>934</v>
      </c>
      <c r="B72" s="1" t="s">
        <v>935</v>
      </c>
      <c r="C72" s="2" t="s">
        <v>936</v>
      </c>
      <c r="D72" s="2">
        <f>VLOOKUP(B72,MT!$B$2:$F$30,5)</f>
        <v>37</v>
      </c>
      <c r="E72" s="2">
        <v>12.0</v>
      </c>
      <c r="F72" s="2">
        <f t="shared" si="1"/>
        <v>24.5</v>
      </c>
      <c r="G72" s="2">
        <v>4.0</v>
      </c>
      <c r="H72" s="2">
        <v>9.5</v>
      </c>
      <c r="I72" s="2">
        <v>20.0</v>
      </c>
      <c r="J72" s="3">
        <f t="shared" si="2"/>
        <v>5.597222222</v>
      </c>
      <c r="K72" s="2">
        <v>95.0</v>
      </c>
      <c r="L72" s="2">
        <v>0.0</v>
      </c>
      <c r="M72" s="2">
        <v>180.0</v>
      </c>
      <c r="N72" s="3">
        <f t="shared" si="3"/>
        <v>180</v>
      </c>
      <c r="O72" s="2">
        <v>85.0</v>
      </c>
      <c r="P72" s="2">
        <f t="shared" si="4"/>
        <v>13.5</v>
      </c>
      <c r="Q72" s="2">
        <v>7.0</v>
      </c>
      <c r="R72" s="2">
        <v>2.0</v>
      </c>
      <c r="S72" s="2">
        <v>8.0</v>
      </c>
      <c r="T72" s="2">
        <v>11.0</v>
      </c>
      <c r="U72" s="2">
        <v>12.0</v>
      </c>
      <c r="V72" s="2">
        <v>15.0</v>
      </c>
      <c r="W72" s="2">
        <v>19.5</v>
      </c>
      <c r="X72" s="2">
        <v>29.0</v>
      </c>
      <c r="Y72" s="2">
        <v>26.0</v>
      </c>
      <c r="Z72" s="2">
        <v>28.0</v>
      </c>
      <c r="AA72" s="2">
        <v>28.0</v>
      </c>
      <c r="AB72" s="2">
        <f t="shared" si="5"/>
        <v>9.275</v>
      </c>
      <c r="AC72" s="2">
        <v>50.0</v>
      </c>
      <c r="AD72" s="2">
        <v>340.0</v>
      </c>
      <c r="AF72" s="3">
        <f t="shared" si="6"/>
        <v>9.75</v>
      </c>
      <c r="AG72" s="4">
        <f t="shared" si="7"/>
        <v>62.62222222</v>
      </c>
      <c r="AH72" s="2" t="s">
        <v>32</v>
      </c>
    </row>
    <row r="73">
      <c r="A73" s="1" t="s">
        <v>832</v>
      </c>
      <c r="B73" s="1" t="s">
        <v>833</v>
      </c>
      <c r="C73" s="2" t="s">
        <v>834</v>
      </c>
      <c r="D73" s="2">
        <f>VLOOKUP(B73,'MM-Subhashree'!$B$2:F$26,5)</f>
        <v>29</v>
      </c>
      <c r="E73" s="2">
        <v>8.0</v>
      </c>
      <c r="F73" s="2">
        <f t="shared" si="1"/>
        <v>18.5</v>
      </c>
      <c r="G73" s="2">
        <v>10.0</v>
      </c>
      <c r="H73" s="2">
        <v>13.5</v>
      </c>
      <c r="I73" s="2">
        <v>40.0</v>
      </c>
      <c r="J73" s="3">
        <f t="shared" si="2"/>
        <v>10.31944444</v>
      </c>
      <c r="K73" s="2">
        <v>85.0</v>
      </c>
      <c r="L73" s="2">
        <v>193.0</v>
      </c>
      <c r="N73" s="3">
        <f t="shared" si="3"/>
        <v>193</v>
      </c>
      <c r="O73" s="2">
        <v>98.0</v>
      </c>
      <c r="P73" s="2">
        <f t="shared" si="4"/>
        <v>13.975</v>
      </c>
      <c r="Q73" s="2">
        <v>5.0</v>
      </c>
      <c r="R73" s="2">
        <v>8.0</v>
      </c>
      <c r="S73" s="2">
        <v>9.0</v>
      </c>
      <c r="T73" s="2">
        <v>14.5</v>
      </c>
      <c r="U73" s="2">
        <v>15.0</v>
      </c>
      <c r="V73" s="2">
        <v>13.0</v>
      </c>
      <c r="W73" s="2">
        <v>19.5</v>
      </c>
      <c r="X73" s="2">
        <v>27.0</v>
      </c>
      <c r="Y73" s="2">
        <v>26.0</v>
      </c>
      <c r="Z73" s="2">
        <v>30.0</v>
      </c>
      <c r="AA73" s="2">
        <v>30.0</v>
      </c>
      <c r="AB73" s="2">
        <f t="shared" si="5"/>
        <v>9.85</v>
      </c>
      <c r="AC73" s="2">
        <v>50.0</v>
      </c>
      <c r="AD73" s="2">
        <v>350.0</v>
      </c>
      <c r="AF73" s="3">
        <f t="shared" si="6"/>
        <v>10</v>
      </c>
      <c r="AG73" s="4">
        <f t="shared" si="7"/>
        <v>62.64444444</v>
      </c>
      <c r="AH73" s="2" t="s">
        <v>32</v>
      </c>
    </row>
    <row r="74">
      <c r="A74" s="1" t="s">
        <v>871</v>
      </c>
      <c r="B74" s="1" t="s">
        <v>872</v>
      </c>
      <c r="C74" s="2" t="s">
        <v>873</v>
      </c>
      <c r="D74" s="2">
        <f>VLOOKUP(B74,'MM-Subhashree'!$B$2:F$26,5)</f>
        <v>34</v>
      </c>
      <c r="E74" s="2">
        <v>22.0</v>
      </c>
      <c r="F74" s="2">
        <f t="shared" si="1"/>
        <v>28</v>
      </c>
      <c r="G74" s="2">
        <v>2.0</v>
      </c>
      <c r="H74" s="2">
        <v>7.0</v>
      </c>
      <c r="I74" s="2">
        <v>38.0</v>
      </c>
      <c r="J74" s="3">
        <f t="shared" si="2"/>
        <v>6.472222222</v>
      </c>
      <c r="K74" s="2">
        <v>80.0</v>
      </c>
      <c r="L74" s="2">
        <v>170.0</v>
      </c>
      <c r="M74" s="2">
        <v>125.0</v>
      </c>
      <c r="N74" s="3">
        <f t="shared" si="3"/>
        <v>170</v>
      </c>
      <c r="O74" s="2">
        <v>98.0</v>
      </c>
      <c r="P74" s="2">
        <f t="shared" si="4"/>
        <v>13.15</v>
      </c>
      <c r="R74" s="2">
        <v>8.0</v>
      </c>
      <c r="S74" s="2">
        <v>9.0</v>
      </c>
      <c r="T74" s="2">
        <v>14.0</v>
      </c>
      <c r="U74" s="2">
        <v>15.0</v>
      </c>
      <c r="V74" s="2">
        <v>14.0</v>
      </c>
      <c r="W74" s="2">
        <v>15.0</v>
      </c>
      <c r="Z74" s="2">
        <v>28.0</v>
      </c>
      <c r="AB74" s="2">
        <f t="shared" si="5"/>
        <v>5.15</v>
      </c>
      <c r="AC74" s="2">
        <v>49.0</v>
      </c>
      <c r="AD74" s="2">
        <v>350.0</v>
      </c>
      <c r="AF74" s="3">
        <f t="shared" si="6"/>
        <v>9.975</v>
      </c>
      <c r="AG74" s="4">
        <f t="shared" si="7"/>
        <v>62.74722222</v>
      </c>
      <c r="AH74" s="2" t="s">
        <v>32</v>
      </c>
    </row>
    <row r="75">
      <c r="A75" s="1" t="s">
        <v>737</v>
      </c>
      <c r="B75" s="1" t="s">
        <v>738</v>
      </c>
      <c r="C75" s="2" t="s">
        <v>739</v>
      </c>
      <c r="D75" s="2">
        <f>VLOOKUP(B75, 'ME-Subhashree'!$B$2:$F$56,5)</f>
        <v>29</v>
      </c>
      <c r="E75" s="2">
        <v>23.0</v>
      </c>
      <c r="F75" s="2">
        <f t="shared" si="1"/>
        <v>26</v>
      </c>
      <c r="G75" s="2">
        <v>3.0</v>
      </c>
      <c r="H75" s="2">
        <v>7.0</v>
      </c>
      <c r="I75" s="2">
        <v>24.0</v>
      </c>
      <c r="J75" s="3">
        <f t="shared" si="2"/>
        <v>5.166666667</v>
      </c>
      <c r="K75" s="2">
        <v>100.0</v>
      </c>
      <c r="L75" s="2">
        <v>150.0</v>
      </c>
      <c r="N75" s="3">
        <f t="shared" si="3"/>
        <v>150</v>
      </c>
      <c r="O75" s="2">
        <v>100.0</v>
      </c>
      <c r="P75" s="2">
        <f t="shared" si="4"/>
        <v>13.75</v>
      </c>
      <c r="Q75" s="2">
        <v>0.0</v>
      </c>
      <c r="R75" s="2">
        <v>6.0</v>
      </c>
      <c r="S75" s="2">
        <v>15.0</v>
      </c>
      <c r="T75" s="2">
        <v>10.0</v>
      </c>
      <c r="U75" s="2">
        <v>15.0</v>
      </c>
      <c r="V75" s="2">
        <v>15.0</v>
      </c>
      <c r="W75" s="2">
        <v>20.0</v>
      </c>
      <c r="X75" s="2">
        <v>30.0</v>
      </c>
      <c r="Y75" s="2">
        <v>30.0</v>
      </c>
      <c r="Z75" s="2">
        <v>28.0</v>
      </c>
      <c r="AA75" s="2">
        <v>28.0</v>
      </c>
      <c r="AB75" s="2">
        <f t="shared" si="5"/>
        <v>9.85</v>
      </c>
      <c r="AC75" s="2">
        <v>30.0</v>
      </c>
      <c r="AD75" s="2">
        <v>300.0</v>
      </c>
      <c r="AF75" s="3">
        <f t="shared" si="6"/>
        <v>8.25</v>
      </c>
      <c r="AG75" s="4">
        <f t="shared" si="7"/>
        <v>63.01666667</v>
      </c>
      <c r="AH75" s="2" t="s">
        <v>32</v>
      </c>
    </row>
    <row r="76">
      <c r="A76" s="1" t="s">
        <v>587</v>
      </c>
      <c r="B76" s="1" t="s">
        <v>588</v>
      </c>
      <c r="C76" s="2" t="s">
        <v>589</v>
      </c>
      <c r="D76" s="2">
        <f>VLOOKUP(B76, 'EE-Nitin'!$B$2:$F$57,5)</f>
        <v>35</v>
      </c>
      <c r="E76" s="2">
        <v>14.0</v>
      </c>
      <c r="F76" s="2">
        <f t="shared" si="1"/>
        <v>24.5</v>
      </c>
      <c r="G76" s="2">
        <v>10.5</v>
      </c>
      <c r="H76" s="2">
        <v>10.0</v>
      </c>
      <c r="I76" s="2">
        <v>16.0</v>
      </c>
      <c r="J76" s="3">
        <f t="shared" si="2"/>
        <v>6.902777778</v>
      </c>
      <c r="K76" s="2">
        <v>95.0</v>
      </c>
      <c r="L76" s="2">
        <v>165.0</v>
      </c>
      <c r="N76" s="3">
        <f t="shared" si="3"/>
        <v>165</v>
      </c>
      <c r="O76" s="2">
        <v>85.0</v>
      </c>
      <c r="P76" s="2">
        <f t="shared" si="4"/>
        <v>13.125</v>
      </c>
      <c r="Q76" s="2">
        <v>7.0</v>
      </c>
      <c r="R76" s="2">
        <v>5.0</v>
      </c>
      <c r="S76" s="2">
        <v>9.0</v>
      </c>
      <c r="T76" s="2">
        <v>5.0</v>
      </c>
      <c r="U76" s="2">
        <v>15.0</v>
      </c>
      <c r="V76" s="2">
        <v>15.0</v>
      </c>
      <c r="W76" s="2">
        <v>20.0</v>
      </c>
      <c r="X76" s="2">
        <v>30.0</v>
      </c>
      <c r="Y76" s="2">
        <v>30.0</v>
      </c>
      <c r="Z76" s="2">
        <v>28.0</v>
      </c>
      <c r="AA76" s="2">
        <v>28.0</v>
      </c>
      <c r="AB76" s="2">
        <f t="shared" si="5"/>
        <v>9.6</v>
      </c>
      <c r="AC76" s="2">
        <v>50.0</v>
      </c>
      <c r="AD76" s="2">
        <v>320.0</v>
      </c>
      <c r="AF76" s="3">
        <f t="shared" si="6"/>
        <v>9.25</v>
      </c>
      <c r="AG76" s="4">
        <f t="shared" si="7"/>
        <v>63.37777778</v>
      </c>
      <c r="AH76" s="2" t="s">
        <v>32</v>
      </c>
    </row>
    <row r="77">
      <c r="A77" s="1" t="s">
        <v>110</v>
      </c>
      <c r="B77" s="1" t="s">
        <v>111</v>
      </c>
      <c r="C77" s="2" t="s">
        <v>112</v>
      </c>
      <c r="D77" s="2">
        <f>VLOOKUP(B77, 'CSE-Sandeep'!$B$2:$G$61,5)</f>
        <v>35</v>
      </c>
      <c r="E77" s="2">
        <v>21.0</v>
      </c>
      <c r="F77" s="2">
        <f t="shared" si="1"/>
        <v>28</v>
      </c>
      <c r="G77" s="2">
        <v>11.5</v>
      </c>
      <c r="H77" s="2">
        <v>4.5</v>
      </c>
      <c r="I77" s="2">
        <v>17.5</v>
      </c>
      <c r="J77" s="3">
        <f t="shared" si="2"/>
        <v>5.944444444</v>
      </c>
      <c r="K77" s="2">
        <v>90.0</v>
      </c>
      <c r="L77" s="2">
        <v>96.0</v>
      </c>
      <c r="N77" s="3">
        <f t="shared" si="3"/>
        <v>96</v>
      </c>
      <c r="O77" s="2">
        <v>95.0</v>
      </c>
      <c r="P77" s="2">
        <f t="shared" si="4"/>
        <v>11.65</v>
      </c>
      <c r="Q77" s="2">
        <v>4.0</v>
      </c>
      <c r="R77" s="2">
        <v>2.0</v>
      </c>
      <c r="S77" s="2">
        <v>14.0</v>
      </c>
      <c r="T77" s="2">
        <v>8.0</v>
      </c>
      <c r="U77" s="2">
        <v>11.0</v>
      </c>
      <c r="V77" s="2">
        <v>8.0</v>
      </c>
      <c r="W77" s="2">
        <v>8.0</v>
      </c>
      <c r="X77" s="2">
        <v>28.0</v>
      </c>
      <c r="Y77" s="2">
        <v>26.0</v>
      </c>
      <c r="Z77" s="2">
        <v>30.0</v>
      </c>
      <c r="AA77" s="2">
        <v>28.0</v>
      </c>
      <c r="AB77" s="2">
        <f t="shared" si="5"/>
        <v>8.35</v>
      </c>
      <c r="AC77" s="2">
        <v>50.0</v>
      </c>
      <c r="AD77" s="2">
        <v>330.0</v>
      </c>
      <c r="AF77" s="3">
        <f t="shared" si="6"/>
        <v>9.5</v>
      </c>
      <c r="AG77" s="4">
        <f t="shared" si="7"/>
        <v>63.44444444</v>
      </c>
      <c r="AH77" s="2" t="s">
        <v>32</v>
      </c>
    </row>
    <row r="78">
      <c r="A78" s="1" t="s">
        <v>471</v>
      </c>
      <c r="B78" s="1" t="s">
        <v>472</v>
      </c>
      <c r="C78" s="2" t="s">
        <v>473</v>
      </c>
      <c r="D78" s="2">
        <f>VLOOKUP(B78, 'EE-Nitin'!$B$2:$F$57,5)</f>
        <v>47</v>
      </c>
      <c r="E78" s="2">
        <v>9.0</v>
      </c>
      <c r="F78" s="2">
        <f t="shared" si="1"/>
        <v>28</v>
      </c>
      <c r="G78" s="2">
        <v>4.0</v>
      </c>
      <c r="H78" s="2">
        <v>4.0</v>
      </c>
      <c r="I78" s="2">
        <v>31.0</v>
      </c>
      <c r="J78" s="3">
        <f t="shared" si="2"/>
        <v>5.444444444</v>
      </c>
      <c r="K78" s="2">
        <v>70.0</v>
      </c>
      <c r="L78" s="2">
        <v>185.0</v>
      </c>
      <c r="N78" s="3">
        <f t="shared" si="3"/>
        <v>185</v>
      </c>
      <c r="O78" s="2">
        <v>97.0</v>
      </c>
      <c r="P78" s="2">
        <f t="shared" si="4"/>
        <v>12.975</v>
      </c>
      <c r="Q78" s="2">
        <v>5.0</v>
      </c>
      <c r="R78" s="2">
        <v>5.0</v>
      </c>
      <c r="S78" s="2">
        <v>7.0</v>
      </c>
      <c r="T78" s="2">
        <v>11.0</v>
      </c>
      <c r="U78" s="2">
        <v>14.5</v>
      </c>
      <c r="V78" s="2">
        <v>13.5</v>
      </c>
      <c r="W78" s="2">
        <v>19.5</v>
      </c>
      <c r="X78" s="2">
        <v>20.0</v>
      </c>
      <c r="Y78" s="2">
        <v>27.0</v>
      </c>
      <c r="Z78" s="2">
        <v>29.0</v>
      </c>
      <c r="AB78" s="2">
        <f t="shared" si="5"/>
        <v>7.575</v>
      </c>
      <c r="AC78" s="2">
        <v>50.0</v>
      </c>
      <c r="AD78" s="2">
        <v>343.0</v>
      </c>
      <c r="AF78" s="3">
        <f t="shared" si="6"/>
        <v>9.825</v>
      </c>
      <c r="AG78" s="4">
        <f t="shared" si="7"/>
        <v>63.81944444</v>
      </c>
      <c r="AH78" s="2" t="s">
        <v>25</v>
      </c>
    </row>
    <row r="79">
      <c r="A79" s="1" t="s">
        <v>746</v>
      </c>
      <c r="B79" s="1" t="s">
        <v>747</v>
      </c>
      <c r="C79" s="2" t="s">
        <v>748</v>
      </c>
      <c r="D79" s="2">
        <f>VLOOKUP(B79, 'ME-Subhashree'!$B$2:$F$56,5)</f>
        <v>26</v>
      </c>
      <c r="E79" s="2">
        <v>34.0</v>
      </c>
      <c r="F79" s="2">
        <f t="shared" si="1"/>
        <v>30</v>
      </c>
      <c r="G79" s="2">
        <v>9.0</v>
      </c>
      <c r="H79" s="2">
        <v>7.5</v>
      </c>
      <c r="I79" s="2">
        <v>14.0</v>
      </c>
      <c r="J79" s="3">
        <f t="shared" si="2"/>
        <v>5.680555556</v>
      </c>
      <c r="K79" s="2">
        <v>90.0</v>
      </c>
      <c r="L79" s="2">
        <v>175.0</v>
      </c>
      <c r="N79" s="3">
        <f t="shared" si="3"/>
        <v>175</v>
      </c>
      <c r="P79" s="2">
        <f t="shared" si="4"/>
        <v>8.875</v>
      </c>
      <c r="Q79" s="2">
        <v>7.0</v>
      </c>
      <c r="R79" s="2">
        <v>7.0</v>
      </c>
      <c r="S79" s="2">
        <v>12.0</v>
      </c>
      <c r="T79" s="2">
        <v>10.0</v>
      </c>
      <c r="U79" s="2">
        <v>14.0</v>
      </c>
      <c r="V79" s="2">
        <v>13.5</v>
      </c>
      <c r="W79" s="2">
        <v>19.5</v>
      </c>
      <c r="X79" s="2">
        <v>27.58</v>
      </c>
      <c r="Y79" s="2">
        <v>27.11</v>
      </c>
      <c r="Z79" s="2">
        <v>29.0</v>
      </c>
      <c r="AA79" s="2">
        <v>28.0</v>
      </c>
      <c r="AB79" s="2">
        <f t="shared" si="5"/>
        <v>9.7345</v>
      </c>
      <c r="AC79" s="2">
        <v>43.0</v>
      </c>
      <c r="AD79" s="2">
        <v>345.0</v>
      </c>
      <c r="AF79" s="3">
        <f t="shared" si="6"/>
        <v>9.7</v>
      </c>
      <c r="AG79" s="4">
        <f t="shared" si="7"/>
        <v>63.99005556</v>
      </c>
      <c r="AH79" s="2" t="s">
        <v>25</v>
      </c>
    </row>
    <row r="80">
      <c r="A80" s="1" t="s">
        <v>204</v>
      </c>
      <c r="B80" s="1" t="s">
        <v>205</v>
      </c>
      <c r="C80" s="2" t="s">
        <v>206</v>
      </c>
      <c r="D80" s="2">
        <f>VLOOKUP(B80,'DSAI-Vikrant'!$B$2:$F$44,5)</f>
        <v>30</v>
      </c>
      <c r="E80" s="2">
        <v>21.0</v>
      </c>
      <c r="F80" s="2">
        <f t="shared" si="1"/>
        <v>25.5</v>
      </c>
      <c r="G80" s="2">
        <v>11.0</v>
      </c>
      <c r="H80" s="2">
        <v>12.0</v>
      </c>
      <c r="I80" s="2">
        <v>29.0</v>
      </c>
      <c r="J80" s="3">
        <f t="shared" si="2"/>
        <v>8.972222222</v>
      </c>
      <c r="K80" s="2">
        <v>96.0</v>
      </c>
      <c r="L80" s="2">
        <v>50.0</v>
      </c>
      <c r="M80" s="2">
        <v>190.0</v>
      </c>
      <c r="N80" s="3">
        <f t="shared" si="3"/>
        <v>190</v>
      </c>
      <c r="O80" s="2">
        <v>80.0</v>
      </c>
      <c r="P80" s="2">
        <f t="shared" si="4"/>
        <v>13.55</v>
      </c>
      <c r="Q80" s="2">
        <v>7.0</v>
      </c>
      <c r="R80" s="2">
        <v>5.0</v>
      </c>
      <c r="S80" s="2">
        <v>8.0</v>
      </c>
      <c r="T80" s="2">
        <v>8.0</v>
      </c>
      <c r="U80" s="2">
        <v>14.0</v>
      </c>
      <c r="V80" s="2">
        <v>12.5</v>
      </c>
      <c r="W80" s="2">
        <v>15.0</v>
      </c>
      <c r="X80" s="2">
        <v>26.0</v>
      </c>
      <c r="Y80" s="2">
        <v>26.0</v>
      </c>
      <c r="Z80" s="2">
        <v>29.0</v>
      </c>
      <c r="AA80" s="2">
        <v>27.0</v>
      </c>
      <c r="AB80" s="2">
        <f t="shared" si="5"/>
        <v>8.875</v>
      </c>
      <c r="AC80" s="2">
        <v>35.0</v>
      </c>
      <c r="AD80" s="2">
        <v>250.0</v>
      </c>
      <c r="AF80" s="3">
        <f t="shared" si="6"/>
        <v>7.125</v>
      </c>
      <c r="AG80" s="4">
        <f t="shared" si="7"/>
        <v>64.02222222</v>
      </c>
      <c r="AH80" s="2" t="s">
        <v>25</v>
      </c>
    </row>
    <row r="81">
      <c r="A81" s="1" t="s">
        <v>931</v>
      </c>
      <c r="B81" s="1" t="s">
        <v>932</v>
      </c>
      <c r="C81" s="2" t="s">
        <v>933</v>
      </c>
      <c r="D81" s="2">
        <f>VLOOKUP(B81,MT!$B$2:$F$30,5)</f>
        <v>28</v>
      </c>
      <c r="E81" s="2">
        <v>23.0</v>
      </c>
      <c r="F81" s="2">
        <f t="shared" si="1"/>
        <v>25.5</v>
      </c>
      <c r="G81" s="2">
        <v>5.0</v>
      </c>
      <c r="H81" s="2">
        <v>19.0</v>
      </c>
      <c r="I81" s="2">
        <v>17.0</v>
      </c>
      <c r="J81" s="3">
        <f t="shared" si="2"/>
        <v>7.888888889</v>
      </c>
      <c r="K81" s="2">
        <v>90.0</v>
      </c>
      <c r="L81" s="2">
        <v>189.0</v>
      </c>
      <c r="N81" s="3">
        <f t="shared" si="3"/>
        <v>189</v>
      </c>
      <c r="O81" s="2">
        <v>80.0</v>
      </c>
      <c r="P81" s="2">
        <f t="shared" si="4"/>
        <v>13.225</v>
      </c>
      <c r="Q81" s="2">
        <v>7.0</v>
      </c>
      <c r="R81" s="2">
        <v>7.0</v>
      </c>
      <c r="S81" s="2">
        <v>10.0</v>
      </c>
      <c r="T81" s="2">
        <v>9.0</v>
      </c>
      <c r="U81" s="2">
        <v>10.0</v>
      </c>
      <c r="V81" s="2">
        <v>15.0</v>
      </c>
      <c r="W81" s="2">
        <v>18.0</v>
      </c>
      <c r="X81" s="2">
        <v>26.0</v>
      </c>
      <c r="Y81" s="2">
        <v>28.0</v>
      </c>
      <c r="Z81" s="2">
        <v>27.0</v>
      </c>
      <c r="AA81" s="2">
        <v>28.0</v>
      </c>
      <c r="AB81" s="2">
        <f t="shared" si="5"/>
        <v>9.25</v>
      </c>
      <c r="AC81" s="2">
        <v>20.0</v>
      </c>
      <c r="AD81" s="2">
        <v>315.0</v>
      </c>
      <c r="AF81" s="3">
        <f t="shared" si="6"/>
        <v>8.375</v>
      </c>
      <c r="AG81" s="4">
        <f t="shared" si="7"/>
        <v>64.23888889</v>
      </c>
      <c r="AH81" s="2" t="s">
        <v>25</v>
      </c>
    </row>
    <row r="82">
      <c r="A82" s="1" t="s">
        <v>572</v>
      </c>
      <c r="B82" s="1" t="s">
        <v>573</v>
      </c>
      <c r="C82" s="2" t="s">
        <v>574</v>
      </c>
      <c r="D82" s="2">
        <f>VLOOKUP(B82, 'EE-Nitin'!$B$2:$F$57,5)</f>
        <v>43</v>
      </c>
      <c r="E82" s="2">
        <v>9.0</v>
      </c>
      <c r="F82" s="2">
        <f t="shared" si="1"/>
        <v>26</v>
      </c>
      <c r="G82" s="2">
        <v>3.0</v>
      </c>
      <c r="H82" s="2">
        <v>8.5</v>
      </c>
      <c r="I82" s="2">
        <v>31.0</v>
      </c>
      <c r="J82" s="3">
        <f t="shared" si="2"/>
        <v>6.319444444</v>
      </c>
      <c r="K82" s="2">
        <v>80.0</v>
      </c>
      <c r="L82" s="2">
        <v>180.0</v>
      </c>
      <c r="N82" s="3">
        <f t="shared" si="3"/>
        <v>180</v>
      </c>
      <c r="O82" s="2">
        <v>97.0</v>
      </c>
      <c r="P82" s="2">
        <f t="shared" si="4"/>
        <v>13.35</v>
      </c>
      <c r="Q82" s="2">
        <v>6.0</v>
      </c>
      <c r="R82" s="2">
        <v>4.0</v>
      </c>
      <c r="S82" s="2">
        <v>0.0</v>
      </c>
      <c r="T82" s="2">
        <v>10.0</v>
      </c>
      <c r="U82" s="2">
        <v>15.0</v>
      </c>
      <c r="V82" s="2">
        <v>11.5</v>
      </c>
      <c r="W82" s="2">
        <v>20.0</v>
      </c>
      <c r="X82" s="2">
        <v>28.0</v>
      </c>
      <c r="Y82" s="2">
        <v>23.0</v>
      </c>
      <c r="Z82" s="2">
        <v>28.0</v>
      </c>
      <c r="AA82" s="2">
        <v>28.0</v>
      </c>
      <c r="AB82" s="2">
        <f t="shared" si="5"/>
        <v>8.675</v>
      </c>
      <c r="AC82" s="2">
        <v>50.0</v>
      </c>
      <c r="AD82" s="2">
        <v>346.0</v>
      </c>
      <c r="AF82" s="3">
        <f t="shared" si="6"/>
        <v>9.9</v>
      </c>
      <c r="AG82" s="4">
        <f t="shared" si="7"/>
        <v>64.24444444</v>
      </c>
      <c r="AH82" s="2" t="s">
        <v>25</v>
      </c>
    </row>
    <row r="83">
      <c r="A83" s="1" t="s">
        <v>641</v>
      </c>
      <c r="B83" s="1" t="s">
        <v>642</v>
      </c>
      <c r="C83" s="2" t="s">
        <v>643</v>
      </c>
      <c r="D83" s="2">
        <f>VLOOKUP(B83, 'ME-Subhashree'!$B$2:$F$56,5)</f>
        <v>26</v>
      </c>
      <c r="E83" s="2">
        <v>24.0</v>
      </c>
      <c r="F83" s="2">
        <f t="shared" si="1"/>
        <v>25</v>
      </c>
      <c r="G83" s="2">
        <v>7.0</v>
      </c>
      <c r="H83" s="2">
        <v>8.0</v>
      </c>
      <c r="I83" s="2">
        <v>35.0</v>
      </c>
      <c r="J83" s="3">
        <f t="shared" si="2"/>
        <v>7.638888889</v>
      </c>
      <c r="K83" s="2">
        <v>90.0</v>
      </c>
      <c r="L83" s="2">
        <v>100.0</v>
      </c>
      <c r="M83" s="2">
        <v>165.0</v>
      </c>
      <c r="N83" s="3">
        <f t="shared" si="3"/>
        <v>165</v>
      </c>
      <c r="O83" s="2">
        <v>100.0</v>
      </c>
      <c r="P83" s="2">
        <f t="shared" si="4"/>
        <v>13.625</v>
      </c>
      <c r="Q83" s="2">
        <v>7.0</v>
      </c>
      <c r="R83" s="2">
        <v>7.0</v>
      </c>
      <c r="S83" s="2">
        <v>12.0</v>
      </c>
      <c r="T83" s="2">
        <v>10.0</v>
      </c>
      <c r="U83" s="2">
        <v>15.0</v>
      </c>
      <c r="V83" s="2">
        <v>14.0</v>
      </c>
      <c r="W83" s="2">
        <v>20.0</v>
      </c>
      <c r="X83" s="2">
        <v>30.0</v>
      </c>
      <c r="Y83" s="2">
        <v>27.0</v>
      </c>
      <c r="Z83" s="2">
        <v>27.0</v>
      </c>
      <c r="AA83" s="2">
        <v>28.0</v>
      </c>
      <c r="AB83" s="2">
        <f t="shared" si="5"/>
        <v>9.85</v>
      </c>
      <c r="AC83" s="2">
        <v>0.0</v>
      </c>
      <c r="AD83" s="2">
        <v>330.0</v>
      </c>
      <c r="AF83" s="3">
        <f t="shared" si="6"/>
        <v>8.25</v>
      </c>
      <c r="AG83" s="4">
        <f t="shared" si="7"/>
        <v>64.36388889</v>
      </c>
      <c r="AH83" s="2" t="s">
        <v>25</v>
      </c>
    </row>
    <row r="84">
      <c r="A84" s="1" t="s">
        <v>575</v>
      </c>
      <c r="B84" s="1" t="s">
        <v>576</v>
      </c>
      <c r="C84" s="2" t="s">
        <v>577</v>
      </c>
      <c r="D84" s="2">
        <f>VLOOKUP(B84, 'EE-Nitin'!$B$2:$F$57,5)</f>
        <v>36</v>
      </c>
      <c r="E84" s="2">
        <v>24.0</v>
      </c>
      <c r="F84" s="2">
        <f t="shared" si="1"/>
        <v>30</v>
      </c>
      <c r="G84" s="2">
        <v>3.0</v>
      </c>
      <c r="H84" s="2">
        <v>9.0</v>
      </c>
      <c r="I84" s="2">
        <v>30.0</v>
      </c>
      <c r="J84" s="3">
        <f t="shared" si="2"/>
        <v>6.333333333</v>
      </c>
      <c r="K84" s="2">
        <v>83.0</v>
      </c>
      <c r="L84" s="2">
        <v>170.0</v>
      </c>
      <c r="N84" s="3">
        <f t="shared" si="3"/>
        <v>170</v>
      </c>
      <c r="O84" s="2">
        <v>97.0</v>
      </c>
      <c r="P84" s="2">
        <f t="shared" si="4"/>
        <v>13.25</v>
      </c>
      <c r="Q84" s="2">
        <v>7.0</v>
      </c>
      <c r="R84" s="2">
        <v>5.0</v>
      </c>
      <c r="S84" s="2">
        <v>9.0</v>
      </c>
      <c r="T84" s="2">
        <v>14.0</v>
      </c>
      <c r="U84" s="2">
        <v>0.0</v>
      </c>
      <c r="V84" s="2">
        <v>14.0</v>
      </c>
      <c r="W84" s="2">
        <v>0.0</v>
      </c>
      <c r="X84" s="2">
        <v>0.0</v>
      </c>
      <c r="Y84" s="2">
        <v>0.0</v>
      </c>
      <c r="Z84" s="2">
        <v>28.0</v>
      </c>
      <c r="AA84" s="2">
        <v>28.0</v>
      </c>
      <c r="AB84" s="2">
        <f t="shared" si="5"/>
        <v>5.25</v>
      </c>
      <c r="AC84" s="2">
        <v>45.0</v>
      </c>
      <c r="AD84" s="2">
        <v>345.0</v>
      </c>
      <c r="AF84" s="3">
        <f t="shared" si="6"/>
        <v>9.75</v>
      </c>
      <c r="AG84" s="4">
        <f t="shared" si="7"/>
        <v>64.58333333</v>
      </c>
      <c r="AH84" s="2" t="s">
        <v>25</v>
      </c>
    </row>
    <row r="85">
      <c r="A85" s="1" t="s">
        <v>533</v>
      </c>
      <c r="B85" s="1" t="s">
        <v>534</v>
      </c>
      <c r="C85" s="2" t="s">
        <v>535</v>
      </c>
      <c r="D85" s="2">
        <f>VLOOKUP(B85, 'EE-Nitin'!$B$2:$F$57,5)</f>
        <v>33</v>
      </c>
      <c r="E85" s="2">
        <v>16.0</v>
      </c>
      <c r="F85" s="2">
        <f t="shared" si="1"/>
        <v>24.5</v>
      </c>
      <c r="G85" s="2">
        <v>4.0</v>
      </c>
      <c r="H85" s="2">
        <v>6.5</v>
      </c>
      <c r="I85" s="2">
        <v>31.0</v>
      </c>
      <c r="J85" s="3">
        <f t="shared" si="2"/>
        <v>6.069444444</v>
      </c>
      <c r="K85" s="2">
        <v>93.0</v>
      </c>
      <c r="L85" s="2">
        <v>165.0</v>
      </c>
      <c r="M85" s="2">
        <v>190.0</v>
      </c>
      <c r="N85" s="3">
        <f t="shared" si="3"/>
        <v>190</v>
      </c>
      <c r="O85" s="2">
        <v>97.0</v>
      </c>
      <c r="P85" s="2">
        <f t="shared" si="4"/>
        <v>14.25</v>
      </c>
      <c r="Q85" s="2">
        <v>6.0</v>
      </c>
      <c r="R85" s="2">
        <v>6.0</v>
      </c>
      <c r="S85" s="2">
        <v>7.0</v>
      </c>
      <c r="T85" s="2">
        <v>14.0</v>
      </c>
      <c r="U85" s="2">
        <v>15.0</v>
      </c>
      <c r="V85" s="2">
        <v>15.0</v>
      </c>
      <c r="W85" s="2">
        <v>19.5</v>
      </c>
      <c r="X85" s="2">
        <v>28.0</v>
      </c>
      <c r="Y85" s="2">
        <v>29.0</v>
      </c>
      <c r="Z85" s="2">
        <v>29.0</v>
      </c>
      <c r="AA85" s="2">
        <v>30.0</v>
      </c>
      <c r="AB85" s="2">
        <f t="shared" si="5"/>
        <v>9.925</v>
      </c>
      <c r="AC85" s="2">
        <v>50.0</v>
      </c>
      <c r="AD85" s="2">
        <v>345.0</v>
      </c>
      <c r="AF85" s="3">
        <f t="shared" si="6"/>
        <v>9.875</v>
      </c>
      <c r="AG85" s="4">
        <f t="shared" si="7"/>
        <v>64.61944444</v>
      </c>
      <c r="AH85" s="2" t="s">
        <v>25</v>
      </c>
    </row>
    <row r="86">
      <c r="A86" s="1" t="s">
        <v>515</v>
      </c>
      <c r="B86" s="1" t="s">
        <v>516</v>
      </c>
      <c r="C86" s="2" t="s">
        <v>517</v>
      </c>
      <c r="D86" s="2">
        <f>VLOOKUP(B86, 'EE-Nitin'!$B$2:$F$57,5)</f>
        <v>42</v>
      </c>
      <c r="E86" s="2">
        <v>14.0</v>
      </c>
      <c r="F86" s="2">
        <f t="shared" si="1"/>
        <v>28</v>
      </c>
      <c r="G86" s="2">
        <v>7.0</v>
      </c>
      <c r="H86" s="2">
        <v>4.0</v>
      </c>
      <c r="I86" s="2">
        <v>22.0</v>
      </c>
      <c r="J86" s="3">
        <f t="shared" si="2"/>
        <v>5.194444444</v>
      </c>
      <c r="K86" s="2">
        <v>95.0</v>
      </c>
      <c r="L86" s="2">
        <v>170.0</v>
      </c>
      <c r="M86" s="2">
        <v>143.0</v>
      </c>
      <c r="N86" s="3">
        <f t="shared" si="3"/>
        <v>170</v>
      </c>
      <c r="O86" s="2">
        <v>97.0</v>
      </c>
      <c r="P86" s="2">
        <f t="shared" si="4"/>
        <v>13.85</v>
      </c>
      <c r="Q86" s="2">
        <v>7.0</v>
      </c>
      <c r="R86" s="2">
        <v>6.0</v>
      </c>
      <c r="S86" s="2">
        <v>0.0</v>
      </c>
      <c r="T86" s="2">
        <v>14.0</v>
      </c>
      <c r="U86" s="2">
        <v>14.0</v>
      </c>
      <c r="V86" s="2">
        <v>14.0</v>
      </c>
      <c r="W86" s="2">
        <v>19.0</v>
      </c>
      <c r="X86" s="2">
        <v>29.0</v>
      </c>
      <c r="Y86" s="2">
        <v>27.0</v>
      </c>
      <c r="Z86" s="2">
        <v>27.0</v>
      </c>
      <c r="AA86" s="2">
        <v>28.0</v>
      </c>
      <c r="AB86" s="2">
        <f t="shared" si="5"/>
        <v>9.25</v>
      </c>
      <c r="AC86" s="2">
        <v>10.0</v>
      </c>
      <c r="AD86" s="2">
        <v>346.0</v>
      </c>
      <c r="AF86" s="3">
        <f t="shared" si="6"/>
        <v>8.9</v>
      </c>
      <c r="AG86" s="4">
        <f t="shared" si="7"/>
        <v>65.19444444</v>
      </c>
      <c r="AH86" s="2" t="s">
        <v>25</v>
      </c>
    </row>
    <row r="87">
      <c r="A87" s="1" t="s">
        <v>512</v>
      </c>
      <c r="B87" s="1" t="s">
        <v>513</v>
      </c>
      <c r="C87" s="2" t="s">
        <v>514</v>
      </c>
      <c r="D87" s="2">
        <f>VLOOKUP(B87, 'EE-Nitin'!$B$2:$F$57,5)</f>
        <v>36</v>
      </c>
      <c r="E87" s="2">
        <v>21.0</v>
      </c>
      <c r="F87" s="2">
        <f t="shared" si="1"/>
        <v>28.5</v>
      </c>
      <c r="G87" s="2">
        <v>4.0</v>
      </c>
      <c r="H87" s="2">
        <v>7.0</v>
      </c>
      <c r="I87" s="2">
        <v>23.0</v>
      </c>
      <c r="J87" s="3">
        <f t="shared" si="2"/>
        <v>5.305555556</v>
      </c>
      <c r="K87" s="2">
        <v>80.0</v>
      </c>
      <c r="L87" s="2">
        <v>165.0</v>
      </c>
      <c r="M87" s="2">
        <v>170.0</v>
      </c>
      <c r="N87" s="3">
        <f t="shared" si="3"/>
        <v>170</v>
      </c>
      <c r="O87" s="2">
        <v>98.0</v>
      </c>
      <c r="P87" s="2">
        <f t="shared" si="4"/>
        <v>13.15</v>
      </c>
      <c r="Q87" s="2">
        <v>2.0</v>
      </c>
      <c r="R87" s="2">
        <v>4.0</v>
      </c>
      <c r="S87" s="2">
        <v>0.0</v>
      </c>
      <c r="T87" s="2">
        <v>11.0</v>
      </c>
      <c r="U87" s="2">
        <v>14.0</v>
      </c>
      <c r="V87" s="2">
        <v>10.0</v>
      </c>
      <c r="W87" s="2">
        <v>20.0</v>
      </c>
      <c r="X87" s="2">
        <v>25.0</v>
      </c>
      <c r="Y87" s="2">
        <v>27.0</v>
      </c>
      <c r="Z87" s="2">
        <v>28.0</v>
      </c>
      <c r="AA87" s="2">
        <v>28.0</v>
      </c>
      <c r="AB87" s="2">
        <f t="shared" si="5"/>
        <v>8.45</v>
      </c>
      <c r="AC87" s="2">
        <v>50.0</v>
      </c>
      <c r="AD87" s="2">
        <v>345.0</v>
      </c>
      <c r="AF87" s="3">
        <f t="shared" si="6"/>
        <v>9.875</v>
      </c>
      <c r="AG87" s="4">
        <f t="shared" si="7"/>
        <v>65.28055556</v>
      </c>
      <c r="AH87" s="2" t="s">
        <v>25</v>
      </c>
    </row>
    <row r="88">
      <c r="A88" s="1" t="s">
        <v>913</v>
      </c>
      <c r="B88" s="1" t="s">
        <v>914</v>
      </c>
      <c r="C88" s="2" t="s">
        <v>915</v>
      </c>
      <c r="D88" s="2">
        <f>VLOOKUP(B88,MT!$B$2:$F$30,5)</f>
        <v>37</v>
      </c>
      <c r="E88" s="2">
        <v>19.0</v>
      </c>
      <c r="F88" s="2">
        <f t="shared" si="1"/>
        <v>28</v>
      </c>
      <c r="G88" s="2">
        <v>5.5</v>
      </c>
      <c r="H88" s="2">
        <v>16.0</v>
      </c>
      <c r="I88" s="2">
        <v>23.5</v>
      </c>
      <c r="J88" s="3">
        <f t="shared" si="2"/>
        <v>7.986111111</v>
      </c>
      <c r="K88" s="2">
        <v>80.0</v>
      </c>
      <c r="L88" s="2">
        <v>190.0</v>
      </c>
      <c r="N88" s="3">
        <f t="shared" si="3"/>
        <v>190</v>
      </c>
      <c r="O88" s="2">
        <v>100.0</v>
      </c>
      <c r="P88" s="2">
        <f t="shared" si="4"/>
        <v>13.75</v>
      </c>
      <c r="Q88" s="2">
        <v>5.0</v>
      </c>
      <c r="R88" s="2">
        <v>4.0</v>
      </c>
      <c r="S88" s="2">
        <v>13.0</v>
      </c>
      <c r="T88" s="2">
        <v>9.0</v>
      </c>
      <c r="U88" s="2">
        <v>8.0</v>
      </c>
      <c r="V88" s="2">
        <v>12.0</v>
      </c>
      <c r="W88" s="2">
        <v>18.0</v>
      </c>
      <c r="X88" s="2">
        <v>0.0</v>
      </c>
      <c r="Y88" s="2">
        <v>29.0</v>
      </c>
      <c r="Z88" s="2">
        <v>28.0</v>
      </c>
      <c r="AB88" s="2">
        <f t="shared" si="5"/>
        <v>6.3</v>
      </c>
      <c r="AC88" s="2">
        <v>50.0</v>
      </c>
      <c r="AD88" s="2">
        <v>320.0</v>
      </c>
      <c r="AF88" s="3">
        <f t="shared" si="6"/>
        <v>9.25</v>
      </c>
      <c r="AG88" s="4">
        <f t="shared" si="7"/>
        <v>65.28611111</v>
      </c>
      <c r="AH88" s="2" t="s">
        <v>25</v>
      </c>
    </row>
    <row r="89">
      <c r="A89" s="1" t="s">
        <v>506</v>
      </c>
      <c r="B89" s="1" t="s">
        <v>507</v>
      </c>
      <c r="C89" s="2" t="s">
        <v>508</v>
      </c>
      <c r="D89" s="2">
        <f>VLOOKUP(B89, 'EE-Nitin'!$B$2:$F$57,5)</f>
        <v>33</v>
      </c>
      <c r="E89" s="2">
        <v>20.0</v>
      </c>
      <c r="F89" s="2">
        <f t="shared" si="1"/>
        <v>26.5</v>
      </c>
      <c r="G89" s="2">
        <v>5.0</v>
      </c>
      <c r="H89" s="2">
        <v>5.0</v>
      </c>
      <c r="I89" s="2">
        <v>26.0</v>
      </c>
      <c r="J89" s="3">
        <f t="shared" si="2"/>
        <v>5.388888889</v>
      </c>
      <c r="K89" s="2">
        <v>94.0</v>
      </c>
      <c r="L89" s="2">
        <v>180.0</v>
      </c>
      <c r="N89" s="3">
        <f t="shared" si="3"/>
        <v>180</v>
      </c>
      <c r="O89" s="2">
        <v>97.0</v>
      </c>
      <c r="P89" s="2">
        <f t="shared" si="4"/>
        <v>14.05</v>
      </c>
      <c r="Q89" s="2">
        <v>6.0</v>
      </c>
      <c r="R89" s="2">
        <v>5.0</v>
      </c>
      <c r="S89" s="2">
        <v>12.0</v>
      </c>
      <c r="T89" s="2">
        <v>11.0</v>
      </c>
      <c r="U89" s="2">
        <v>14.5</v>
      </c>
      <c r="V89" s="2">
        <v>13.0</v>
      </c>
      <c r="W89" s="2">
        <v>19.5</v>
      </c>
      <c r="X89" s="2">
        <v>27.0</v>
      </c>
      <c r="Y89" s="2">
        <v>26.0</v>
      </c>
      <c r="Z89" s="2">
        <v>29.0</v>
      </c>
      <c r="AA89" s="2">
        <v>28.0</v>
      </c>
      <c r="AB89" s="2">
        <f t="shared" si="5"/>
        <v>9.55</v>
      </c>
      <c r="AC89" s="2">
        <v>50.0</v>
      </c>
      <c r="AD89" s="2">
        <v>346.0</v>
      </c>
      <c r="AF89" s="3">
        <f t="shared" si="6"/>
        <v>9.9</v>
      </c>
      <c r="AG89" s="4">
        <f t="shared" si="7"/>
        <v>65.38888889</v>
      </c>
      <c r="AH89" s="2" t="s">
        <v>25</v>
      </c>
    </row>
    <row r="90">
      <c r="A90" s="1" t="s">
        <v>817</v>
      </c>
      <c r="B90" s="1" t="s">
        <v>818</v>
      </c>
      <c r="C90" s="2" t="s">
        <v>819</v>
      </c>
      <c r="D90" s="2">
        <f>VLOOKUP(B90,'MM-Subhashree'!$B$2:F$26,5)</f>
        <v>37</v>
      </c>
      <c r="E90" s="2">
        <v>14.0</v>
      </c>
      <c r="F90" s="2">
        <f t="shared" si="1"/>
        <v>25.5</v>
      </c>
      <c r="G90" s="2">
        <v>9.0</v>
      </c>
      <c r="H90" s="2">
        <v>11.0</v>
      </c>
      <c r="I90" s="2">
        <v>16.0</v>
      </c>
      <c r="J90" s="3">
        <f t="shared" si="2"/>
        <v>6.777777778</v>
      </c>
      <c r="K90" s="2">
        <v>94.0</v>
      </c>
      <c r="L90" s="2">
        <v>170.0</v>
      </c>
      <c r="M90" s="2">
        <v>193.0</v>
      </c>
      <c r="N90" s="3">
        <f t="shared" si="3"/>
        <v>193</v>
      </c>
      <c r="O90" s="2">
        <v>100.0</v>
      </c>
      <c r="P90" s="2">
        <f t="shared" si="4"/>
        <v>14.525</v>
      </c>
      <c r="Q90" s="2">
        <v>7.0</v>
      </c>
      <c r="R90" s="2">
        <v>6.0</v>
      </c>
      <c r="S90" s="2">
        <v>12.0</v>
      </c>
      <c r="T90" s="2">
        <v>13.0</v>
      </c>
      <c r="U90" s="2">
        <v>15.0</v>
      </c>
      <c r="V90" s="2">
        <v>13.5</v>
      </c>
      <c r="W90" s="2">
        <v>18.5</v>
      </c>
      <c r="X90" s="2">
        <v>28.5</v>
      </c>
      <c r="Y90" s="2">
        <v>28.5</v>
      </c>
      <c r="Z90" s="2">
        <v>30.0</v>
      </c>
      <c r="AB90" s="2">
        <f t="shared" si="5"/>
        <v>8.6</v>
      </c>
      <c r="AC90" s="2">
        <v>50.0</v>
      </c>
      <c r="AD90" s="2">
        <v>350.0</v>
      </c>
      <c r="AF90" s="3">
        <f t="shared" si="6"/>
        <v>10</v>
      </c>
      <c r="AG90" s="4">
        <f t="shared" si="7"/>
        <v>65.40277778</v>
      </c>
      <c r="AH90" s="2" t="s">
        <v>25</v>
      </c>
    </row>
    <row r="91">
      <c r="A91" s="1" t="s">
        <v>826</v>
      </c>
      <c r="B91" s="1" t="s">
        <v>827</v>
      </c>
      <c r="C91" s="2" t="s">
        <v>828</v>
      </c>
      <c r="D91" s="2">
        <f>VLOOKUP(B91,'MM-Subhashree'!$B$2:F$26,5)</f>
        <v>28</v>
      </c>
      <c r="E91" s="2">
        <v>21.0</v>
      </c>
      <c r="F91" s="2">
        <f t="shared" si="1"/>
        <v>24.5</v>
      </c>
      <c r="G91" s="2">
        <v>4.0</v>
      </c>
      <c r="H91" s="2">
        <v>14.5</v>
      </c>
      <c r="I91" s="2">
        <v>38.0</v>
      </c>
      <c r="J91" s="3">
        <f t="shared" si="2"/>
        <v>8.847222222</v>
      </c>
      <c r="K91" s="2">
        <v>95.0</v>
      </c>
      <c r="L91" s="2">
        <v>168.0</v>
      </c>
      <c r="N91" s="3">
        <f t="shared" si="3"/>
        <v>168</v>
      </c>
      <c r="O91" s="2">
        <v>98.0</v>
      </c>
      <c r="P91" s="2">
        <f t="shared" si="4"/>
        <v>13.85</v>
      </c>
      <c r="Q91" s="2">
        <v>4.0</v>
      </c>
      <c r="R91" s="2">
        <v>8.0</v>
      </c>
      <c r="U91" s="2">
        <v>15.0</v>
      </c>
      <c r="V91" s="2">
        <v>11.5</v>
      </c>
      <c r="W91" s="2">
        <v>19.0</v>
      </c>
      <c r="X91" s="2">
        <v>26.0</v>
      </c>
      <c r="Y91" s="2">
        <v>25.0</v>
      </c>
      <c r="Z91" s="2">
        <v>29.0</v>
      </c>
      <c r="AA91" s="2">
        <v>29.0</v>
      </c>
      <c r="AB91" s="2">
        <f t="shared" si="5"/>
        <v>8.325</v>
      </c>
      <c r="AC91" s="2">
        <v>49.0</v>
      </c>
      <c r="AD91" s="2">
        <v>350.0</v>
      </c>
      <c r="AF91" s="3">
        <f t="shared" si="6"/>
        <v>9.975</v>
      </c>
      <c r="AG91" s="4">
        <f t="shared" si="7"/>
        <v>65.49722222</v>
      </c>
      <c r="AH91" s="2" t="s">
        <v>25</v>
      </c>
    </row>
    <row r="92">
      <c r="A92" s="1" t="s">
        <v>841</v>
      </c>
      <c r="B92" s="1" t="s">
        <v>842</v>
      </c>
      <c r="C92" s="2" t="s">
        <v>843</v>
      </c>
      <c r="D92" s="2">
        <f>VLOOKUP(B92,'MM-Subhashree'!$B$2:F$26,5)</f>
        <v>33</v>
      </c>
      <c r="E92" s="2">
        <v>13.0</v>
      </c>
      <c r="F92" s="2">
        <f t="shared" si="1"/>
        <v>23</v>
      </c>
      <c r="G92" s="2">
        <v>6.0</v>
      </c>
      <c r="H92" s="2">
        <v>9.0</v>
      </c>
      <c r="I92" s="2">
        <v>39.0</v>
      </c>
      <c r="J92" s="3">
        <f t="shared" si="2"/>
        <v>8.083333333</v>
      </c>
      <c r="K92" s="2">
        <v>100.0</v>
      </c>
      <c r="L92" s="2">
        <v>183.0</v>
      </c>
      <c r="N92" s="3">
        <f t="shared" si="3"/>
        <v>183</v>
      </c>
      <c r="O92" s="2">
        <v>98.0</v>
      </c>
      <c r="P92" s="2">
        <f t="shared" si="4"/>
        <v>14.475</v>
      </c>
      <c r="Q92" s="2">
        <v>7.0</v>
      </c>
      <c r="R92" s="2">
        <v>4.0</v>
      </c>
      <c r="S92" s="2">
        <v>12.0</v>
      </c>
      <c r="T92" s="2">
        <v>14.5</v>
      </c>
      <c r="U92" s="2">
        <v>15.0</v>
      </c>
      <c r="V92" s="2">
        <v>14.5</v>
      </c>
      <c r="W92" s="2">
        <v>19.0</v>
      </c>
      <c r="X92" s="2">
        <v>27.0</v>
      </c>
      <c r="Y92" s="2">
        <v>28.0</v>
      </c>
      <c r="Z92" s="2">
        <v>29.0</v>
      </c>
      <c r="AA92" s="2">
        <v>30.0</v>
      </c>
      <c r="AB92" s="2">
        <f t="shared" si="5"/>
        <v>10</v>
      </c>
      <c r="AC92" s="2">
        <v>49.0</v>
      </c>
      <c r="AD92" s="2">
        <v>350.0</v>
      </c>
      <c r="AF92" s="3">
        <f t="shared" si="6"/>
        <v>9.975</v>
      </c>
      <c r="AG92" s="4">
        <f t="shared" si="7"/>
        <v>65.53333333</v>
      </c>
      <c r="AH92" s="2" t="s">
        <v>25</v>
      </c>
    </row>
    <row r="93">
      <c r="A93" s="1" t="s">
        <v>342</v>
      </c>
      <c r="B93" s="1" t="s">
        <v>343</v>
      </c>
      <c r="C93" s="2" t="s">
        <v>344</v>
      </c>
      <c r="D93" s="2">
        <f>VLOOKUP(B93,'EC-Nitin'!$B$2:$F$46,5)</f>
        <v>41</v>
      </c>
      <c r="E93" s="2">
        <v>12.0</v>
      </c>
      <c r="F93" s="2">
        <f t="shared" si="1"/>
        <v>26.5</v>
      </c>
      <c r="G93" s="2">
        <v>5.5</v>
      </c>
      <c r="H93" s="2">
        <v>2.0</v>
      </c>
      <c r="I93" s="2">
        <v>23.0</v>
      </c>
      <c r="J93" s="3">
        <f t="shared" si="2"/>
        <v>4.430555556</v>
      </c>
      <c r="K93" s="2">
        <v>100.0</v>
      </c>
      <c r="L93" s="2">
        <v>200.0</v>
      </c>
      <c r="N93" s="3">
        <f t="shared" si="3"/>
        <v>200</v>
      </c>
      <c r="O93" s="2">
        <v>100.0</v>
      </c>
      <c r="P93" s="2">
        <f t="shared" si="4"/>
        <v>15</v>
      </c>
      <c r="Q93" s="2">
        <v>7.0</v>
      </c>
      <c r="R93" s="2">
        <v>5.0</v>
      </c>
      <c r="S93" s="2">
        <v>15.0</v>
      </c>
      <c r="T93" s="2">
        <v>13.0</v>
      </c>
      <c r="U93" s="2">
        <v>13.0</v>
      </c>
      <c r="V93" s="2">
        <v>14.0</v>
      </c>
      <c r="W93" s="2">
        <v>20.0</v>
      </c>
      <c r="X93" s="2">
        <v>30.0</v>
      </c>
      <c r="Y93" s="2">
        <v>30.0</v>
      </c>
      <c r="Z93" s="2">
        <v>29.0</v>
      </c>
      <c r="AA93" s="2">
        <v>28.0</v>
      </c>
      <c r="AB93" s="2">
        <f t="shared" si="5"/>
        <v>10.2</v>
      </c>
      <c r="AC93" s="2">
        <v>30.0</v>
      </c>
      <c r="AD93" s="2">
        <v>350.0</v>
      </c>
      <c r="AF93" s="3">
        <f t="shared" si="6"/>
        <v>9.5</v>
      </c>
      <c r="AG93" s="4">
        <f t="shared" si="7"/>
        <v>65.63055556</v>
      </c>
      <c r="AH93" s="2" t="s">
        <v>25</v>
      </c>
    </row>
    <row r="94">
      <c r="A94" s="2" t="s">
        <v>998</v>
      </c>
      <c r="B94" s="2" t="s">
        <v>999</v>
      </c>
      <c r="C94" s="2" t="s">
        <v>1000</v>
      </c>
      <c r="D94" s="2">
        <f>VLOOKUP(B94, 'MSC-Vikrant'!B3:F14,5)</f>
        <v>29</v>
      </c>
      <c r="E94" s="2">
        <v>27.0</v>
      </c>
      <c r="F94" s="2">
        <f t="shared" si="1"/>
        <v>28</v>
      </c>
      <c r="G94" s="2">
        <v>9.0</v>
      </c>
      <c r="H94" s="2">
        <v>11.0</v>
      </c>
      <c r="I94" s="2">
        <v>8.0</v>
      </c>
      <c r="J94" s="3">
        <f t="shared" si="2"/>
        <v>5.888888889</v>
      </c>
      <c r="K94" s="2">
        <v>85.0</v>
      </c>
      <c r="L94" s="2">
        <v>174.0</v>
      </c>
      <c r="N94" s="3">
        <f t="shared" si="3"/>
        <v>174</v>
      </c>
      <c r="O94" s="2">
        <v>90.0</v>
      </c>
      <c r="P94" s="2">
        <f t="shared" si="4"/>
        <v>13.1</v>
      </c>
      <c r="Q94" s="2">
        <v>7.0</v>
      </c>
      <c r="S94" s="2">
        <v>9.0</v>
      </c>
      <c r="T94" s="2">
        <v>11.0</v>
      </c>
      <c r="U94" s="2">
        <v>14.0</v>
      </c>
      <c r="V94" s="2">
        <v>14.0</v>
      </c>
      <c r="W94" s="2">
        <v>16.0</v>
      </c>
      <c r="X94" s="2">
        <v>29.0</v>
      </c>
      <c r="Y94" s="2">
        <v>21.0</v>
      </c>
      <c r="Z94" s="2">
        <v>28.0</v>
      </c>
      <c r="AA94" s="2">
        <v>29.0</v>
      </c>
      <c r="AB94" s="2">
        <f t="shared" si="5"/>
        <v>8.9</v>
      </c>
      <c r="AC94" s="2">
        <v>50.0</v>
      </c>
      <c r="AD94" s="2">
        <v>340.0</v>
      </c>
      <c r="AF94" s="3">
        <f t="shared" si="6"/>
        <v>9.75</v>
      </c>
      <c r="AG94" s="4">
        <f t="shared" si="7"/>
        <v>65.63888889</v>
      </c>
      <c r="AH94" s="2" t="s">
        <v>25</v>
      </c>
    </row>
    <row r="95">
      <c r="A95" s="1" t="s">
        <v>324</v>
      </c>
      <c r="B95" s="1" t="s">
        <v>325</v>
      </c>
      <c r="C95" s="2" t="s">
        <v>326</v>
      </c>
      <c r="D95" s="2">
        <f>VLOOKUP(B95,'DSAI-Vikrant'!$B$2:$F$44,5)</f>
        <v>39</v>
      </c>
      <c r="E95" s="2">
        <v>18.0</v>
      </c>
      <c r="F95" s="2">
        <f t="shared" si="1"/>
        <v>28.5</v>
      </c>
      <c r="G95" s="2">
        <v>7.0</v>
      </c>
      <c r="H95" s="2">
        <v>10.5</v>
      </c>
      <c r="I95" s="2">
        <v>17.5</v>
      </c>
      <c r="J95" s="3">
        <f t="shared" si="2"/>
        <v>6.319444444</v>
      </c>
      <c r="K95" s="2">
        <v>90.0</v>
      </c>
      <c r="L95" s="2">
        <v>175.0</v>
      </c>
      <c r="N95" s="3">
        <f t="shared" si="3"/>
        <v>175</v>
      </c>
      <c r="O95" s="2">
        <v>89.0</v>
      </c>
      <c r="P95" s="2">
        <f t="shared" si="4"/>
        <v>13.325</v>
      </c>
      <c r="R95" s="2">
        <v>3.0</v>
      </c>
      <c r="S95" s="2">
        <v>8.0</v>
      </c>
      <c r="T95" s="2">
        <v>7.0</v>
      </c>
      <c r="U95" s="2">
        <v>12.0</v>
      </c>
      <c r="V95" s="2">
        <v>13.0</v>
      </c>
      <c r="W95" s="2">
        <v>19.0</v>
      </c>
      <c r="X95" s="2">
        <v>22.0</v>
      </c>
      <c r="Y95" s="2">
        <v>23.0</v>
      </c>
      <c r="Z95" s="2">
        <v>28.0</v>
      </c>
      <c r="AA95" s="2">
        <v>29.0</v>
      </c>
      <c r="AB95" s="2">
        <f t="shared" si="5"/>
        <v>8.2</v>
      </c>
      <c r="AC95" s="2">
        <v>50.0</v>
      </c>
      <c r="AD95" s="2">
        <v>325.0</v>
      </c>
      <c r="AF95" s="3">
        <f t="shared" si="6"/>
        <v>9.375</v>
      </c>
      <c r="AG95" s="4">
        <f t="shared" si="7"/>
        <v>65.71944444</v>
      </c>
      <c r="AH95" s="2" t="s">
        <v>25</v>
      </c>
    </row>
    <row r="96">
      <c r="A96" s="1" t="s">
        <v>635</v>
      </c>
      <c r="B96" s="1" t="s">
        <v>636</v>
      </c>
      <c r="C96" s="2" t="s">
        <v>637</v>
      </c>
      <c r="D96" s="2">
        <f>VLOOKUP(B96, 'ME-Subhashree'!$B$2:$F$56,5)</f>
        <v>37</v>
      </c>
      <c r="E96" s="2">
        <v>18.0</v>
      </c>
      <c r="F96" s="2">
        <f t="shared" si="1"/>
        <v>27.5</v>
      </c>
      <c r="G96" s="2">
        <v>6.0</v>
      </c>
      <c r="H96" s="2">
        <v>9.0</v>
      </c>
      <c r="I96" s="2">
        <v>27.0</v>
      </c>
      <c r="J96" s="3">
        <f t="shared" si="2"/>
        <v>6.75</v>
      </c>
      <c r="K96" s="2">
        <v>90.0</v>
      </c>
      <c r="L96" s="2">
        <v>165.0</v>
      </c>
      <c r="N96" s="3">
        <f t="shared" si="3"/>
        <v>165</v>
      </c>
      <c r="O96" s="2">
        <v>100.0</v>
      </c>
      <c r="P96" s="2">
        <f t="shared" si="4"/>
        <v>13.625</v>
      </c>
      <c r="Q96" s="2">
        <v>6.0</v>
      </c>
      <c r="R96" s="2">
        <v>5.0</v>
      </c>
      <c r="S96" s="2">
        <v>7.0</v>
      </c>
      <c r="T96" s="2">
        <v>15.0</v>
      </c>
      <c r="U96" s="2">
        <v>15.0</v>
      </c>
      <c r="V96" s="2">
        <v>13.0</v>
      </c>
      <c r="W96" s="2">
        <v>17.0</v>
      </c>
      <c r="X96" s="2">
        <v>27.0</v>
      </c>
      <c r="Y96" s="2">
        <v>27.0</v>
      </c>
      <c r="Z96" s="2">
        <v>28.0</v>
      </c>
      <c r="AA96" s="2">
        <v>28.0</v>
      </c>
      <c r="AB96" s="2">
        <f t="shared" si="5"/>
        <v>9.4</v>
      </c>
      <c r="AC96" s="2">
        <v>40.0</v>
      </c>
      <c r="AD96" s="2">
        <v>300.0</v>
      </c>
      <c r="AF96" s="3">
        <f t="shared" si="6"/>
        <v>8.5</v>
      </c>
      <c r="AG96" s="4">
        <f t="shared" si="7"/>
        <v>65.775</v>
      </c>
      <c r="AH96" s="2" t="s">
        <v>25</v>
      </c>
    </row>
    <row r="97">
      <c r="A97" s="1" t="s">
        <v>632</v>
      </c>
      <c r="B97" s="1" t="s">
        <v>633</v>
      </c>
      <c r="C97" s="2" t="s">
        <v>634</v>
      </c>
      <c r="D97" s="2">
        <f>VLOOKUP(B97, 'EE-Nitin'!$B$2:$F$57,5)</f>
        <v>34</v>
      </c>
      <c r="E97" s="2">
        <v>32.0</v>
      </c>
      <c r="F97" s="2">
        <f t="shared" si="1"/>
        <v>33</v>
      </c>
      <c r="G97" s="2">
        <v>15.0</v>
      </c>
      <c r="H97" s="2">
        <v>6.5</v>
      </c>
      <c r="I97" s="2">
        <v>27.0</v>
      </c>
      <c r="J97" s="3">
        <f t="shared" si="2"/>
        <v>8.375</v>
      </c>
      <c r="K97" s="2">
        <v>90.0</v>
      </c>
      <c r="L97" s="2">
        <v>150.0</v>
      </c>
      <c r="N97" s="3">
        <f t="shared" si="3"/>
        <v>150</v>
      </c>
      <c r="O97" s="2">
        <v>0.0</v>
      </c>
      <c r="P97" s="2">
        <f t="shared" si="4"/>
        <v>8.25</v>
      </c>
      <c r="Q97" s="2">
        <v>7.0</v>
      </c>
      <c r="R97" s="2">
        <v>7.0</v>
      </c>
      <c r="S97" s="2">
        <v>0.0</v>
      </c>
      <c r="T97" s="2">
        <v>4.0</v>
      </c>
      <c r="U97" s="2">
        <v>14.0</v>
      </c>
      <c r="V97" s="2">
        <v>14.0</v>
      </c>
      <c r="W97" s="2">
        <v>20.0</v>
      </c>
      <c r="X97" s="2">
        <v>30.0</v>
      </c>
      <c r="Y97" s="2">
        <v>30.0</v>
      </c>
      <c r="Z97" s="2">
        <v>28.0</v>
      </c>
      <c r="AB97" s="2">
        <f t="shared" si="5"/>
        <v>7.7</v>
      </c>
      <c r="AC97" s="2">
        <v>30.0</v>
      </c>
      <c r="AD97" s="2">
        <v>310.0</v>
      </c>
      <c r="AF97" s="3">
        <f t="shared" si="6"/>
        <v>8.5</v>
      </c>
      <c r="AG97" s="4">
        <f t="shared" si="7"/>
        <v>65.825</v>
      </c>
      <c r="AH97" s="2" t="s">
        <v>25</v>
      </c>
    </row>
    <row r="98">
      <c r="A98" s="1" t="s">
        <v>292</v>
      </c>
      <c r="B98" s="1" t="s">
        <v>293</v>
      </c>
      <c r="C98" s="2" t="s">
        <v>292</v>
      </c>
      <c r="D98" s="2">
        <f>VLOOKUP(B98,'DSAI-Vikrant'!$B$2:$F$44,5)</f>
        <v>35</v>
      </c>
      <c r="E98" s="2">
        <v>19.0</v>
      </c>
      <c r="F98" s="2">
        <f t="shared" si="1"/>
        <v>27</v>
      </c>
      <c r="G98" s="2">
        <v>10.0</v>
      </c>
      <c r="H98" s="2">
        <v>11.5</v>
      </c>
      <c r="I98" s="2">
        <v>29.0</v>
      </c>
      <c r="J98" s="3">
        <f t="shared" si="2"/>
        <v>8.597222222</v>
      </c>
      <c r="K98" s="2">
        <v>85.0</v>
      </c>
      <c r="L98" s="2">
        <v>180.0</v>
      </c>
      <c r="N98" s="3">
        <f t="shared" si="3"/>
        <v>180</v>
      </c>
      <c r="O98" s="2">
        <v>87.0</v>
      </c>
      <c r="P98" s="2">
        <f t="shared" si="4"/>
        <v>13.1</v>
      </c>
      <c r="Q98" s="2">
        <v>7.0</v>
      </c>
      <c r="R98" s="2">
        <v>2.0</v>
      </c>
      <c r="S98" s="2">
        <v>13.0</v>
      </c>
      <c r="T98" s="2">
        <v>8.0</v>
      </c>
      <c r="U98" s="2">
        <v>15.0</v>
      </c>
      <c r="V98" s="2">
        <v>15.0</v>
      </c>
      <c r="W98" s="2">
        <v>18.0</v>
      </c>
      <c r="X98" s="2">
        <v>21.0</v>
      </c>
      <c r="Y98" s="2">
        <v>24.0</v>
      </c>
      <c r="Z98" s="2">
        <v>28.0</v>
      </c>
      <c r="AA98" s="2">
        <v>28.0</v>
      </c>
      <c r="AB98" s="2">
        <f t="shared" si="5"/>
        <v>8.95</v>
      </c>
      <c r="AC98" s="2">
        <v>30.0</v>
      </c>
      <c r="AD98" s="2">
        <v>300.0</v>
      </c>
      <c r="AF98" s="3">
        <f t="shared" si="6"/>
        <v>8.25</v>
      </c>
      <c r="AG98" s="4">
        <f t="shared" si="7"/>
        <v>65.89722222</v>
      </c>
      <c r="AH98" s="2" t="s">
        <v>25</v>
      </c>
    </row>
    <row r="99">
      <c r="A99" s="1" t="s">
        <v>247</v>
      </c>
      <c r="B99" s="1" t="s">
        <v>248</v>
      </c>
      <c r="C99" s="2" t="s">
        <v>249</v>
      </c>
      <c r="D99" s="2">
        <f>VLOOKUP(B99,'DSAI-Vikrant'!$B$2:$F$44,5)</f>
        <v>38</v>
      </c>
      <c r="E99" s="2">
        <v>24.0</v>
      </c>
      <c r="F99" s="2">
        <f t="shared" si="1"/>
        <v>31</v>
      </c>
      <c r="G99" s="2">
        <v>8.0</v>
      </c>
      <c r="H99" s="2">
        <v>8.5</v>
      </c>
      <c r="I99" s="2">
        <v>23.0</v>
      </c>
      <c r="J99" s="3">
        <f t="shared" si="2"/>
        <v>6.680555556</v>
      </c>
      <c r="K99" s="2">
        <v>85.0</v>
      </c>
      <c r="L99" s="2">
        <v>145.0</v>
      </c>
      <c r="N99" s="3">
        <f t="shared" si="3"/>
        <v>145</v>
      </c>
      <c r="O99" s="2">
        <v>85.0</v>
      </c>
      <c r="P99" s="2">
        <f t="shared" si="4"/>
        <v>12.125</v>
      </c>
      <c r="Q99" s="2">
        <v>5.0</v>
      </c>
      <c r="R99" s="2">
        <v>4.0</v>
      </c>
      <c r="S99" s="2">
        <v>10.0</v>
      </c>
      <c r="T99" s="2">
        <v>6.0</v>
      </c>
      <c r="U99" s="2">
        <v>15.0</v>
      </c>
      <c r="V99" s="2">
        <v>13.0</v>
      </c>
      <c r="W99" s="2">
        <v>15.0</v>
      </c>
      <c r="X99" s="2">
        <v>24.0</v>
      </c>
      <c r="Y99" s="2">
        <v>24.0</v>
      </c>
      <c r="Z99" s="2">
        <v>29.0</v>
      </c>
      <c r="AA99" s="2">
        <v>27.0</v>
      </c>
      <c r="AB99" s="2">
        <f t="shared" si="5"/>
        <v>8.6</v>
      </c>
      <c r="AC99" s="2">
        <v>30.0</v>
      </c>
      <c r="AD99" s="2">
        <v>280.0</v>
      </c>
      <c r="AF99" s="3">
        <f t="shared" si="6"/>
        <v>7.75</v>
      </c>
      <c r="AG99" s="4">
        <f t="shared" si="7"/>
        <v>66.15555556</v>
      </c>
      <c r="AH99" s="2" t="s">
        <v>25</v>
      </c>
    </row>
    <row r="100">
      <c r="A100" s="1" t="s">
        <v>605</v>
      </c>
      <c r="B100" s="1" t="s">
        <v>606</v>
      </c>
      <c r="C100" s="2" t="s">
        <v>607</v>
      </c>
      <c r="D100" s="2">
        <f>VLOOKUP(B100, 'EE-Nitin'!$B$2:$F$57,5)</f>
        <v>29</v>
      </c>
      <c r="E100" s="2">
        <v>25.0</v>
      </c>
      <c r="F100" s="2">
        <f t="shared" si="1"/>
        <v>27</v>
      </c>
      <c r="G100" s="2">
        <v>9.0</v>
      </c>
      <c r="H100" s="2">
        <v>11.0</v>
      </c>
      <c r="I100" s="2">
        <v>15.0</v>
      </c>
      <c r="J100" s="3">
        <f t="shared" si="2"/>
        <v>6.666666667</v>
      </c>
      <c r="K100" s="2">
        <v>80.0</v>
      </c>
      <c r="L100" s="2">
        <v>200.0</v>
      </c>
      <c r="N100" s="3">
        <f t="shared" si="3"/>
        <v>200</v>
      </c>
      <c r="O100" s="2">
        <v>100.0</v>
      </c>
      <c r="P100" s="2">
        <f t="shared" si="4"/>
        <v>14</v>
      </c>
      <c r="Q100" s="2">
        <v>7.0</v>
      </c>
      <c r="R100" s="2">
        <v>2.0</v>
      </c>
      <c r="S100" s="2">
        <v>15.0</v>
      </c>
      <c r="T100" s="2">
        <v>3.0</v>
      </c>
      <c r="U100" s="2">
        <v>8.0</v>
      </c>
      <c r="V100" s="2">
        <v>13.0</v>
      </c>
      <c r="W100" s="2">
        <v>16.0</v>
      </c>
      <c r="X100" s="2">
        <v>26.0</v>
      </c>
      <c r="Y100" s="2">
        <v>27.0</v>
      </c>
      <c r="Z100" s="2">
        <v>29.0</v>
      </c>
      <c r="AA100" s="2">
        <v>27.0</v>
      </c>
      <c r="AB100" s="2">
        <f t="shared" si="5"/>
        <v>8.65</v>
      </c>
      <c r="AC100" s="2">
        <v>50.0</v>
      </c>
      <c r="AD100" s="2">
        <v>350.0</v>
      </c>
      <c r="AF100" s="3">
        <f t="shared" si="6"/>
        <v>10</v>
      </c>
      <c r="AG100" s="4">
        <f t="shared" si="7"/>
        <v>66.31666667</v>
      </c>
      <c r="AH100" s="2" t="s">
        <v>25</v>
      </c>
    </row>
    <row r="101">
      <c r="A101" s="1" t="s">
        <v>602</v>
      </c>
      <c r="B101" s="1" t="s">
        <v>603</v>
      </c>
      <c r="C101" s="2" t="s">
        <v>604</v>
      </c>
      <c r="D101" s="2">
        <f>VLOOKUP(B101, 'EE-Nitin'!$B$2:$F$57,5)</f>
        <v>35</v>
      </c>
      <c r="E101" s="2">
        <v>21.0</v>
      </c>
      <c r="F101" s="2">
        <f t="shared" si="1"/>
        <v>28</v>
      </c>
      <c r="G101" s="2">
        <v>6.0</v>
      </c>
      <c r="H101" s="2">
        <v>10.0</v>
      </c>
      <c r="I101" s="2">
        <v>32.0</v>
      </c>
      <c r="J101" s="3">
        <f t="shared" si="2"/>
        <v>7.555555556</v>
      </c>
      <c r="K101" s="2">
        <v>100.0</v>
      </c>
      <c r="L101" s="2">
        <v>180.0</v>
      </c>
      <c r="N101" s="3">
        <f t="shared" si="3"/>
        <v>180</v>
      </c>
      <c r="O101" s="2">
        <v>80.0</v>
      </c>
      <c r="P101" s="2">
        <f t="shared" si="4"/>
        <v>13.5</v>
      </c>
      <c r="Q101" s="2">
        <v>5.0</v>
      </c>
      <c r="R101" s="2">
        <v>8.0</v>
      </c>
      <c r="S101" s="2">
        <v>9.0</v>
      </c>
      <c r="T101" s="2">
        <v>8.0</v>
      </c>
      <c r="U101" s="2">
        <v>12.0</v>
      </c>
      <c r="V101" s="2">
        <v>15.0</v>
      </c>
      <c r="W101" s="2">
        <v>20.0</v>
      </c>
      <c r="X101" s="2">
        <v>30.0</v>
      </c>
      <c r="Y101" s="2">
        <v>30.0</v>
      </c>
      <c r="Z101" s="2">
        <v>28.0</v>
      </c>
      <c r="AA101" s="2">
        <v>29.0</v>
      </c>
      <c r="AB101" s="2">
        <f t="shared" si="5"/>
        <v>9.7</v>
      </c>
      <c r="AC101" s="2">
        <v>10.0</v>
      </c>
      <c r="AD101" s="2">
        <v>310.0</v>
      </c>
      <c r="AF101" s="3">
        <f t="shared" si="6"/>
        <v>8</v>
      </c>
      <c r="AG101" s="4">
        <f t="shared" si="7"/>
        <v>66.75555556</v>
      </c>
      <c r="AH101" s="2" t="s">
        <v>25</v>
      </c>
    </row>
    <row r="102">
      <c r="A102" s="1" t="s">
        <v>704</v>
      </c>
      <c r="B102" s="1" t="s">
        <v>705</v>
      </c>
      <c r="C102" s="2" t="s">
        <v>706</v>
      </c>
      <c r="D102" s="2">
        <f>VLOOKUP(B102, 'ME-Subhashree'!$B$2:$F$56,5)</f>
        <v>31</v>
      </c>
      <c r="E102" s="2">
        <v>19.0</v>
      </c>
      <c r="F102" s="2">
        <f t="shared" si="1"/>
        <v>25</v>
      </c>
      <c r="G102" s="2">
        <v>8.0</v>
      </c>
      <c r="H102" s="2">
        <v>16.0</v>
      </c>
      <c r="I102" s="2">
        <v>16.0</v>
      </c>
      <c r="J102" s="3">
        <f t="shared" si="2"/>
        <v>7.777777778</v>
      </c>
      <c r="K102" s="2">
        <v>100.0</v>
      </c>
      <c r="L102" s="2">
        <v>180.0</v>
      </c>
      <c r="M102" s="2">
        <v>160.0</v>
      </c>
      <c r="N102" s="3">
        <f t="shared" si="3"/>
        <v>180</v>
      </c>
      <c r="O102" s="2">
        <v>100.0</v>
      </c>
      <c r="P102" s="2">
        <f t="shared" si="4"/>
        <v>14.5</v>
      </c>
      <c r="Q102" s="2">
        <v>7.0</v>
      </c>
      <c r="R102" s="2">
        <v>4.0</v>
      </c>
      <c r="S102" s="2">
        <v>12.0</v>
      </c>
      <c r="T102" s="2">
        <v>15.0</v>
      </c>
      <c r="U102" s="2">
        <v>15.0</v>
      </c>
      <c r="V102" s="2">
        <v>14.0</v>
      </c>
      <c r="W102" s="2">
        <v>20.0</v>
      </c>
      <c r="X102" s="2">
        <v>30.0</v>
      </c>
      <c r="Y102" s="2">
        <v>30.0</v>
      </c>
      <c r="Z102" s="2">
        <v>29.0</v>
      </c>
      <c r="AA102" s="2">
        <v>29.0</v>
      </c>
      <c r="AB102" s="2">
        <f t="shared" si="5"/>
        <v>10.25</v>
      </c>
      <c r="AC102" s="2">
        <v>30.0</v>
      </c>
      <c r="AD102" s="2">
        <v>340.0</v>
      </c>
      <c r="AF102" s="3">
        <f t="shared" si="6"/>
        <v>9.25</v>
      </c>
      <c r="AG102" s="4">
        <f t="shared" si="7"/>
        <v>66.77777778</v>
      </c>
      <c r="AH102" s="2" t="s">
        <v>25</v>
      </c>
    </row>
    <row r="103">
      <c r="A103" s="1" t="s">
        <v>363</v>
      </c>
      <c r="B103" s="1" t="s">
        <v>364</v>
      </c>
      <c r="C103" s="2" t="s">
        <v>365</v>
      </c>
      <c r="D103" s="2">
        <f>VLOOKUP(B103,'EC-Nitin'!$B$2:$F$46,5)</f>
        <v>44</v>
      </c>
      <c r="E103" s="2">
        <v>13.0</v>
      </c>
      <c r="F103" s="2">
        <f t="shared" si="1"/>
        <v>28.5</v>
      </c>
      <c r="G103" s="2">
        <v>10.0</v>
      </c>
      <c r="H103" s="2">
        <v>10.0</v>
      </c>
      <c r="I103" s="2">
        <v>22.0</v>
      </c>
      <c r="J103" s="3">
        <f t="shared" si="2"/>
        <v>7.444444444</v>
      </c>
      <c r="K103" s="2">
        <v>95.0</v>
      </c>
      <c r="L103" s="2">
        <v>100.0</v>
      </c>
      <c r="N103" s="3">
        <f t="shared" si="3"/>
        <v>100</v>
      </c>
      <c r="O103" s="2">
        <v>96.0</v>
      </c>
      <c r="P103" s="2">
        <f t="shared" si="4"/>
        <v>12.05</v>
      </c>
      <c r="Q103" s="2">
        <v>5.0</v>
      </c>
      <c r="R103" s="2">
        <v>3.0</v>
      </c>
      <c r="S103" s="2">
        <v>13.0</v>
      </c>
      <c r="T103" s="2">
        <v>12.0</v>
      </c>
      <c r="U103" s="2">
        <v>13.0</v>
      </c>
      <c r="V103" s="2">
        <v>12.0</v>
      </c>
      <c r="W103" s="2">
        <v>17.0</v>
      </c>
      <c r="X103" s="2">
        <v>30.0</v>
      </c>
      <c r="Y103" s="2">
        <v>25.0</v>
      </c>
      <c r="Z103" s="2">
        <v>30.0</v>
      </c>
      <c r="AA103" s="2">
        <v>28.0</v>
      </c>
      <c r="AB103" s="2">
        <f t="shared" si="5"/>
        <v>9.4</v>
      </c>
      <c r="AC103" s="2">
        <v>50.0</v>
      </c>
      <c r="AD103" s="2">
        <v>330.0</v>
      </c>
      <c r="AF103" s="3">
        <f t="shared" si="6"/>
        <v>9.5</v>
      </c>
      <c r="AG103" s="4">
        <f t="shared" si="7"/>
        <v>66.89444444</v>
      </c>
      <c r="AH103" s="2" t="s">
        <v>25</v>
      </c>
    </row>
    <row r="104">
      <c r="A104" s="1" t="s">
        <v>847</v>
      </c>
      <c r="B104" s="1" t="s">
        <v>848</v>
      </c>
      <c r="C104" s="2" t="s">
        <v>849</v>
      </c>
      <c r="D104" s="2">
        <f>VLOOKUP(B104,'MM-Subhashree'!$B$2:F$26,5)</f>
        <v>38</v>
      </c>
      <c r="E104" s="2">
        <v>27.0</v>
      </c>
      <c r="F104" s="2">
        <f t="shared" si="1"/>
        <v>32.5</v>
      </c>
      <c r="H104" s="2">
        <v>12.0</v>
      </c>
      <c r="I104" s="2">
        <v>40.0</v>
      </c>
      <c r="J104" s="3">
        <f t="shared" si="2"/>
        <v>7.444444444</v>
      </c>
      <c r="L104" s="2">
        <v>196.0</v>
      </c>
      <c r="N104" s="3">
        <f t="shared" si="3"/>
        <v>196</v>
      </c>
      <c r="O104" s="2">
        <v>100.0</v>
      </c>
      <c r="P104" s="2">
        <f t="shared" si="4"/>
        <v>9.9</v>
      </c>
      <c r="Q104" s="2">
        <v>7.0</v>
      </c>
      <c r="R104" s="2">
        <v>9.0</v>
      </c>
      <c r="S104" s="2">
        <v>10.0</v>
      </c>
      <c r="T104" s="2">
        <v>13.0</v>
      </c>
      <c r="U104" s="2">
        <v>15.0</v>
      </c>
      <c r="V104" s="2">
        <v>14.5</v>
      </c>
      <c r="W104" s="2">
        <v>19.5</v>
      </c>
      <c r="Y104" s="2">
        <v>27.0</v>
      </c>
      <c r="Z104" s="2">
        <v>30.0</v>
      </c>
      <c r="AB104" s="2">
        <f t="shared" si="5"/>
        <v>7.25</v>
      </c>
      <c r="AC104" s="2">
        <v>50.0</v>
      </c>
      <c r="AD104" s="2">
        <v>350.0</v>
      </c>
      <c r="AF104" s="3">
        <f t="shared" si="6"/>
        <v>10</v>
      </c>
      <c r="AG104" s="4">
        <f t="shared" si="7"/>
        <v>67.09444444</v>
      </c>
      <c r="AH104" s="2" t="s">
        <v>25</v>
      </c>
    </row>
    <row r="105">
      <c r="A105" s="1" t="s">
        <v>262</v>
      </c>
      <c r="B105" s="1" t="s">
        <v>263</v>
      </c>
      <c r="C105" s="2" t="s">
        <v>264</v>
      </c>
      <c r="D105" s="2">
        <f>VLOOKUP(B105,'DSAI-Vikrant'!$B$2:$F$44,5)</f>
        <v>45</v>
      </c>
      <c r="E105" s="2">
        <v>20.0</v>
      </c>
      <c r="F105" s="2">
        <f t="shared" si="1"/>
        <v>32.5</v>
      </c>
      <c r="G105" s="2">
        <v>6.0</v>
      </c>
      <c r="H105" s="2">
        <v>5.0</v>
      </c>
      <c r="I105" s="2">
        <v>25.0</v>
      </c>
      <c r="J105" s="3">
        <f t="shared" si="2"/>
        <v>5.527777778</v>
      </c>
      <c r="K105" s="2">
        <v>95.0</v>
      </c>
      <c r="L105" s="2">
        <v>175.0</v>
      </c>
      <c r="N105" s="3">
        <f t="shared" si="3"/>
        <v>175</v>
      </c>
      <c r="O105" s="2">
        <v>85.0</v>
      </c>
      <c r="P105" s="2">
        <f t="shared" si="4"/>
        <v>13.375</v>
      </c>
      <c r="Q105" s="2">
        <v>7.0</v>
      </c>
      <c r="R105" s="2">
        <v>5.0</v>
      </c>
      <c r="S105" s="2">
        <v>10.0</v>
      </c>
      <c r="U105" s="2">
        <v>14.0</v>
      </c>
      <c r="V105" s="2">
        <v>13.0</v>
      </c>
      <c r="W105" s="2">
        <v>20.0</v>
      </c>
      <c r="X105" s="2">
        <v>26.0</v>
      </c>
      <c r="Y105" s="2">
        <v>24.0</v>
      </c>
      <c r="Z105" s="2">
        <v>28.0</v>
      </c>
      <c r="AA105" s="2">
        <v>27.0</v>
      </c>
      <c r="AB105" s="2">
        <f t="shared" si="5"/>
        <v>8.7</v>
      </c>
      <c r="AC105" s="2">
        <v>10.0</v>
      </c>
      <c r="AD105" s="2">
        <v>270.0</v>
      </c>
      <c r="AF105" s="3">
        <f t="shared" si="6"/>
        <v>7</v>
      </c>
      <c r="AG105" s="4">
        <f t="shared" si="7"/>
        <v>67.10277778</v>
      </c>
      <c r="AH105" s="2" t="s">
        <v>25</v>
      </c>
    </row>
    <row r="106">
      <c r="A106" s="1" t="s">
        <v>161</v>
      </c>
      <c r="B106" s="1" t="s">
        <v>162</v>
      </c>
      <c r="C106" s="2" t="s">
        <v>163</v>
      </c>
      <c r="D106" s="2">
        <f>VLOOKUP(B106, 'CSE-Sandeep'!$B$2:$G$61,5)</f>
        <v>38</v>
      </c>
      <c r="E106" s="2">
        <v>21.0</v>
      </c>
      <c r="F106" s="2">
        <f t="shared" si="1"/>
        <v>29.5</v>
      </c>
      <c r="G106" s="2">
        <v>11.0</v>
      </c>
      <c r="H106" s="2">
        <v>14.0</v>
      </c>
      <c r="I106" s="2">
        <v>8.0</v>
      </c>
      <c r="J106" s="3">
        <f t="shared" si="2"/>
        <v>7.138888889</v>
      </c>
      <c r="K106" s="2">
        <v>100.0</v>
      </c>
      <c r="L106" s="2">
        <v>189.0</v>
      </c>
      <c r="N106" s="3">
        <f t="shared" si="3"/>
        <v>189</v>
      </c>
      <c r="O106" s="2">
        <v>90.0</v>
      </c>
      <c r="P106" s="2">
        <f t="shared" si="4"/>
        <v>14.225</v>
      </c>
      <c r="Q106" s="2">
        <v>7.0</v>
      </c>
      <c r="R106" s="2">
        <v>6.0</v>
      </c>
      <c r="T106" s="2">
        <v>8.0</v>
      </c>
      <c r="U106" s="2">
        <v>13.0</v>
      </c>
      <c r="V106" s="2">
        <v>15.0</v>
      </c>
      <c r="W106" s="2">
        <v>20.0</v>
      </c>
      <c r="X106" s="2">
        <v>28.0</v>
      </c>
      <c r="Y106" s="2">
        <v>26.0</v>
      </c>
      <c r="Z106" s="2">
        <v>28.0</v>
      </c>
      <c r="AA106" s="2">
        <v>28.0</v>
      </c>
      <c r="AB106" s="2">
        <f t="shared" si="5"/>
        <v>8.95</v>
      </c>
      <c r="AC106" s="2">
        <v>0.0</v>
      </c>
      <c r="AD106" s="2">
        <v>320.0</v>
      </c>
      <c r="AF106" s="3">
        <f t="shared" si="6"/>
        <v>8</v>
      </c>
      <c r="AG106" s="4">
        <f t="shared" si="7"/>
        <v>67.81388889</v>
      </c>
      <c r="AH106" s="2" t="s">
        <v>25</v>
      </c>
    </row>
    <row r="107">
      <c r="A107" s="1" t="s">
        <v>50</v>
      </c>
      <c r="B107" s="1" t="s">
        <v>51</v>
      </c>
      <c r="C107" s="2" t="s">
        <v>52</v>
      </c>
      <c r="D107" s="2">
        <f>VLOOKUP(B107, 'CSE-Sandeep'!$B$2:$G$61,5)</f>
        <v>38</v>
      </c>
      <c r="E107" s="2">
        <v>19.0</v>
      </c>
      <c r="F107" s="2">
        <f t="shared" si="1"/>
        <v>28.5</v>
      </c>
      <c r="G107" s="2">
        <v>6.0</v>
      </c>
      <c r="H107" s="2">
        <v>6.0</v>
      </c>
      <c r="I107" s="2">
        <v>35.0</v>
      </c>
      <c r="J107" s="3">
        <f t="shared" si="2"/>
        <v>6.888888889</v>
      </c>
      <c r="K107" s="2">
        <v>90.0</v>
      </c>
      <c r="L107" s="2">
        <v>180.0</v>
      </c>
      <c r="N107" s="3">
        <f t="shared" si="3"/>
        <v>180</v>
      </c>
      <c r="O107" s="2">
        <v>89.0</v>
      </c>
      <c r="P107" s="2">
        <f t="shared" si="4"/>
        <v>13.45</v>
      </c>
      <c r="Q107" s="2">
        <v>7.0</v>
      </c>
      <c r="R107" s="2">
        <v>2.0</v>
      </c>
      <c r="S107" s="2">
        <v>15.0</v>
      </c>
      <c r="T107" s="2">
        <v>10.0</v>
      </c>
      <c r="U107" s="2">
        <v>14.0</v>
      </c>
      <c r="V107" s="2">
        <v>14.0</v>
      </c>
      <c r="W107" s="2">
        <v>20.0</v>
      </c>
      <c r="X107" s="2">
        <v>30.0</v>
      </c>
      <c r="Y107" s="2">
        <v>30.0</v>
      </c>
      <c r="Z107" s="2">
        <v>28.0</v>
      </c>
      <c r="AA107" s="2">
        <v>28.0</v>
      </c>
      <c r="AB107" s="2">
        <f t="shared" si="5"/>
        <v>9.9</v>
      </c>
      <c r="AC107" s="2">
        <v>30.0</v>
      </c>
      <c r="AD107" s="2">
        <v>335.0</v>
      </c>
      <c r="AF107" s="3">
        <f t="shared" si="6"/>
        <v>9.125</v>
      </c>
      <c r="AG107" s="4">
        <f t="shared" si="7"/>
        <v>67.86388889</v>
      </c>
      <c r="AH107" s="2" t="s">
        <v>25</v>
      </c>
    </row>
    <row r="108">
      <c r="A108" s="1" t="s">
        <v>802</v>
      </c>
      <c r="B108" s="1" t="s">
        <v>803</v>
      </c>
      <c r="C108" s="2" t="s">
        <v>804</v>
      </c>
      <c r="D108" s="2">
        <f>VLOOKUP(B108,'MM-Subhashree'!$B$2:F$26,5)</f>
        <v>38</v>
      </c>
      <c r="E108" s="2">
        <v>12.0</v>
      </c>
      <c r="F108" s="2">
        <f t="shared" si="1"/>
        <v>25</v>
      </c>
      <c r="G108" s="2">
        <v>4.0</v>
      </c>
      <c r="H108" s="2">
        <v>13.5</v>
      </c>
      <c r="I108" s="2">
        <v>39.0</v>
      </c>
      <c r="J108" s="3">
        <f t="shared" si="2"/>
        <v>8.708333333</v>
      </c>
      <c r="K108" s="2">
        <v>98.0</v>
      </c>
      <c r="L108" s="2">
        <v>185.0</v>
      </c>
      <c r="N108" s="3">
        <f t="shared" si="3"/>
        <v>185</v>
      </c>
      <c r="O108" s="2">
        <v>99.0</v>
      </c>
      <c r="P108" s="2">
        <f t="shared" si="4"/>
        <v>14.475</v>
      </c>
      <c r="Q108" s="2">
        <v>7.0</v>
      </c>
      <c r="R108" s="2">
        <v>3.0</v>
      </c>
      <c r="S108" s="2">
        <v>12.0</v>
      </c>
      <c r="T108" s="2">
        <v>14.0</v>
      </c>
      <c r="U108" s="2">
        <v>15.0</v>
      </c>
      <c r="V108" s="2">
        <v>11.0</v>
      </c>
      <c r="W108" s="2">
        <v>18.5</v>
      </c>
      <c r="X108" s="2">
        <v>29.0</v>
      </c>
      <c r="Y108" s="2">
        <v>29.0</v>
      </c>
      <c r="Z108" s="2">
        <v>30.0</v>
      </c>
      <c r="AA108" s="2">
        <v>30.0</v>
      </c>
      <c r="AB108" s="2">
        <f t="shared" si="5"/>
        <v>9.925</v>
      </c>
      <c r="AC108" s="2">
        <v>48.0</v>
      </c>
      <c r="AD108" s="2">
        <v>350.0</v>
      </c>
      <c r="AF108" s="3">
        <f t="shared" si="6"/>
        <v>9.95</v>
      </c>
      <c r="AG108" s="4">
        <f t="shared" si="7"/>
        <v>68.05833333</v>
      </c>
      <c r="AH108" s="2" t="s">
        <v>25</v>
      </c>
    </row>
    <row r="109">
      <c r="A109" s="1" t="s">
        <v>250</v>
      </c>
      <c r="B109" s="1" t="s">
        <v>251</v>
      </c>
      <c r="C109" s="2" t="s">
        <v>252</v>
      </c>
      <c r="D109" s="2">
        <f>VLOOKUP(B109,'DSAI-Vikrant'!$B$2:$F$44,5)</f>
        <v>36</v>
      </c>
      <c r="E109" s="2">
        <v>28.0</v>
      </c>
      <c r="F109" s="2">
        <f t="shared" si="1"/>
        <v>32</v>
      </c>
      <c r="G109" s="2">
        <v>6.0</v>
      </c>
      <c r="H109" s="2">
        <v>11.5</v>
      </c>
      <c r="I109" s="2">
        <v>23.0</v>
      </c>
      <c r="J109" s="3">
        <f t="shared" si="2"/>
        <v>6.930555556</v>
      </c>
      <c r="K109" s="2">
        <v>78.0</v>
      </c>
      <c r="L109" s="2">
        <v>170.0</v>
      </c>
      <c r="N109" s="3">
        <f t="shared" si="3"/>
        <v>170</v>
      </c>
      <c r="O109" s="2">
        <v>95.0</v>
      </c>
      <c r="P109" s="2">
        <f t="shared" si="4"/>
        <v>12.9</v>
      </c>
      <c r="Q109" s="2">
        <v>4.0</v>
      </c>
      <c r="R109" s="2">
        <v>8.0</v>
      </c>
      <c r="S109" s="2">
        <v>6.0</v>
      </c>
      <c r="T109" s="2">
        <v>10.0</v>
      </c>
      <c r="U109" s="2">
        <v>12.0</v>
      </c>
      <c r="V109" s="2">
        <v>14.0</v>
      </c>
      <c r="W109" s="2">
        <v>16.0</v>
      </c>
      <c r="X109" s="2">
        <v>27.0</v>
      </c>
      <c r="Y109" s="2">
        <v>28.0</v>
      </c>
      <c r="Z109" s="2">
        <v>27.0</v>
      </c>
      <c r="AA109" s="2">
        <v>28.0</v>
      </c>
      <c r="AB109" s="2">
        <f t="shared" si="5"/>
        <v>9</v>
      </c>
      <c r="AC109" s="2">
        <v>20.0</v>
      </c>
      <c r="AD109" s="2">
        <v>270.0</v>
      </c>
      <c r="AF109" s="3">
        <f t="shared" si="6"/>
        <v>7.25</v>
      </c>
      <c r="AG109" s="4">
        <f t="shared" si="7"/>
        <v>68.08055556</v>
      </c>
      <c r="AH109" s="2" t="s">
        <v>25</v>
      </c>
    </row>
    <row r="110">
      <c r="A110" s="1" t="s">
        <v>949</v>
      </c>
      <c r="B110" s="1" t="s">
        <v>950</v>
      </c>
      <c r="C110" s="2" t="s">
        <v>951</v>
      </c>
      <c r="D110" s="2">
        <f>VLOOKUP(B110,MT!$B$2:$F$30,5)</f>
        <v>34</v>
      </c>
      <c r="E110" s="2">
        <v>20.0</v>
      </c>
      <c r="F110" s="2">
        <f t="shared" si="1"/>
        <v>27</v>
      </c>
      <c r="G110" s="2">
        <v>10.0</v>
      </c>
      <c r="H110" s="2">
        <v>10.0</v>
      </c>
      <c r="I110" s="2">
        <v>25.0</v>
      </c>
      <c r="J110" s="3">
        <f t="shared" si="2"/>
        <v>7.777777778</v>
      </c>
      <c r="K110" s="2">
        <v>90.0</v>
      </c>
      <c r="L110" s="2">
        <v>180.0</v>
      </c>
      <c r="N110" s="3">
        <f t="shared" si="3"/>
        <v>180</v>
      </c>
      <c r="O110" s="2">
        <v>100.0</v>
      </c>
      <c r="P110" s="2">
        <f t="shared" si="4"/>
        <v>14</v>
      </c>
      <c r="Q110" s="2">
        <v>7.0</v>
      </c>
      <c r="R110" s="2">
        <v>9.0</v>
      </c>
      <c r="S110" s="2">
        <v>10.0</v>
      </c>
      <c r="T110" s="2">
        <v>11.5</v>
      </c>
      <c r="U110" s="2">
        <v>13.0</v>
      </c>
      <c r="V110" s="2">
        <v>15.0</v>
      </c>
      <c r="W110" s="2">
        <v>19.0</v>
      </c>
      <c r="X110" s="2">
        <v>30.0</v>
      </c>
      <c r="Y110" s="2">
        <v>26.0</v>
      </c>
      <c r="Z110" s="2">
        <v>29.0</v>
      </c>
      <c r="AA110" s="2">
        <v>28.0</v>
      </c>
      <c r="AB110" s="2">
        <f t="shared" si="5"/>
        <v>9.875</v>
      </c>
      <c r="AC110" s="2">
        <v>45.0</v>
      </c>
      <c r="AD110" s="2">
        <v>340.0</v>
      </c>
      <c r="AF110" s="3">
        <f t="shared" si="6"/>
        <v>9.625</v>
      </c>
      <c r="AG110" s="4">
        <f t="shared" si="7"/>
        <v>68.27777778</v>
      </c>
      <c r="AH110" s="2" t="s">
        <v>25</v>
      </c>
    </row>
    <row r="111">
      <c r="A111" s="1" t="s">
        <v>327</v>
      </c>
      <c r="B111" s="1" t="s">
        <v>328</v>
      </c>
      <c r="C111" s="2" t="s">
        <v>329</v>
      </c>
      <c r="D111" s="2">
        <f>VLOOKUP(B111,'DSAI-Vikrant'!$B$2:$F$44,5)</f>
        <v>45</v>
      </c>
      <c r="E111" s="2">
        <v>20.0</v>
      </c>
      <c r="F111" s="2">
        <f t="shared" si="1"/>
        <v>32.5</v>
      </c>
      <c r="G111" s="2">
        <v>4.0</v>
      </c>
      <c r="H111" s="2">
        <v>8.5</v>
      </c>
      <c r="I111" s="2">
        <v>20.5</v>
      </c>
      <c r="J111" s="3">
        <f t="shared" si="2"/>
        <v>5.402777778</v>
      </c>
      <c r="K111" s="2">
        <v>70.0</v>
      </c>
      <c r="L111" s="2">
        <v>185.0</v>
      </c>
      <c r="N111" s="3">
        <f t="shared" si="3"/>
        <v>185</v>
      </c>
      <c r="O111" s="2">
        <v>91.0</v>
      </c>
      <c r="P111" s="2">
        <f t="shared" si="4"/>
        <v>12.675</v>
      </c>
      <c r="Q111" s="2">
        <v>6.0</v>
      </c>
      <c r="R111" s="2">
        <v>8.0</v>
      </c>
      <c r="S111" s="2">
        <v>9.0</v>
      </c>
      <c r="T111" s="2">
        <v>7.0</v>
      </c>
      <c r="V111" s="2">
        <v>15.0</v>
      </c>
      <c r="W111" s="2">
        <v>18.0</v>
      </c>
      <c r="X111" s="2">
        <v>29.0</v>
      </c>
      <c r="Y111" s="2">
        <v>20.0</v>
      </c>
      <c r="Z111" s="2">
        <v>29.0</v>
      </c>
      <c r="AA111" s="2">
        <v>28.0</v>
      </c>
      <c r="AB111" s="2">
        <f t="shared" si="5"/>
        <v>8.45</v>
      </c>
      <c r="AC111" s="2">
        <v>50.0</v>
      </c>
      <c r="AD111" s="2">
        <v>325.0</v>
      </c>
      <c r="AF111" s="3">
        <f t="shared" si="6"/>
        <v>9.375</v>
      </c>
      <c r="AG111" s="4">
        <f t="shared" si="7"/>
        <v>68.40277778</v>
      </c>
      <c r="AH111" s="2" t="s">
        <v>25</v>
      </c>
    </row>
    <row r="112">
      <c r="A112" s="1" t="s">
        <v>330</v>
      </c>
      <c r="B112" s="1" t="s">
        <v>331</v>
      </c>
      <c r="C112" s="2" t="s">
        <v>332</v>
      </c>
      <c r="D112" s="2">
        <f>VLOOKUP(B112,'EC-Nitin'!$B$2:$F$46,5)</f>
        <v>32</v>
      </c>
      <c r="E112" s="2">
        <v>22.0</v>
      </c>
      <c r="F112" s="2">
        <f t="shared" si="1"/>
        <v>27</v>
      </c>
      <c r="G112" s="2">
        <v>11.0</v>
      </c>
      <c r="H112" s="2">
        <v>8.0</v>
      </c>
      <c r="I112" s="2">
        <v>20.0</v>
      </c>
      <c r="J112" s="3">
        <f t="shared" si="2"/>
        <v>6.972222222</v>
      </c>
      <c r="K112" s="2">
        <v>99.0</v>
      </c>
      <c r="L112" s="2">
        <v>180.0</v>
      </c>
      <c r="N112" s="3">
        <f t="shared" si="3"/>
        <v>180</v>
      </c>
      <c r="O112" s="2">
        <v>99.0</v>
      </c>
      <c r="P112" s="2">
        <f t="shared" si="4"/>
        <v>14.4</v>
      </c>
      <c r="Q112" s="2">
        <v>7.0</v>
      </c>
      <c r="R112" s="2">
        <v>2.0</v>
      </c>
      <c r="S112" s="2">
        <v>14.0</v>
      </c>
      <c r="T112" s="2">
        <v>13.0</v>
      </c>
      <c r="U112" s="2">
        <v>14.0</v>
      </c>
      <c r="V112" s="2">
        <v>14.0</v>
      </c>
      <c r="W112" s="2">
        <v>18.0</v>
      </c>
      <c r="X112" s="2">
        <v>30.0</v>
      </c>
      <c r="Y112" s="2">
        <v>30.0</v>
      </c>
      <c r="Z112" s="2">
        <v>30.0</v>
      </c>
      <c r="AA112" s="2">
        <v>30.0</v>
      </c>
      <c r="AB112" s="2">
        <f t="shared" si="5"/>
        <v>10.1</v>
      </c>
      <c r="AC112" s="2">
        <v>50.0</v>
      </c>
      <c r="AD112" s="2">
        <v>350.0</v>
      </c>
      <c r="AF112" s="3">
        <f t="shared" si="6"/>
        <v>10</v>
      </c>
      <c r="AG112" s="4">
        <f t="shared" si="7"/>
        <v>68.47222222</v>
      </c>
      <c r="AH112" s="2" t="s">
        <v>25</v>
      </c>
    </row>
    <row r="113">
      <c r="A113" s="1" t="s">
        <v>229</v>
      </c>
      <c r="B113" s="1" t="s">
        <v>230</v>
      </c>
      <c r="C113" s="2" t="s">
        <v>231</v>
      </c>
      <c r="D113" s="2">
        <f>VLOOKUP(B113,'DSAI-Vikrant'!$B$2:$F$44,5)</f>
        <v>40</v>
      </c>
      <c r="E113" s="2">
        <v>20.0</v>
      </c>
      <c r="F113" s="2">
        <f t="shared" si="1"/>
        <v>30</v>
      </c>
      <c r="G113" s="2">
        <v>10.5</v>
      </c>
      <c r="H113" s="2">
        <v>9.5</v>
      </c>
      <c r="I113" s="2">
        <v>23.0</v>
      </c>
      <c r="J113" s="3">
        <f t="shared" si="2"/>
        <v>7.555555556</v>
      </c>
      <c r="K113" s="2">
        <v>95.0</v>
      </c>
      <c r="L113" s="2">
        <v>195.0</v>
      </c>
      <c r="N113" s="3">
        <f t="shared" si="3"/>
        <v>195</v>
      </c>
      <c r="O113" s="2">
        <v>100.0</v>
      </c>
      <c r="P113" s="2">
        <f t="shared" si="4"/>
        <v>14.625</v>
      </c>
      <c r="Q113" s="2">
        <v>6.0</v>
      </c>
      <c r="R113" s="2">
        <v>6.0</v>
      </c>
      <c r="S113" s="2">
        <v>9.0</v>
      </c>
      <c r="T113" s="2">
        <v>12.0</v>
      </c>
      <c r="U113" s="2">
        <v>14.0</v>
      </c>
      <c r="V113" s="2">
        <v>14.5</v>
      </c>
      <c r="W113" s="2">
        <v>20.0</v>
      </c>
      <c r="X113" s="2">
        <v>29.0</v>
      </c>
      <c r="Y113" s="2">
        <v>30.0</v>
      </c>
      <c r="Z113" s="2">
        <v>28.0</v>
      </c>
      <c r="AA113" s="2">
        <v>28.0</v>
      </c>
      <c r="AB113" s="2">
        <f t="shared" si="5"/>
        <v>9.825</v>
      </c>
      <c r="AC113" s="2">
        <v>0.0</v>
      </c>
      <c r="AD113" s="2">
        <v>270.0</v>
      </c>
      <c r="AF113" s="3">
        <f t="shared" si="6"/>
        <v>6.75</v>
      </c>
      <c r="AG113" s="4">
        <f t="shared" si="7"/>
        <v>68.75555556</v>
      </c>
      <c r="AH113" s="2" t="s">
        <v>25</v>
      </c>
    </row>
    <row r="114">
      <c r="A114" s="1" t="s">
        <v>820</v>
      </c>
      <c r="B114" s="1" t="s">
        <v>821</v>
      </c>
      <c r="C114" s="2" t="s">
        <v>822</v>
      </c>
      <c r="D114" s="2">
        <f>VLOOKUP(B114,'MM-Subhashree'!$B$2:F$26,5)</f>
        <v>36</v>
      </c>
      <c r="E114" s="2">
        <v>17.0</v>
      </c>
      <c r="F114" s="2">
        <f t="shared" si="1"/>
        <v>26.5</v>
      </c>
      <c r="G114" s="2">
        <v>6.0</v>
      </c>
      <c r="H114" s="2">
        <v>13.5</v>
      </c>
      <c r="I114" s="2">
        <v>26.0</v>
      </c>
      <c r="J114" s="3">
        <f t="shared" si="2"/>
        <v>7.763888889</v>
      </c>
      <c r="K114" s="2">
        <v>100.0</v>
      </c>
      <c r="L114" s="2">
        <v>195.0</v>
      </c>
      <c r="N114" s="3">
        <f t="shared" si="3"/>
        <v>195</v>
      </c>
      <c r="O114" s="2">
        <v>99.0</v>
      </c>
      <c r="P114" s="2">
        <f t="shared" si="4"/>
        <v>14.825</v>
      </c>
      <c r="Q114" s="2">
        <v>7.0</v>
      </c>
      <c r="R114" s="2">
        <v>5.0</v>
      </c>
      <c r="S114" s="2">
        <v>12.0</v>
      </c>
      <c r="T114" s="2">
        <v>11.0</v>
      </c>
      <c r="U114" s="2">
        <v>14.5</v>
      </c>
      <c r="V114" s="2">
        <v>13.5</v>
      </c>
      <c r="W114" s="2">
        <v>20.0</v>
      </c>
      <c r="X114" s="2">
        <v>28.0</v>
      </c>
      <c r="Y114" s="2">
        <v>25.0</v>
      </c>
      <c r="Z114" s="2">
        <v>30.0</v>
      </c>
      <c r="AA114" s="2">
        <v>30.0</v>
      </c>
      <c r="AB114" s="2">
        <f t="shared" si="5"/>
        <v>9.8</v>
      </c>
      <c r="AC114" s="2">
        <v>49.0</v>
      </c>
      <c r="AD114" s="2">
        <v>350.0</v>
      </c>
      <c r="AF114" s="3">
        <f t="shared" si="6"/>
        <v>9.975</v>
      </c>
      <c r="AG114" s="4">
        <f t="shared" si="7"/>
        <v>68.86388889</v>
      </c>
      <c r="AH114" s="2" t="s">
        <v>25</v>
      </c>
    </row>
    <row r="115">
      <c r="A115" s="1" t="s">
        <v>593</v>
      </c>
      <c r="B115" s="1" t="s">
        <v>594</v>
      </c>
      <c r="C115" s="2" t="s">
        <v>595</v>
      </c>
      <c r="D115" s="2">
        <f>VLOOKUP(B115, 'EE-Nitin'!$B$2:$F$57,5)</f>
        <v>35</v>
      </c>
      <c r="E115" s="2">
        <v>23.0</v>
      </c>
      <c r="F115" s="2">
        <f t="shared" si="1"/>
        <v>29</v>
      </c>
      <c r="G115" s="2">
        <v>5.0</v>
      </c>
      <c r="H115" s="2">
        <v>13.0</v>
      </c>
      <c r="I115" s="2">
        <v>33.0</v>
      </c>
      <c r="J115" s="3">
        <f t="shared" si="2"/>
        <v>8.166666667</v>
      </c>
      <c r="K115" s="2">
        <v>85.0</v>
      </c>
      <c r="L115" s="2">
        <v>170.0</v>
      </c>
      <c r="N115" s="3">
        <f t="shared" si="3"/>
        <v>170</v>
      </c>
      <c r="O115" s="2">
        <v>80.0</v>
      </c>
      <c r="P115" s="2">
        <f t="shared" si="4"/>
        <v>12.5</v>
      </c>
      <c r="Q115" s="2">
        <v>6.0</v>
      </c>
      <c r="R115" s="2">
        <v>3.0</v>
      </c>
      <c r="S115" s="2">
        <v>15.0</v>
      </c>
      <c r="T115" s="2">
        <v>12.0</v>
      </c>
      <c r="U115" s="2">
        <v>13.0</v>
      </c>
      <c r="V115" s="2">
        <v>14.0</v>
      </c>
      <c r="W115" s="2">
        <v>20.0</v>
      </c>
      <c r="X115" s="2">
        <v>26.0</v>
      </c>
      <c r="Y115" s="2">
        <v>26.0</v>
      </c>
      <c r="Z115" s="2">
        <v>28.0</v>
      </c>
      <c r="AA115" s="2">
        <v>28.0</v>
      </c>
      <c r="AB115" s="2">
        <f t="shared" si="5"/>
        <v>9.55</v>
      </c>
      <c r="AC115" s="2">
        <v>40.0</v>
      </c>
      <c r="AD115" s="2">
        <v>350.0</v>
      </c>
      <c r="AF115" s="3">
        <f t="shared" si="6"/>
        <v>9.75</v>
      </c>
      <c r="AG115" s="4">
        <f t="shared" si="7"/>
        <v>68.96666667</v>
      </c>
      <c r="AH115" s="2" t="s">
        <v>25</v>
      </c>
    </row>
    <row r="116">
      <c r="A116" s="2" t="s">
        <v>1022</v>
      </c>
      <c r="B116" s="2" t="s">
        <v>1023</v>
      </c>
      <c r="C116" s="2" t="s">
        <v>1024</v>
      </c>
      <c r="D116" s="2">
        <f>VLOOKUP(B116, 'MSC-Vikrant'!B11:F22,5)</f>
        <v>45</v>
      </c>
      <c r="E116" s="2">
        <v>23.0</v>
      </c>
      <c r="F116" s="2">
        <f t="shared" si="1"/>
        <v>34</v>
      </c>
      <c r="G116" s="2">
        <v>11.0</v>
      </c>
      <c r="H116" s="2">
        <v>12.0</v>
      </c>
      <c r="I116" s="2">
        <v>26.0</v>
      </c>
      <c r="J116" s="3">
        <f t="shared" si="2"/>
        <v>8.638888889</v>
      </c>
      <c r="K116" s="2">
        <v>75.0</v>
      </c>
      <c r="L116" s="2">
        <v>160.0</v>
      </c>
      <c r="N116" s="3">
        <f t="shared" si="3"/>
        <v>160</v>
      </c>
      <c r="O116" s="2">
        <v>90.0</v>
      </c>
      <c r="P116" s="2">
        <f t="shared" si="4"/>
        <v>12.25</v>
      </c>
      <c r="Q116" s="2">
        <v>7.0</v>
      </c>
      <c r="R116" s="2">
        <v>6.0</v>
      </c>
      <c r="S116" s="2">
        <v>11.0</v>
      </c>
      <c r="T116" s="2">
        <v>0.0</v>
      </c>
      <c r="V116" s="2">
        <v>15.0</v>
      </c>
      <c r="W116" s="2">
        <v>16.0</v>
      </c>
      <c r="X116" s="2">
        <v>29.0</v>
      </c>
      <c r="Z116" s="2">
        <v>29.0</v>
      </c>
      <c r="AB116" s="2">
        <f t="shared" si="5"/>
        <v>5.65</v>
      </c>
      <c r="AC116" s="2">
        <v>50.0</v>
      </c>
      <c r="AD116" s="2">
        <v>300.0</v>
      </c>
      <c r="AF116" s="3">
        <f t="shared" si="6"/>
        <v>8.75</v>
      </c>
      <c r="AG116" s="4">
        <f t="shared" si="7"/>
        <v>69.28888889</v>
      </c>
      <c r="AH116" s="2" t="s">
        <v>25</v>
      </c>
    </row>
    <row r="117">
      <c r="A117" s="1" t="s">
        <v>710</v>
      </c>
      <c r="B117" s="1" t="s">
        <v>711</v>
      </c>
      <c r="C117" s="2" t="s">
        <v>712</v>
      </c>
      <c r="D117" s="2">
        <f>VLOOKUP(B117, 'ME-Subhashree'!$B$2:$F$56,5)</f>
        <v>39</v>
      </c>
      <c r="E117" s="2">
        <v>21.0</v>
      </c>
      <c r="F117" s="2">
        <f t="shared" si="1"/>
        <v>30</v>
      </c>
      <c r="G117" s="2">
        <v>9.0</v>
      </c>
      <c r="H117" s="2">
        <v>8.0</v>
      </c>
      <c r="I117" s="2">
        <v>16.0</v>
      </c>
      <c r="J117" s="3">
        <f t="shared" si="2"/>
        <v>6.027777778</v>
      </c>
      <c r="K117" s="2">
        <v>100.0</v>
      </c>
      <c r="L117" s="2">
        <v>150.0</v>
      </c>
      <c r="N117" s="3">
        <f t="shared" si="3"/>
        <v>150</v>
      </c>
      <c r="O117" s="2">
        <v>100.0</v>
      </c>
      <c r="P117" s="2">
        <f t="shared" si="4"/>
        <v>13.75</v>
      </c>
      <c r="Q117" s="2">
        <v>4.0</v>
      </c>
      <c r="R117" s="2">
        <v>2.0</v>
      </c>
      <c r="S117" s="2">
        <v>12.0</v>
      </c>
      <c r="T117" s="2">
        <v>15.0</v>
      </c>
      <c r="U117" s="2">
        <v>15.0</v>
      </c>
      <c r="V117" s="2">
        <v>10.0</v>
      </c>
      <c r="W117" s="2">
        <v>20.0</v>
      </c>
      <c r="X117" s="2">
        <v>30.0</v>
      </c>
      <c r="Y117" s="2">
        <v>30.0</v>
      </c>
      <c r="Z117" s="2">
        <v>29.0</v>
      </c>
      <c r="AA117" s="2">
        <v>29.0</v>
      </c>
      <c r="AB117" s="2">
        <f t="shared" si="5"/>
        <v>9.8</v>
      </c>
      <c r="AC117" s="2">
        <v>50.0</v>
      </c>
      <c r="AD117" s="2">
        <v>340.0</v>
      </c>
      <c r="AF117" s="3">
        <f t="shared" si="6"/>
        <v>9.75</v>
      </c>
      <c r="AG117" s="4">
        <f t="shared" si="7"/>
        <v>69.32777778</v>
      </c>
      <c r="AH117" s="2" t="s">
        <v>25</v>
      </c>
    </row>
    <row r="118">
      <c r="A118" s="1" t="s">
        <v>67</v>
      </c>
      <c r="B118" s="1" t="s">
        <v>68</v>
      </c>
      <c r="C118" s="2" t="s">
        <v>69</v>
      </c>
      <c r="D118" s="2">
        <f>VLOOKUP(B118, 'CSE-Sandeep'!$B$2:$G$61,5)</f>
        <v>43</v>
      </c>
      <c r="E118" s="2">
        <v>20.0</v>
      </c>
      <c r="F118" s="2">
        <f t="shared" si="1"/>
        <v>31.5</v>
      </c>
      <c r="G118" s="2">
        <v>10.0</v>
      </c>
      <c r="H118" s="2">
        <v>10.0</v>
      </c>
      <c r="I118" s="2">
        <v>20.5</v>
      </c>
      <c r="J118" s="3">
        <f t="shared" si="2"/>
        <v>7.277777778</v>
      </c>
      <c r="K118" s="2">
        <v>80.0</v>
      </c>
      <c r="L118" s="2">
        <v>180.0</v>
      </c>
      <c r="N118" s="3">
        <f t="shared" si="3"/>
        <v>180</v>
      </c>
      <c r="O118" s="2">
        <v>98.0</v>
      </c>
      <c r="P118" s="2">
        <f t="shared" si="4"/>
        <v>13.4</v>
      </c>
      <c r="Q118" s="2">
        <v>7.0</v>
      </c>
      <c r="R118" s="2">
        <v>6.0</v>
      </c>
      <c r="S118" s="2">
        <v>14.0</v>
      </c>
      <c r="T118" s="2">
        <v>8.0</v>
      </c>
      <c r="U118" s="2">
        <v>15.0</v>
      </c>
      <c r="V118" s="2">
        <v>9.0</v>
      </c>
      <c r="W118" s="2">
        <v>20.0</v>
      </c>
      <c r="X118" s="2">
        <v>30.0</v>
      </c>
      <c r="Y118" s="2">
        <v>18.0</v>
      </c>
      <c r="Z118" s="2">
        <v>28.0</v>
      </c>
      <c r="AB118" s="2">
        <f t="shared" si="5"/>
        <v>7.75</v>
      </c>
      <c r="AC118" s="2">
        <v>40.0</v>
      </c>
      <c r="AD118" s="2">
        <v>340.0</v>
      </c>
      <c r="AF118" s="3">
        <f t="shared" si="6"/>
        <v>9.5</v>
      </c>
      <c r="AG118" s="4">
        <f t="shared" si="7"/>
        <v>69.42777778</v>
      </c>
      <c r="AH118" s="2" t="s">
        <v>25</v>
      </c>
    </row>
    <row r="119">
      <c r="A119" s="1" t="s">
        <v>348</v>
      </c>
      <c r="B119" s="1" t="s">
        <v>349</v>
      </c>
      <c r="C119" s="2" t="s">
        <v>350</v>
      </c>
      <c r="D119" s="2">
        <f>VLOOKUP(B119,'EC-Nitin'!$B$2:$F$46,5)</f>
        <v>32</v>
      </c>
      <c r="E119" s="2">
        <v>24.0</v>
      </c>
      <c r="F119" s="2">
        <f t="shared" si="1"/>
        <v>28</v>
      </c>
      <c r="G119" s="2">
        <v>3.5</v>
      </c>
      <c r="H119" s="2">
        <v>10.0</v>
      </c>
      <c r="I119" s="2">
        <v>23.0</v>
      </c>
      <c r="J119" s="3">
        <f t="shared" si="2"/>
        <v>5.930555556</v>
      </c>
      <c r="K119" s="2">
        <v>100.0</v>
      </c>
      <c r="L119" s="2">
        <v>200.0</v>
      </c>
      <c r="N119" s="3">
        <f t="shared" si="3"/>
        <v>200</v>
      </c>
      <c r="O119" s="2">
        <v>100.0</v>
      </c>
      <c r="P119" s="2">
        <f t="shared" si="4"/>
        <v>15</v>
      </c>
      <c r="Q119" s="2">
        <v>7.0</v>
      </c>
      <c r="R119" s="2">
        <v>8.0</v>
      </c>
      <c r="S119" s="2">
        <v>15.0</v>
      </c>
      <c r="T119" s="2">
        <v>14.0</v>
      </c>
      <c r="U119" s="2">
        <v>14.0</v>
      </c>
      <c r="V119" s="2">
        <v>14.0</v>
      </c>
      <c r="W119" s="2">
        <v>20.0</v>
      </c>
      <c r="X119" s="2">
        <v>30.0</v>
      </c>
      <c r="Y119" s="2">
        <v>30.0</v>
      </c>
      <c r="Z119" s="2">
        <v>29.0</v>
      </c>
      <c r="AA119" s="2">
        <v>30.0</v>
      </c>
      <c r="AB119" s="2">
        <f t="shared" si="5"/>
        <v>10.55</v>
      </c>
      <c r="AC119" s="2">
        <v>50.0</v>
      </c>
      <c r="AD119" s="2">
        <v>350.0</v>
      </c>
      <c r="AF119" s="3">
        <f t="shared" si="6"/>
        <v>10</v>
      </c>
      <c r="AG119" s="4">
        <f t="shared" si="7"/>
        <v>69.48055556</v>
      </c>
      <c r="AH119" s="2" t="s">
        <v>25</v>
      </c>
    </row>
    <row r="120">
      <c r="A120" s="1" t="s">
        <v>527</v>
      </c>
      <c r="B120" s="1" t="s">
        <v>528</v>
      </c>
      <c r="C120" s="2" t="s">
        <v>529</v>
      </c>
      <c r="D120" s="2">
        <f>VLOOKUP(B120, 'EE-Nitin'!$B$2:$F$57,5)</f>
        <v>31</v>
      </c>
      <c r="E120" s="2">
        <v>20.0</v>
      </c>
      <c r="F120" s="2">
        <f t="shared" si="1"/>
        <v>25.5</v>
      </c>
      <c r="G120" s="2">
        <v>11.0</v>
      </c>
      <c r="H120" s="2">
        <v>13.5</v>
      </c>
      <c r="I120" s="2">
        <v>31.0</v>
      </c>
      <c r="J120" s="3">
        <f t="shared" si="2"/>
        <v>9.569444444</v>
      </c>
      <c r="K120" s="2">
        <v>97.0</v>
      </c>
      <c r="L120" s="2">
        <v>192.0</v>
      </c>
      <c r="N120" s="3">
        <f t="shared" si="3"/>
        <v>192</v>
      </c>
      <c r="O120" s="2">
        <v>98.0</v>
      </c>
      <c r="P120" s="2">
        <f t="shared" si="4"/>
        <v>14.55</v>
      </c>
      <c r="Q120" s="2">
        <v>7.0</v>
      </c>
      <c r="R120" s="2">
        <v>3.0</v>
      </c>
      <c r="S120" s="2">
        <v>10.0</v>
      </c>
      <c r="T120" s="2">
        <v>12.0</v>
      </c>
      <c r="U120" s="2">
        <v>15.0</v>
      </c>
      <c r="V120" s="2">
        <v>14.5</v>
      </c>
      <c r="W120" s="2">
        <v>20.0</v>
      </c>
      <c r="X120" s="2">
        <v>29.0</v>
      </c>
      <c r="Y120" s="2">
        <v>27.0</v>
      </c>
      <c r="Z120" s="2">
        <v>30.0</v>
      </c>
      <c r="AA120" s="2">
        <v>30.0</v>
      </c>
      <c r="AB120" s="2">
        <f t="shared" si="5"/>
        <v>9.875</v>
      </c>
      <c r="AC120" s="2">
        <v>50.0</v>
      </c>
      <c r="AD120" s="2">
        <v>350.0</v>
      </c>
      <c r="AF120" s="3">
        <f t="shared" si="6"/>
        <v>10</v>
      </c>
      <c r="AG120" s="4">
        <f t="shared" si="7"/>
        <v>69.49444444</v>
      </c>
      <c r="AH120" s="2" t="s">
        <v>25</v>
      </c>
    </row>
    <row r="121">
      <c r="A121" s="1" t="s">
        <v>503</v>
      </c>
      <c r="B121" s="1" t="s">
        <v>504</v>
      </c>
      <c r="C121" s="2" t="s">
        <v>505</v>
      </c>
      <c r="D121" s="2">
        <f>VLOOKUP(B121, 'EE-Nitin'!$B$2:$F$57,5)</f>
        <v>40</v>
      </c>
      <c r="E121" s="2">
        <v>21.0</v>
      </c>
      <c r="F121" s="2">
        <f t="shared" si="1"/>
        <v>30.5</v>
      </c>
      <c r="G121" s="2">
        <v>7.0</v>
      </c>
      <c r="H121" s="2">
        <v>7.5</v>
      </c>
      <c r="I121" s="2">
        <v>29.0</v>
      </c>
      <c r="J121" s="3">
        <f t="shared" si="2"/>
        <v>6.847222222</v>
      </c>
      <c r="K121" s="2">
        <v>90.0</v>
      </c>
      <c r="L121" s="2">
        <v>185.0</v>
      </c>
      <c r="N121" s="3">
        <f t="shared" si="3"/>
        <v>185</v>
      </c>
      <c r="O121" s="2">
        <v>97.0</v>
      </c>
      <c r="P121" s="2">
        <f t="shared" si="4"/>
        <v>13.975</v>
      </c>
      <c r="Q121" s="2">
        <v>7.0</v>
      </c>
      <c r="R121" s="2">
        <v>7.0</v>
      </c>
      <c r="S121" s="2">
        <v>7.0</v>
      </c>
      <c r="T121" s="2">
        <v>11.0</v>
      </c>
      <c r="U121" s="2">
        <v>14.5</v>
      </c>
      <c r="V121" s="2">
        <v>14.0</v>
      </c>
      <c r="W121" s="2">
        <v>20.0</v>
      </c>
      <c r="X121" s="2">
        <v>28.0</v>
      </c>
      <c r="Y121" s="2">
        <v>27.0</v>
      </c>
      <c r="Z121" s="2">
        <v>29.0</v>
      </c>
      <c r="AA121" s="2">
        <v>29.0</v>
      </c>
      <c r="AB121" s="2">
        <f t="shared" si="5"/>
        <v>9.675</v>
      </c>
      <c r="AC121" s="2">
        <v>40.0</v>
      </c>
      <c r="AD121" s="2">
        <v>342.0</v>
      </c>
      <c r="AF121" s="3">
        <f t="shared" si="6"/>
        <v>9.55</v>
      </c>
      <c r="AG121" s="4">
        <f t="shared" si="7"/>
        <v>70.54722222</v>
      </c>
      <c r="AH121" s="2" t="s">
        <v>2</v>
      </c>
    </row>
    <row r="122">
      <c r="A122" s="1" t="s">
        <v>743</v>
      </c>
      <c r="B122" s="1" t="s">
        <v>744</v>
      </c>
      <c r="C122" s="2" t="s">
        <v>745</v>
      </c>
      <c r="D122" s="2">
        <f>VLOOKUP(B122, 'ME-Subhashree'!$B$2:$F$56,5)</f>
        <v>38</v>
      </c>
      <c r="E122" s="2">
        <v>25.0</v>
      </c>
      <c r="F122" s="2">
        <f t="shared" si="1"/>
        <v>31.5</v>
      </c>
      <c r="G122" s="2">
        <v>8.0</v>
      </c>
      <c r="H122" s="2">
        <v>5.5</v>
      </c>
      <c r="I122" s="2">
        <v>42.0</v>
      </c>
      <c r="J122" s="3">
        <f t="shared" si="2"/>
        <v>8.041666667</v>
      </c>
      <c r="K122" s="2">
        <v>100.0</v>
      </c>
      <c r="L122" s="2">
        <v>125.0</v>
      </c>
      <c r="N122" s="3">
        <f t="shared" si="3"/>
        <v>125</v>
      </c>
      <c r="O122" s="2">
        <v>100.0</v>
      </c>
      <c r="P122" s="2">
        <f t="shared" si="4"/>
        <v>13.125</v>
      </c>
      <c r="Q122" s="2">
        <v>6.0</v>
      </c>
      <c r="R122" s="2">
        <v>6.0</v>
      </c>
      <c r="S122" s="2">
        <v>12.0</v>
      </c>
      <c r="T122" s="2">
        <v>12.0</v>
      </c>
      <c r="U122" s="2">
        <v>15.0</v>
      </c>
      <c r="V122" s="2">
        <v>15.0</v>
      </c>
      <c r="W122" s="2">
        <v>20.0</v>
      </c>
      <c r="X122" s="2">
        <v>30.0</v>
      </c>
      <c r="Y122" s="2">
        <v>30.0</v>
      </c>
      <c r="Z122" s="2">
        <v>28.0</v>
      </c>
      <c r="AB122" s="2">
        <f t="shared" si="5"/>
        <v>8.7</v>
      </c>
      <c r="AC122" s="2">
        <v>30.0</v>
      </c>
      <c r="AD122" s="2">
        <v>340.0</v>
      </c>
      <c r="AF122" s="3">
        <f t="shared" si="6"/>
        <v>9.25</v>
      </c>
      <c r="AG122" s="4">
        <f t="shared" si="7"/>
        <v>70.61666667</v>
      </c>
      <c r="AH122" s="2" t="s">
        <v>2</v>
      </c>
    </row>
    <row r="123">
      <c r="A123" s="1" t="s">
        <v>761</v>
      </c>
      <c r="B123" s="1" t="s">
        <v>762</v>
      </c>
      <c r="C123" s="2" t="s">
        <v>763</v>
      </c>
      <c r="D123" s="2">
        <f>VLOOKUP(B123, 'ME-Subhashree'!$B$2:$F$56,5)</f>
        <v>29</v>
      </c>
      <c r="E123" s="2">
        <v>29.0</v>
      </c>
      <c r="F123" s="2">
        <f t="shared" si="1"/>
        <v>29</v>
      </c>
      <c r="G123" s="2">
        <v>10.0</v>
      </c>
      <c r="H123" s="2">
        <v>13.0</v>
      </c>
      <c r="I123" s="2">
        <v>33.0</v>
      </c>
      <c r="J123" s="3">
        <f t="shared" si="2"/>
        <v>9.416666667</v>
      </c>
      <c r="K123" s="2">
        <v>87.0</v>
      </c>
      <c r="L123" s="2">
        <v>190.0</v>
      </c>
      <c r="N123" s="3">
        <f t="shared" si="3"/>
        <v>190</v>
      </c>
      <c r="O123" s="2">
        <v>95.0</v>
      </c>
      <c r="P123" s="2">
        <f t="shared" si="4"/>
        <v>13.85</v>
      </c>
      <c r="Q123" s="2">
        <v>7.0</v>
      </c>
      <c r="R123" s="2">
        <v>6.0</v>
      </c>
      <c r="S123" s="2">
        <v>14.0</v>
      </c>
      <c r="T123" s="2">
        <v>11.0</v>
      </c>
      <c r="U123" s="2">
        <v>13.0</v>
      </c>
      <c r="V123" s="2">
        <v>13.0</v>
      </c>
      <c r="W123" s="2">
        <v>20.0</v>
      </c>
      <c r="X123" s="2">
        <v>25.62</v>
      </c>
      <c r="Y123" s="2">
        <v>29.74</v>
      </c>
      <c r="Z123" s="2">
        <v>29.0</v>
      </c>
      <c r="AA123" s="2">
        <v>29.0</v>
      </c>
      <c r="AB123" s="2">
        <f t="shared" si="5"/>
        <v>9.868</v>
      </c>
      <c r="AC123" s="2">
        <v>0.0</v>
      </c>
      <c r="AD123" s="2">
        <v>340.0</v>
      </c>
      <c r="AF123" s="3">
        <f t="shared" si="6"/>
        <v>8.5</v>
      </c>
      <c r="AG123" s="4">
        <f t="shared" si="7"/>
        <v>70.63466667</v>
      </c>
      <c r="AH123" s="2" t="s">
        <v>2</v>
      </c>
    </row>
    <row r="124">
      <c r="A124" s="1" t="s">
        <v>892</v>
      </c>
      <c r="B124" s="1" t="s">
        <v>893</v>
      </c>
      <c r="C124" s="2" t="s">
        <v>894</v>
      </c>
      <c r="D124" s="2">
        <f>VLOOKUP(B124,MT!$B$2:$F$30,5)</f>
        <v>41</v>
      </c>
      <c r="E124" s="2">
        <v>19.0</v>
      </c>
      <c r="F124" s="2">
        <f t="shared" si="1"/>
        <v>30</v>
      </c>
      <c r="G124" s="2">
        <v>8.0</v>
      </c>
      <c r="H124" s="2">
        <v>14.5</v>
      </c>
      <c r="I124" s="2">
        <v>12.0</v>
      </c>
      <c r="J124" s="3">
        <f t="shared" si="2"/>
        <v>6.958333333</v>
      </c>
      <c r="K124" s="2">
        <v>90.0</v>
      </c>
      <c r="L124" s="2">
        <v>196.0</v>
      </c>
      <c r="N124" s="3">
        <f t="shared" si="3"/>
        <v>196</v>
      </c>
      <c r="O124" s="2">
        <v>100.0</v>
      </c>
      <c r="P124" s="2">
        <f t="shared" si="4"/>
        <v>14.4</v>
      </c>
      <c r="Q124" s="2">
        <v>7.0</v>
      </c>
      <c r="R124" s="2">
        <v>9.0</v>
      </c>
      <c r="S124" s="2">
        <v>13.0</v>
      </c>
      <c r="T124" s="2">
        <v>14.0</v>
      </c>
      <c r="U124" s="2">
        <v>11.0</v>
      </c>
      <c r="V124" s="2">
        <v>14.5</v>
      </c>
      <c r="W124" s="2">
        <v>17.0</v>
      </c>
      <c r="X124" s="2">
        <v>29.0</v>
      </c>
      <c r="Y124" s="2">
        <v>30.0</v>
      </c>
      <c r="Z124" s="2">
        <v>28.0</v>
      </c>
      <c r="AA124" s="2">
        <v>28.0</v>
      </c>
      <c r="AB124" s="2">
        <f t="shared" si="5"/>
        <v>10.025</v>
      </c>
      <c r="AC124" s="2">
        <v>35.0</v>
      </c>
      <c r="AD124" s="2">
        <v>348.0</v>
      </c>
      <c r="AF124" s="3">
        <f t="shared" si="6"/>
        <v>9.575</v>
      </c>
      <c r="AG124" s="4">
        <f t="shared" si="7"/>
        <v>70.95833333</v>
      </c>
      <c r="AH124" s="2" t="s">
        <v>2</v>
      </c>
    </row>
    <row r="125">
      <c r="A125" s="1" t="s">
        <v>509</v>
      </c>
      <c r="B125" s="1" t="s">
        <v>510</v>
      </c>
      <c r="C125" s="2" t="s">
        <v>511</v>
      </c>
      <c r="D125" s="2">
        <f>VLOOKUP(B125, 'EE-Nitin'!$B$2:$F$57,5)</f>
        <v>39</v>
      </c>
      <c r="E125" s="2">
        <v>24.0</v>
      </c>
      <c r="F125" s="2">
        <f t="shared" si="1"/>
        <v>31.5</v>
      </c>
      <c r="G125" s="2">
        <v>10.0</v>
      </c>
      <c r="H125" s="2">
        <v>5.0</v>
      </c>
      <c r="I125" s="2">
        <v>27.0</v>
      </c>
      <c r="J125" s="3">
        <f t="shared" si="2"/>
        <v>6.75</v>
      </c>
      <c r="K125" s="2">
        <v>85.0</v>
      </c>
      <c r="L125" s="2">
        <v>170.0</v>
      </c>
      <c r="M125" s="2">
        <v>190.0</v>
      </c>
      <c r="N125" s="3">
        <f t="shared" si="3"/>
        <v>190</v>
      </c>
      <c r="O125" s="2">
        <v>98.0</v>
      </c>
      <c r="P125" s="2">
        <f t="shared" si="4"/>
        <v>13.9</v>
      </c>
      <c r="Q125" s="2">
        <v>7.0</v>
      </c>
      <c r="R125" s="2">
        <v>3.0</v>
      </c>
      <c r="S125" s="2">
        <v>7.0</v>
      </c>
      <c r="T125" s="2">
        <v>11.0</v>
      </c>
      <c r="U125" s="2">
        <v>13.0</v>
      </c>
      <c r="V125" s="2">
        <v>12.0</v>
      </c>
      <c r="W125" s="2">
        <v>19.0</v>
      </c>
      <c r="X125" s="2">
        <v>25.0</v>
      </c>
      <c r="Y125" s="2">
        <v>26.0</v>
      </c>
      <c r="Z125" s="2">
        <v>29.0</v>
      </c>
      <c r="AA125" s="2">
        <v>29.0</v>
      </c>
      <c r="AB125" s="2">
        <f t="shared" si="5"/>
        <v>9.05</v>
      </c>
      <c r="AC125" s="2">
        <v>48.0</v>
      </c>
      <c r="AD125" s="2">
        <v>343.0</v>
      </c>
      <c r="AF125" s="3">
        <f t="shared" si="6"/>
        <v>9.775</v>
      </c>
      <c r="AG125" s="4">
        <f t="shared" si="7"/>
        <v>70.975</v>
      </c>
      <c r="AH125" s="2" t="s">
        <v>2</v>
      </c>
    </row>
    <row r="126">
      <c r="A126" s="1" t="s">
        <v>674</v>
      </c>
      <c r="B126" s="1" t="s">
        <v>675</v>
      </c>
      <c r="C126" s="2" t="s">
        <v>676</v>
      </c>
      <c r="D126" s="2">
        <f>VLOOKUP(B126, 'ME-Subhashree'!$B$2:$F$56,5)</f>
        <v>43</v>
      </c>
      <c r="E126" s="2">
        <v>22.0</v>
      </c>
      <c r="F126" s="2">
        <f t="shared" si="1"/>
        <v>32.5</v>
      </c>
      <c r="G126" s="2">
        <v>6.5</v>
      </c>
      <c r="H126" s="2">
        <v>15.0</v>
      </c>
      <c r="I126" s="2">
        <v>20.0</v>
      </c>
      <c r="J126" s="3">
        <f t="shared" si="2"/>
        <v>7.597222222</v>
      </c>
      <c r="K126" s="2">
        <v>85.0</v>
      </c>
      <c r="L126" s="2">
        <v>170.0</v>
      </c>
      <c r="M126" s="2">
        <v>190.0</v>
      </c>
      <c r="N126" s="3">
        <f t="shared" si="3"/>
        <v>190</v>
      </c>
      <c r="O126" s="2">
        <v>90.0</v>
      </c>
      <c r="P126" s="2">
        <f t="shared" si="4"/>
        <v>13.5</v>
      </c>
      <c r="Q126" s="2">
        <v>7.0</v>
      </c>
      <c r="R126" s="2">
        <v>5.0</v>
      </c>
      <c r="S126" s="2">
        <v>9.0</v>
      </c>
      <c r="T126" s="2">
        <v>0.0</v>
      </c>
      <c r="U126" s="2">
        <v>14.0</v>
      </c>
      <c r="V126" s="2">
        <v>15.0</v>
      </c>
      <c r="W126" s="2">
        <v>19.0</v>
      </c>
      <c r="X126" s="2">
        <v>22.0</v>
      </c>
      <c r="Y126" s="2">
        <v>24.0</v>
      </c>
      <c r="Z126" s="2">
        <v>28.0</v>
      </c>
      <c r="AA126" s="2">
        <v>28.0</v>
      </c>
      <c r="AB126" s="2">
        <f t="shared" si="5"/>
        <v>8.55</v>
      </c>
      <c r="AC126" s="2">
        <v>40.0</v>
      </c>
      <c r="AD126" s="2">
        <v>320.0</v>
      </c>
      <c r="AF126" s="3">
        <f t="shared" si="6"/>
        <v>9</v>
      </c>
      <c r="AG126" s="4">
        <f t="shared" si="7"/>
        <v>71.14722222</v>
      </c>
      <c r="AH126" s="2" t="s">
        <v>2</v>
      </c>
    </row>
    <row r="127">
      <c r="A127" s="1" t="s">
        <v>647</v>
      </c>
      <c r="B127" s="1" t="s">
        <v>648</v>
      </c>
      <c r="C127" s="2" t="s">
        <v>649</v>
      </c>
      <c r="D127" s="2">
        <f>VLOOKUP(B127, 'ME-Subhashree'!$B$2:$F$56,5)</f>
        <v>35</v>
      </c>
      <c r="E127" s="2">
        <v>26.0</v>
      </c>
      <c r="F127" s="2">
        <f t="shared" si="1"/>
        <v>30.5</v>
      </c>
      <c r="G127" s="2">
        <v>7.0</v>
      </c>
      <c r="H127" s="2">
        <v>13.0</v>
      </c>
      <c r="I127" s="2">
        <v>28.0</v>
      </c>
      <c r="J127" s="3">
        <f t="shared" si="2"/>
        <v>8.111111111</v>
      </c>
      <c r="K127" s="2">
        <v>100.0</v>
      </c>
      <c r="L127" s="2">
        <v>190.0</v>
      </c>
      <c r="N127" s="3">
        <f t="shared" si="3"/>
        <v>190</v>
      </c>
      <c r="O127" s="2">
        <v>100.0</v>
      </c>
      <c r="P127" s="2">
        <f t="shared" si="4"/>
        <v>14.75</v>
      </c>
      <c r="Q127" s="2">
        <v>7.0</v>
      </c>
      <c r="R127" s="2">
        <v>2.0</v>
      </c>
      <c r="S127" s="2">
        <v>9.0</v>
      </c>
      <c r="T127" s="2">
        <v>10.0</v>
      </c>
      <c r="U127" s="2">
        <v>11.0</v>
      </c>
      <c r="V127" s="2">
        <v>11.0</v>
      </c>
      <c r="W127" s="2">
        <v>18.0</v>
      </c>
      <c r="X127" s="2">
        <v>21.0</v>
      </c>
      <c r="Y127" s="2">
        <v>24.0</v>
      </c>
      <c r="Z127" s="2">
        <v>29.0</v>
      </c>
      <c r="AA127" s="2">
        <v>29.0</v>
      </c>
      <c r="AB127" s="2">
        <f t="shared" si="5"/>
        <v>8.55</v>
      </c>
      <c r="AC127" s="2">
        <v>50.0</v>
      </c>
      <c r="AD127" s="2">
        <v>320.0</v>
      </c>
      <c r="AF127" s="3">
        <f t="shared" si="6"/>
        <v>9.25</v>
      </c>
      <c r="AG127" s="4">
        <f t="shared" si="7"/>
        <v>71.16111111</v>
      </c>
      <c r="AH127" s="2" t="s">
        <v>2</v>
      </c>
    </row>
    <row r="128">
      <c r="A128" s="1" t="s">
        <v>719</v>
      </c>
      <c r="B128" s="1" t="s">
        <v>720</v>
      </c>
      <c r="C128" s="2" t="s">
        <v>721</v>
      </c>
      <c r="D128" s="2">
        <f>VLOOKUP(B128, 'ME-Subhashree'!$B$2:$F$56,5)</f>
        <v>38</v>
      </c>
      <c r="E128" s="2">
        <v>19.0</v>
      </c>
      <c r="F128" s="2">
        <f t="shared" si="1"/>
        <v>28.5</v>
      </c>
      <c r="G128" s="2">
        <v>8.5</v>
      </c>
      <c r="H128" s="2">
        <v>15.5</v>
      </c>
      <c r="I128" s="2">
        <v>31.0</v>
      </c>
      <c r="J128" s="3">
        <f t="shared" si="2"/>
        <v>9.444444444</v>
      </c>
      <c r="K128" s="2">
        <v>100.0</v>
      </c>
      <c r="L128" s="2">
        <v>150.0</v>
      </c>
      <c r="N128" s="3">
        <f t="shared" si="3"/>
        <v>150</v>
      </c>
      <c r="O128" s="2">
        <v>100.0</v>
      </c>
      <c r="P128" s="2">
        <f t="shared" si="4"/>
        <v>13.75</v>
      </c>
      <c r="Q128" s="2">
        <v>7.0</v>
      </c>
      <c r="R128" s="2">
        <v>5.0</v>
      </c>
      <c r="S128" s="2">
        <v>12.0</v>
      </c>
      <c r="T128" s="2">
        <v>15.0</v>
      </c>
      <c r="U128" s="2">
        <v>15.0</v>
      </c>
      <c r="V128" s="2">
        <v>15.0</v>
      </c>
      <c r="W128" s="2">
        <v>20.0</v>
      </c>
      <c r="X128" s="2">
        <v>30.0</v>
      </c>
      <c r="Y128" s="2">
        <v>30.0</v>
      </c>
      <c r="Z128" s="2">
        <v>29.0</v>
      </c>
      <c r="AA128" s="2">
        <v>29.0</v>
      </c>
      <c r="AB128" s="2">
        <f t="shared" si="5"/>
        <v>10.35</v>
      </c>
      <c r="AC128" s="2">
        <v>30.0</v>
      </c>
      <c r="AD128" s="2">
        <v>340.0</v>
      </c>
      <c r="AF128" s="3">
        <f t="shared" si="6"/>
        <v>9.25</v>
      </c>
      <c r="AG128" s="4">
        <f t="shared" si="7"/>
        <v>71.29444444</v>
      </c>
      <c r="AH128" s="2" t="s">
        <v>2</v>
      </c>
    </row>
    <row r="129">
      <c r="A129" s="1" t="s">
        <v>453</v>
      </c>
      <c r="B129" s="1" t="s">
        <v>454</v>
      </c>
      <c r="C129" s="2" t="s">
        <v>455</v>
      </c>
      <c r="D129" s="2">
        <f>VLOOKUP(B129,'EC-Nitin'!$B$2:$F$46,5)</f>
        <v>34</v>
      </c>
      <c r="E129" s="2">
        <v>23.0</v>
      </c>
      <c r="F129" s="2">
        <f t="shared" si="1"/>
        <v>28.5</v>
      </c>
      <c r="G129" s="2">
        <v>10.0</v>
      </c>
      <c r="H129" s="2">
        <v>19.0</v>
      </c>
      <c r="I129" s="2">
        <v>42.0</v>
      </c>
      <c r="J129" s="3">
        <f t="shared" si="2"/>
        <v>11.91666667</v>
      </c>
      <c r="K129" s="2">
        <v>90.0</v>
      </c>
      <c r="L129" s="2">
        <v>185.0</v>
      </c>
      <c r="N129" s="3">
        <f t="shared" si="3"/>
        <v>185</v>
      </c>
      <c r="O129" s="2">
        <v>99.0</v>
      </c>
      <c r="P129" s="2">
        <f t="shared" si="4"/>
        <v>14.075</v>
      </c>
      <c r="Q129" s="2">
        <v>5.0</v>
      </c>
      <c r="R129" s="2">
        <v>3.0</v>
      </c>
      <c r="S129" s="2">
        <v>9.0</v>
      </c>
      <c r="U129" s="2">
        <v>13.0</v>
      </c>
      <c r="V129" s="2">
        <v>6.0</v>
      </c>
      <c r="W129" s="2">
        <v>19.0</v>
      </c>
      <c r="X129" s="2">
        <v>30.0</v>
      </c>
      <c r="Y129" s="2">
        <v>27.0</v>
      </c>
      <c r="Z129" s="2">
        <v>27.0</v>
      </c>
      <c r="AA129" s="2">
        <v>28.0</v>
      </c>
      <c r="AB129" s="2">
        <f t="shared" si="5"/>
        <v>8.35</v>
      </c>
      <c r="AC129" s="2">
        <v>0.0</v>
      </c>
      <c r="AD129" s="2">
        <v>340.0</v>
      </c>
      <c r="AF129" s="3">
        <f t="shared" si="6"/>
        <v>8.5</v>
      </c>
      <c r="AG129" s="4">
        <f t="shared" si="7"/>
        <v>71.34166667</v>
      </c>
      <c r="AH129" s="2" t="s">
        <v>2</v>
      </c>
    </row>
    <row r="130">
      <c r="A130" s="1" t="s">
        <v>542</v>
      </c>
      <c r="B130" s="1" t="s">
        <v>543</v>
      </c>
      <c r="C130" s="2" t="s">
        <v>544</v>
      </c>
      <c r="D130" s="2">
        <f>VLOOKUP(B130, 'EE-Nitin'!$B$2:$F$57,5)</f>
        <v>43</v>
      </c>
      <c r="E130" s="2">
        <v>15.0</v>
      </c>
      <c r="F130" s="2">
        <f t="shared" si="1"/>
        <v>29</v>
      </c>
      <c r="G130" s="2">
        <v>7.0</v>
      </c>
      <c r="H130" s="2">
        <v>11.0</v>
      </c>
      <c r="I130" s="2">
        <v>30.0</v>
      </c>
      <c r="J130" s="3">
        <f t="shared" si="2"/>
        <v>7.833333333</v>
      </c>
      <c r="K130" s="2">
        <v>100.0</v>
      </c>
      <c r="L130" s="2">
        <v>195.0</v>
      </c>
      <c r="N130" s="3">
        <f t="shared" si="3"/>
        <v>195</v>
      </c>
      <c r="O130" s="2">
        <v>100.0</v>
      </c>
      <c r="P130" s="2">
        <f t="shared" si="4"/>
        <v>14.875</v>
      </c>
      <c r="Q130" s="2">
        <v>5.0</v>
      </c>
      <c r="R130" s="2">
        <v>5.0</v>
      </c>
      <c r="S130" s="2">
        <v>5.0</v>
      </c>
      <c r="T130" s="2">
        <v>15.0</v>
      </c>
      <c r="U130" s="2">
        <v>14.5</v>
      </c>
      <c r="V130" s="2">
        <v>14.5</v>
      </c>
      <c r="W130" s="2">
        <v>20.0</v>
      </c>
      <c r="X130" s="2">
        <v>28.0</v>
      </c>
      <c r="Y130" s="2">
        <v>29.0</v>
      </c>
      <c r="Z130" s="2">
        <v>30.0</v>
      </c>
      <c r="AA130" s="2">
        <v>30.0</v>
      </c>
      <c r="AB130" s="2">
        <f t="shared" si="5"/>
        <v>9.8</v>
      </c>
      <c r="AC130" s="2">
        <v>45.0</v>
      </c>
      <c r="AD130" s="2">
        <v>350.0</v>
      </c>
      <c r="AF130" s="3">
        <f t="shared" si="6"/>
        <v>9.875</v>
      </c>
      <c r="AG130" s="4">
        <f t="shared" si="7"/>
        <v>71.38333333</v>
      </c>
      <c r="AH130" s="2" t="s">
        <v>2</v>
      </c>
    </row>
    <row r="131">
      <c r="A131" s="1" t="s">
        <v>259</v>
      </c>
      <c r="B131" s="1" t="s">
        <v>260</v>
      </c>
      <c r="C131" s="2" t="s">
        <v>261</v>
      </c>
      <c r="D131" s="2">
        <f>VLOOKUP(B131,'DSAI-Vikrant'!$B$2:$F$44,5)</f>
        <v>47</v>
      </c>
      <c r="E131" s="2">
        <v>25.0</v>
      </c>
      <c r="F131" s="2">
        <f t="shared" si="1"/>
        <v>36</v>
      </c>
      <c r="G131" s="2">
        <v>9.0</v>
      </c>
      <c r="H131" s="2">
        <v>11.5</v>
      </c>
      <c r="I131" s="2">
        <v>8.0</v>
      </c>
      <c r="J131" s="3">
        <f t="shared" si="2"/>
        <v>6.013888889</v>
      </c>
      <c r="K131" s="2">
        <v>95.0</v>
      </c>
      <c r="L131" s="2">
        <v>0.0</v>
      </c>
      <c r="M131" s="2">
        <v>185.0</v>
      </c>
      <c r="N131" s="3">
        <f t="shared" si="3"/>
        <v>185</v>
      </c>
      <c r="O131" s="2">
        <v>80.0</v>
      </c>
      <c r="P131" s="2">
        <f t="shared" si="4"/>
        <v>13.375</v>
      </c>
      <c r="Q131" s="2">
        <v>6.0</v>
      </c>
      <c r="R131" s="2">
        <v>2.0</v>
      </c>
      <c r="S131" s="2">
        <v>8.0</v>
      </c>
      <c r="T131" s="2">
        <v>8.0</v>
      </c>
      <c r="U131" s="2">
        <v>13.0</v>
      </c>
      <c r="V131" s="2">
        <v>12.0</v>
      </c>
      <c r="W131" s="2">
        <v>18.0</v>
      </c>
      <c r="X131" s="2">
        <v>26.0</v>
      </c>
      <c r="Y131" s="2">
        <v>24.0</v>
      </c>
      <c r="Z131" s="2">
        <v>28.0</v>
      </c>
      <c r="AA131" s="2">
        <v>28.0</v>
      </c>
      <c r="AB131" s="2">
        <f t="shared" si="5"/>
        <v>8.65</v>
      </c>
      <c r="AC131" s="2">
        <v>0.0</v>
      </c>
      <c r="AD131" s="2">
        <v>300.0</v>
      </c>
      <c r="AF131" s="3">
        <f t="shared" si="6"/>
        <v>7.5</v>
      </c>
      <c r="AG131" s="4">
        <f t="shared" si="7"/>
        <v>71.53888889</v>
      </c>
      <c r="AH131" s="2" t="s">
        <v>2</v>
      </c>
    </row>
    <row r="132">
      <c r="A132" s="1" t="s">
        <v>149</v>
      </c>
      <c r="B132" s="1" t="s">
        <v>150</v>
      </c>
      <c r="C132" s="2" t="s">
        <v>151</v>
      </c>
      <c r="D132" s="2">
        <f>VLOOKUP(B132, 'CSE-Sandeep'!$B$2:$G$61,5)</f>
        <v>43</v>
      </c>
      <c r="E132" s="2">
        <v>26.0</v>
      </c>
      <c r="F132" s="2">
        <f t="shared" si="1"/>
        <v>34.5</v>
      </c>
      <c r="G132" s="2">
        <v>2.0</v>
      </c>
      <c r="H132" s="2">
        <v>8.5</v>
      </c>
      <c r="I132" s="2">
        <v>32.0</v>
      </c>
      <c r="J132" s="3">
        <f t="shared" si="2"/>
        <v>6.180555556</v>
      </c>
      <c r="K132" s="2">
        <v>100.0</v>
      </c>
      <c r="L132" s="2">
        <v>174.0</v>
      </c>
      <c r="N132" s="3">
        <f t="shared" si="3"/>
        <v>174</v>
      </c>
      <c r="O132" s="2">
        <v>92.0</v>
      </c>
      <c r="P132" s="2">
        <f t="shared" si="4"/>
        <v>13.95</v>
      </c>
      <c r="Q132" s="2">
        <v>7.0</v>
      </c>
      <c r="R132" s="2">
        <v>3.0</v>
      </c>
      <c r="T132" s="2">
        <v>12.0</v>
      </c>
      <c r="U132" s="2">
        <v>15.0</v>
      </c>
      <c r="V132" s="2">
        <v>15.0</v>
      </c>
      <c r="W132" s="2">
        <v>20.0</v>
      </c>
      <c r="X132" s="2">
        <v>28.0</v>
      </c>
      <c r="Y132" s="2">
        <v>30.0</v>
      </c>
      <c r="Z132" s="2">
        <v>28.0</v>
      </c>
      <c r="AA132" s="2">
        <v>28.0</v>
      </c>
      <c r="AB132" s="2">
        <f t="shared" si="5"/>
        <v>9.3</v>
      </c>
      <c r="AC132" s="2">
        <v>0.0</v>
      </c>
      <c r="AD132" s="2">
        <v>315.0</v>
      </c>
      <c r="AF132" s="3">
        <f t="shared" si="6"/>
        <v>7.875</v>
      </c>
      <c r="AG132" s="4">
        <f t="shared" si="7"/>
        <v>71.80555556</v>
      </c>
      <c r="AH132" s="2" t="s">
        <v>2</v>
      </c>
    </row>
    <row r="133">
      <c r="A133" s="1" t="s">
        <v>530</v>
      </c>
      <c r="B133" s="1" t="s">
        <v>531</v>
      </c>
      <c r="C133" s="2" t="s">
        <v>532</v>
      </c>
      <c r="D133" s="2">
        <f>VLOOKUP(B133, 'EE-Nitin'!$B$2:$F$57,5)</f>
        <v>42</v>
      </c>
      <c r="E133" s="2">
        <v>21.0</v>
      </c>
      <c r="F133" s="2">
        <f t="shared" si="1"/>
        <v>31.5</v>
      </c>
      <c r="G133" s="2">
        <v>12.0</v>
      </c>
      <c r="H133" s="2">
        <v>15.5</v>
      </c>
      <c r="I133" s="2">
        <v>26.0</v>
      </c>
      <c r="J133" s="3">
        <f t="shared" si="2"/>
        <v>9.763888889</v>
      </c>
      <c r="K133" s="2">
        <v>93.0</v>
      </c>
      <c r="L133" s="2">
        <v>187.0</v>
      </c>
      <c r="N133" s="3">
        <f t="shared" si="3"/>
        <v>187</v>
      </c>
      <c r="O133" s="2">
        <v>99.0</v>
      </c>
      <c r="P133" s="2">
        <f t="shared" si="4"/>
        <v>14.275</v>
      </c>
      <c r="Q133" s="2">
        <v>6.0</v>
      </c>
      <c r="R133" s="2">
        <v>6.0</v>
      </c>
      <c r="S133" s="2">
        <v>5.0</v>
      </c>
      <c r="T133" s="2">
        <v>13.0</v>
      </c>
      <c r="U133" s="2">
        <v>0.0</v>
      </c>
      <c r="V133" s="2">
        <v>14.5</v>
      </c>
      <c r="W133" s="2">
        <v>20.0</v>
      </c>
      <c r="X133" s="2">
        <v>20.0</v>
      </c>
      <c r="Y133" s="2">
        <v>21.0</v>
      </c>
      <c r="Z133" s="2">
        <v>29.0</v>
      </c>
      <c r="AB133" s="2">
        <f t="shared" si="5"/>
        <v>6.725</v>
      </c>
      <c r="AC133" s="2">
        <v>45.0</v>
      </c>
      <c r="AD133" s="2">
        <v>343.0</v>
      </c>
      <c r="AF133" s="3">
        <f t="shared" si="6"/>
        <v>9.7</v>
      </c>
      <c r="AG133" s="4">
        <f t="shared" si="7"/>
        <v>71.96388889</v>
      </c>
      <c r="AH133" s="2" t="s">
        <v>2</v>
      </c>
    </row>
    <row r="134">
      <c r="A134" s="1" t="s">
        <v>64</v>
      </c>
      <c r="B134" s="1" t="s">
        <v>65</v>
      </c>
      <c r="C134" s="2" t="s">
        <v>66</v>
      </c>
      <c r="D134" s="2">
        <f>VLOOKUP(B134, 'CSE-Sandeep'!$B$2:$G$61,5)</f>
        <v>41</v>
      </c>
      <c r="E134" s="2">
        <v>28.0</v>
      </c>
      <c r="F134" s="2">
        <f t="shared" si="1"/>
        <v>34.5</v>
      </c>
      <c r="G134" s="2">
        <v>8.0</v>
      </c>
      <c r="H134" s="2">
        <v>8.0</v>
      </c>
      <c r="I134" s="2">
        <v>29.0</v>
      </c>
      <c r="J134" s="3">
        <f t="shared" si="2"/>
        <v>7.222222222</v>
      </c>
      <c r="K134" s="2">
        <v>80.0</v>
      </c>
      <c r="L134" s="2">
        <v>180.0</v>
      </c>
      <c r="N134" s="3">
        <f t="shared" si="3"/>
        <v>180</v>
      </c>
      <c r="O134" s="2">
        <v>91.0</v>
      </c>
      <c r="P134" s="2">
        <f t="shared" si="4"/>
        <v>13.05</v>
      </c>
      <c r="Q134" s="2">
        <v>6.0</v>
      </c>
      <c r="R134" s="2">
        <v>5.0</v>
      </c>
      <c r="S134" s="2">
        <v>14.0</v>
      </c>
      <c r="T134" s="2">
        <v>8.0</v>
      </c>
      <c r="U134" s="2">
        <v>13.0</v>
      </c>
      <c r="V134" s="2">
        <v>14.0</v>
      </c>
      <c r="W134" s="2">
        <v>19.0</v>
      </c>
      <c r="X134" s="2">
        <v>30.0</v>
      </c>
      <c r="Z134" s="2">
        <v>28.0</v>
      </c>
      <c r="AA134" s="2">
        <v>28.0</v>
      </c>
      <c r="AB134" s="2">
        <f t="shared" si="5"/>
        <v>8.25</v>
      </c>
      <c r="AC134" s="2">
        <v>30.0</v>
      </c>
      <c r="AD134" s="2">
        <v>330.0</v>
      </c>
      <c r="AF134" s="3">
        <f t="shared" si="6"/>
        <v>9</v>
      </c>
      <c r="AG134" s="4">
        <f t="shared" si="7"/>
        <v>72.02222222</v>
      </c>
      <c r="AH134" s="2" t="s">
        <v>2</v>
      </c>
    </row>
    <row r="135">
      <c r="A135" s="1" t="s">
        <v>787</v>
      </c>
      <c r="B135" s="1" t="s">
        <v>788</v>
      </c>
      <c r="C135" s="2" t="s">
        <v>789</v>
      </c>
      <c r="D135" s="2">
        <f>VLOOKUP(B135, 'ME-Subhashree'!$B$2:$F$56,5)</f>
        <v>36</v>
      </c>
      <c r="E135" s="2">
        <v>30.0</v>
      </c>
      <c r="F135" s="2">
        <f t="shared" si="1"/>
        <v>33</v>
      </c>
      <c r="G135" s="2">
        <v>6.5</v>
      </c>
      <c r="H135" s="2">
        <v>7.0</v>
      </c>
      <c r="I135" s="2">
        <v>26.0</v>
      </c>
      <c r="J135" s="3">
        <f t="shared" si="2"/>
        <v>6.263888889</v>
      </c>
      <c r="K135" s="2">
        <v>95.0</v>
      </c>
      <c r="L135" s="2">
        <v>167.0</v>
      </c>
      <c r="N135" s="3">
        <f t="shared" si="3"/>
        <v>167</v>
      </c>
      <c r="O135" s="2">
        <v>93.0</v>
      </c>
      <c r="P135" s="2">
        <f t="shared" si="4"/>
        <v>13.575</v>
      </c>
      <c r="Q135" s="2">
        <v>6.0</v>
      </c>
      <c r="R135" s="2">
        <v>6.0</v>
      </c>
      <c r="S135" s="2">
        <v>7.0</v>
      </c>
      <c r="T135" s="2">
        <v>12.0</v>
      </c>
      <c r="U135" s="2">
        <v>13.5</v>
      </c>
      <c r="V135" s="2">
        <v>13.5</v>
      </c>
      <c r="W135" s="2">
        <v>20.0</v>
      </c>
      <c r="X135" s="2">
        <v>28.75</v>
      </c>
      <c r="Y135" s="2">
        <v>28.52</v>
      </c>
      <c r="Z135" s="2">
        <v>29.0</v>
      </c>
      <c r="AA135" s="2">
        <v>28.0</v>
      </c>
      <c r="AB135" s="2">
        <f t="shared" si="5"/>
        <v>9.6135</v>
      </c>
      <c r="AC135" s="2">
        <v>43.0</v>
      </c>
      <c r="AD135" s="2">
        <v>344.0</v>
      </c>
      <c r="AF135" s="3">
        <f t="shared" si="6"/>
        <v>9.675</v>
      </c>
      <c r="AG135" s="4">
        <f t="shared" si="7"/>
        <v>72.12738889</v>
      </c>
      <c r="AH135" s="2" t="s">
        <v>2</v>
      </c>
    </row>
    <row r="136">
      <c r="A136" s="1" t="s">
        <v>644</v>
      </c>
      <c r="B136" s="1" t="s">
        <v>645</v>
      </c>
      <c r="C136" s="2" t="s">
        <v>646</v>
      </c>
      <c r="D136" s="2">
        <f>VLOOKUP(B136, 'ME-Subhashree'!$B$2:$F$56,5)</f>
        <v>39</v>
      </c>
      <c r="E136" s="2">
        <v>21.0</v>
      </c>
      <c r="F136" s="2">
        <f t="shared" si="1"/>
        <v>30</v>
      </c>
      <c r="G136" s="2">
        <v>10.0</v>
      </c>
      <c r="H136" s="2">
        <v>17.0</v>
      </c>
      <c r="I136" s="2">
        <v>32.0</v>
      </c>
      <c r="J136" s="3">
        <f t="shared" si="2"/>
        <v>10.30555556</v>
      </c>
      <c r="K136" s="2">
        <v>90.0</v>
      </c>
      <c r="L136" s="2">
        <v>160.0</v>
      </c>
      <c r="N136" s="3">
        <f t="shared" si="3"/>
        <v>160</v>
      </c>
      <c r="O136" s="2">
        <v>98.0</v>
      </c>
      <c r="P136" s="2">
        <f t="shared" si="4"/>
        <v>13.4</v>
      </c>
      <c r="Q136" s="2">
        <v>7.0</v>
      </c>
      <c r="R136" s="2">
        <v>5.0</v>
      </c>
      <c r="S136" s="2">
        <v>12.0</v>
      </c>
      <c r="T136" s="2">
        <v>15.0</v>
      </c>
      <c r="U136" s="2">
        <v>15.0</v>
      </c>
      <c r="V136" s="2">
        <v>15.0</v>
      </c>
      <c r="W136" s="2">
        <v>19.0</v>
      </c>
      <c r="X136" s="2">
        <v>25.0</v>
      </c>
      <c r="Y136" s="2">
        <v>28.0</v>
      </c>
      <c r="Z136" s="2">
        <v>28.0</v>
      </c>
      <c r="AA136" s="2">
        <v>28.0</v>
      </c>
      <c r="AB136" s="2">
        <f t="shared" si="5"/>
        <v>9.85</v>
      </c>
      <c r="AC136" s="2">
        <v>50.0</v>
      </c>
      <c r="AD136" s="2">
        <v>310.0</v>
      </c>
      <c r="AF136" s="3">
        <f t="shared" si="6"/>
        <v>9</v>
      </c>
      <c r="AG136" s="4">
        <f t="shared" si="7"/>
        <v>72.55555556</v>
      </c>
      <c r="AH136" s="2" t="s">
        <v>2</v>
      </c>
    </row>
    <row r="137">
      <c r="A137" s="1" t="s">
        <v>107</v>
      </c>
      <c r="B137" s="1" t="s">
        <v>108</v>
      </c>
      <c r="C137" s="2" t="s">
        <v>109</v>
      </c>
      <c r="D137" s="2">
        <f>VLOOKUP(B137, 'CSE-Sandeep'!$B$2:$G$61,5)</f>
        <v>35</v>
      </c>
      <c r="E137" s="2">
        <v>33.0</v>
      </c>
      <c r="F137" s="2">
        <f t="shared" si="1"/>
        <v>34</v>
      </c>
      <c r="G137" s="2">
        <v>10.0</v>
      </c>
      <c r="H137" s="2">
        <v>11.0</v>
      </c>
      <c r="I137" s="2">
        <v>25.0</v>
      </c>
      <c r="J137" s="3">
        <f t="shared" si="2"/>
        <v>8.027777778</v>
      </c>
      <c r="K137" s="2">
        <v>100.0</v>
      </c>
      <c r="L137" s="2">
        <v>170.0</v>
      </c>
      <c r="N137" s="3">
        <f t="shared" si="3"/>
        <v>170</v>
      </c>
      <c r="O137" s="2">
        <v>97.0</v>
      </c>
      <c r="P137" s="2">
        <f t="shared" si="4"/>
        <v>14.1</v>
      </c>
      <c r="Q137" s="2">
        <v>5.0</v>
      </c>
      <c r="R137" s="2">
        <v>5.0</v>
      </c>
      <c r="S137" s="2">
        <v>12.0</v>
      </c>
      <c r="T137" s="2">
        <v>8.0</v>
      </c>
      <c r="U137" s="2">
        <v>9.0</v>
      </c>
      <c r="V137" s="2">
        <v>8.0</v>
      </c>
      <c r="W137" s="2">
        <v>12.0</v>
      </c>
      <c r="X137" s="2">
        <v>28.0</v>
      </c>
      <c r="Y137" s="2">
        <v>30.0</v>
      </c>
      <c r="Z137" s="2">
        <v>29.0</v>
      </c>
      <c r="AB137" s="2">
        <f t="shared" si="5"/>
        <v>7.3</v>
      </c>
      <c r="AC137" s="2">
        <v>40.0</v>
      </c>
      <c r="AD137" s="2">
        <v>330.0</v>
      </c>
      <c r="AF137" s="3">
        <f t="shared" si="6"/>
        <v>9.25</v>
      </c>
      <c r="AG137" s="4">
        <f t="shared" si="7"/>
        <v>72.67777778</v>
      </c>
      <c r="AH137" s="2" t="s">
        <v>2</v>
      </c>
    </row>
    <row r="138">
      <c r="A138" s="1" t="s">
        <v>805</v>
      </c>
      <c r="B138" s="1" t="s">
        <v>806</v>
      </c>
      <c r="C138" s="2" t="s">
        <v>807</v>
      </c>
      <c r="D138" s="2">
        <f>VLOOKUP(B138,'MM-Subhashree'!$B$2:F$26,5)</f>
        <v>33</v>
      </c>
      <c r="E138" s="2">
        <v>23.0</v>
      </c>
      <c r="F138" s="2">
        <f t="shared" si="1"/>
        <v>28</v>
      </c>
      <c r="G138" s="2">
        <v>9.5</v>
      </c>
      <c r="H138" s="2">
        <v>13.5</v>
      </c>
      <c r="I138" s="2">
        <v>38.0</v>
      </c>
      <c r="J138" s="3">
        <f t="shared" si="2"/>
        <v>9.972222222</v>
      </c>
      <c r="K138" s="2">
        <v>100.0</v>
      </c>
      <c r="L138" s="2">
        <v>193.0</v>
      </c>
      <c r="N138" s="3">
        <f t="shared" si="3"/>
        <v>193</v>
      </c>
      <c r="O138" s="2">
        <v>100.0</v>
      </c>
      <c r="P138" s="2">
        <f t="shared" si="4"/>
        <v>14.825</v>
      </c>
      <c r="Q138" s="2">
        <v>7.0</v>
      </c>
      <c r="R138" s="2">
        <v>6.0</v>
      </c>
      <c r="S138" s="2">
        <v>9.0</v>
      </c>
      <c r="T138" s="2">
        <v>14.0</v>
      </c>
      <c r="U138" s="2">
        <v>14.5</v>
      </c>
      <c r="V138" s="2">
        <v>14.0</v>
      </c>
      <c r="W138" s="2">
        <v>20.0</v>
      </c>
      <c r="X138" s="2">
        <v>28.5</v>
      </c>
      <c r="Y138" s="2">
        <v>28.0</v>
      </c>
      <c r="Z138" s="2">
        <v>29.0</v>
      </c>
      <c r="AA138" s="2">
        <v>30.0</v>
      </c>
      <c r="AB138" s="2">
        <f t="shared" si="5"/>
        <v>10</v>
      </c>
      <c r="AC138" s="2">
        <v>49.0</v>
      </c>
      <c r="AD138" s="2">
        <v>350.0</v>
      </c>
      <c r="AF138" s="3">
        <f t="shared" si="6"/>
        <v>9.975</v>
      </c>
      <c r="AG138" s="4">
        <f t="shared" si="7"/>
        <v>72.77222222</v>
      </c>
      <c r="AH138" s="2" t="s">
        <v>2</v>
      </c>
    </row>
    <row r="139">
      <c r="A139" s="1" t="s">
        <v>650</v>
      </c>
      <c r="B139" s="1" t="s">
        <v>651</v>
      </c>
      <c r="C139" s="2" t="s">
        <v>652</v>
      </c>
      <c r="D139" s="2">
        <f>VLOOKUP(B139, 'ME-Subhashree'!$B$2:$F$56,5)</f>
        <v>36</v>
      </c>
      <c r="E139" s="2">
        <v>25.0</v>
      </c>
      <c r="F139" s="2">
        <f t="shared" si="1"/>
        <v>30.5</v>
      </c>
      <c r="G139" s="2">
        <v>9.0</v>
      </c>
      <c r="H139" s="2">
        <v>18.5</v>
      </c>
      <c r="I139" s="2">
        <v>26.0</v>
      </c>
      <c r="J139" s="3">
        <f t="shared" si="2"/>
        <v>9.763888889</v>
      </c>
      <c r="K139" s="2">
        <v>90.0</v>
      </c>
      <c r="L139" s="2">
        <v>185.0</v>
      </c>
      <c r="N139" s="3">
        <f t="shared" si="3"/>
        <v>185</v>
      </c>
      <c r="O139" s="2">
        <v>100.0</v>
      </c>
      <c r="P139" s="2">
        <f t="shared" si="4"/>
        <v>14.125</v>
      </c>
      <c r="Q139" s="2">
        <v>7.0</v>
      </c>
      <c r="R139" s="2">
        <v>3.0</v>
      </c>
      <c r="S139" s="2">
        <v>9.0</v>
      </c>
      <c r="T139" s="2">
        <v>10.0</v>
      </c>
      <c r="U139" s="2">
        <v>12.0</v>
      </c>
      <c r="V139" s="2">
        <v>15.0</v>
      </c>
      <c r="W139" s="2">
        <v>19.0</v>
      </c>
      <c r="X139" s="2">
        <v>25.0</v>
      </c>
      <c r="Y139" s="2">
        <v>27.0</v>
      </c>
      <c r="Z139" s="2">
        <v>29.0</v>
      </c>
      <c r="AA139" s="2">
        <v>29.0</v>
      </c>
      <c r="AB139" s="2">
        <f t="shared" si="5"/>
        <v>9.25</v>
      </c>
      <c r="AC139" s="2">
        <v>50.0</v>
      </c>
      <c r="AD139" s="2">
        <v>320.0</v>
      </c>
      <c r="AF139" s="3">
        <f t="shared" si="6"/>
        <v>9.25</v>
      </c>
      <c r="AG139" s="4">
        <f t="shared" si="7"/>
        <v>72.88888889</v>
      </c>
      <c r="AH139" s="2" t="s">
        <v>2</v>
      </c>
    </row>
    <row r="140">
      <c r="A140" s="1" t="s">
        <v>524</v>
      </c>
      <c r="B140" s="1" t="s">
        <v>525</v>
      </c>
      <c r="C140" s="2" t="s">
        <v>526</v>
      </c>
      <c r="D140" s="2">
        <f>VLOOKUP(B140, 'EE-Nitin'!$B$2:$F$57,5)</f>
        <v>41</v>
      </c>
      <c r="E140" s="2">
        <v>22.0</v>
      </c>
      <c r="F140" s="2">
        <f t="shared" si="1"/>
        <v>31.5</v>
      </c>
      <c r="G140" s="2">
        <v>7.0</v>
      </c>
      <c r="H140" s="2">
        <v>12.5</v>
      </c>
      <c r="I140" s="2">
        <v>34.0</v>
      </c>
      <c r="J140" s="3">
        <f t="shared" si="2"/>
        <v>8.652777778</v>
      </c>
      <c r="K140" s="2">
        <v>92.0</v>
      </c>
      <c r="L140" s="2">
        <v>195.0</v>
      </c>
      <c r="N140" s="3">
        <f t="shared" si="3"/>
        <v>195</v>
      </c>
      <c r="O140" s="2">
        <v>98.0</v>
      </c>
      <c r="P140" s="2">
        <f t="shared" si="4"/>
        <v>14.375</v>
      </c>
      <c r="Q140" s="2">
        <v>6.0</v>
      </c>
      <c r="R140" s="2">
        <v>2.0</v>
      </c>
      <c r="S140" s="2">
        <v>10.0</v>
      </c>
      <c r="T140" s="2">
        <v>12.0</v>
      </c>
      <c r="U140" s="2">
        <v>14.0</v>
      </c>
      <c r="V140" s="2">
        <v>10.0</v>
      </c>
      <c r="W140" s="2">
        <v>19.5</v>
      </c>
      <c r="X140" s="2">
        <v>20.0</v>
      </c>
      <c r="Y140" s="2">
        <v>28.0</v>
      </c>
      <c r="Z140" s="2">
        <v>28.0</v>
      </c>
      <c r="AA140" s="2">
        <v>29.0</v>
      </c>
      <c r="AB140" s="2">
        <f t="shared" si="5"/>
        <v>8.925</v>
      </c>
      <c r="AC140" s="2">
        <v>45.0</v>
      </c>
      <c r="AD140" s="2">
        <v>342.0</v>
      </c>
      <c r="AF140" s="3">
        <f t="shared" si="6"/>
        <v>9.675</v>
      </c>
      <c r="AG140" s="4">
        <f t="shared" si="7"/>
        <v>73.12777778</v>
      </c>
      <c r="AH140" s="2" t="s">
        <v>2</v>
      </c>
    </row>
    <row r="141">
      <c r="A141" s="1" t="s">
        <v>883</v>
      </c>
      <c r="B141" s="1" t="s">
        <v>884</v>
      </c>
      <c r="C141" s="2" t="s">
        <v>885</v>
      </c>
      <c r="D141" s="2">
        <f>VLOOKUP(B141,MT!$B$2:$F$30,5)</f>
        <v>47</v>
      </c>
      <c r="E141" s="2">
        <v>26.0</v>
      </c>
      <c r="F141" s="2">
        <f t="shared" si="1"/>
        <v>36.5</v>
      </c>
      <c r="G141" s="2">
        <v>9.0</v>
      </c>
      <c r="I141" s="2">
        <v>18.0</v>
      </c>
      <c r="J141" s="3">
        <f t="shared" si="2"/>
        <v>4.25</v>
      </c>
      <c r="K141" s="2">
        <v>80.0</v>
      </c>
      <c r="L141" s="2">
        <v>196.0</v>
      </c>
      <c r="N141" s="3">
        <f t="shared" si="3"/>
        <v>196</v>
      </c>
      <c r="O141" s="2">
        <v>100.0</v>
      </c>
      <c r="P141" s="2">
        <f t="shared" si="4"/>
        <v>13.9</v>
      </c>
      <c r="Q141" s="2">
        <v>6.0</v>
      </c>
      <c r="R141" s="2">
        <v>2.0</v>
      </c>
      <c r="S141" s="2">
        <v>14.5</v>
      </c>
      <c r="T141" s="2">
        <v>14.0</v>
      </c>
      <c r="U141" s="2">
        <v>10.0</v>
      </c>
      <c r="V141" s="2">
        <v>11.5</v>
      </c>
      <c r="W141" s="2">
        <v>18.0</v>
      </c>
      <c r="X141" s="2">
        <v>30.0</v>
      </c>
      <c r="Y141" s="2">
        <v>30.0</v>
      </c>
      <c r="Z141" s="2">
        <v>28.0</v>
      </c>
      <c r="AA141" s="2">
        <v>28.0</v>
      </c>
      <c r="AB141" s="2">
        <f t="shared" si="5"/>
        <v>9.6</v>
      </c>
      <c r="AC141" s="2">
        <v>30.0</v>
      </c>
      <c r="AD141" s="2">
        <v>330.0</v>
      </c>
      <c r="AF141" s="3">
        <f t="shared" si="6"/>
        <v>9</v>
      </c>
      <c r="AG141" s="4">
        <f t="shared" si="7"/>
        <v>73.25</v>
      </c>
      <c r="AH141" s="2" t="s">
        <v>2</v>
      </c>
    </row>
    <row r="142">
      <c r="A142" s="1" t="s">
        <v>728</v>
      </c>
      <c r="B142" s="1" t="s">
        <v>729</v>
      </c>
      <c r="C142" s="2" t="s">
        <v>730</v>
      </c>
      <c r="D142" s="2">
        <f>VLOOKUP(B142, 'ME-Subhashree'!$B$2:$F$56,5)</f>
        <v>29</v>
      </c>
      <c r="E142" s="2">
        <v>27.0</v>
      </c>
      <c r="F142" s="2">
        <f t="shared" si="1"/>
        <v>28</v>
      </c>
      <c r="G142" s="2">
        <v>9.0</v>
      </c>
      <c r="H142" s="2">
        <v>17.0</v>
      </c>
      <c r="I142" s="2">
        <v>39.0</v>
      </c>
      <c r="J142" s="3">
        <f t="shared" si="2"/>
        <v>10.83333333</v>
      </c>
      <c r="K142" s="2">
        <v>100.0</v>
      </c>
      <c r="L142" s="2">
        <v>200.0</v>
      </c>
      <c r="N142" s="3">
        <f t="shared" si="3"/>
        <v>200</v>
      </c>
      <c r="O142" s="2">
        <v>100.0</v>
      </c>
      <c r="P142" s="2">
        <f t="shared" si="4"/>
        <v>15</v>
      </c>
      <c r="Q142" s="2">
        <v>6.0</v>
      </c>
      <c r="R142" s="2">
        <v>7.0</v>
      </c>
      <c r="S142" s="2">
        <v>11.0</v>
      </c>
      <c r="T142" s="2">
        <v>10.0</v>
      </c>
      <c r="U142" s="2">
        <v>15.0</v>
      </c>
      <c r="V142" s="2">
        <v>15.0</v>
      </c>
      <c r="W142" s="2">
        <v>20.0</v>
      </c>
      <c r="X142" s="2">
        <v>30.0</v>
      </c>
      <c r="Y142" s="2">
        <v>30.0</v>
      </c>
      <c r="Z142" s="2">
        <v>30.0</v>
      </c>
      <c r="AA142" s="2">
        <v>30.0</v>
      </c>
      <c r="AB142" s="2">
        <f t="shared" si="5"/>
        <v>10.2</v>
      </c>
      <c r="AC142" s="2">
        <v>40.0</v>
      </c>
      <c r="AD142" s="2">
        <v>330.0</v>
      </c>
      <c r="AF142" s="3">
        <f t="shared" si="6"/>
        <v>9.25</v>
      </c>
      <c r="AG142" s="4">
        <f t="shared" si="7"/>
        <v>73.28333333</v>
      </c>
      <c r="AH142" s="2" t="s">
        <v>2</v>
      </c>
    </row>
    <row r="143">
      <c r="A143" s="1" t="s">
        <v>198</v>
      </c>
      <c r="B143" s="1" t="s">
        <v>199</v>
      </c>
      <c r="C143" s="2" t="s">
        <v>200</v>
      </c>
      <c r="D143" s="2">
        <f>VLOOKUP(B143, 'CSE-Sandeep'!$B$2:$G$61,5)</f>
        <v>41</v>
      </c>
      <c r="E143" s="2">
        <v>31.0</v>
      </c>
      <c r="F143" s="2">
        <f t="shared" si="1"/>
        <v>36</v>
      </c>
      <c r="G143" s="2">
        <v>13.0</v>
      </c>
      <c r="H143" s="2">
        <v>14.0</v>
      </c>
      <c r="I143" s="2">
        <v>12.0</v>
      </c>
      <c r="J143" s="3">
        <f t="shared" si="2"/>
        <v>8.083333333</v>
      </c>
      <c r="K143" s="2">
        <v>95.0</v>
      </c>
      <c r="L143" s="2">
        <v>190.0</v>
      </c>
      <c r="N143" s="3">
        <f t="shared" si="3"/>
        <v>190</v>
      </c>
      <c r="O143" s="2">
        <v>88.0</v>
      </c>
      <c r="P143" s="2">
        <f t="shared" si="4"/>
        <v>13.9</v>
      </c>
      <c r="Q143" s="2">
        <v>6.0</v>
      </c>
      <c r="R143" s="2">
        <v>4.0</v>
      </c>
      <c r="T143" s="2">
        <v>7.0</v>
      </c>
      <c r="U143" s="2">
        <v>14.0</v>
      </c>
      <c r="W143" s="2">
        <v>18.0</v>
      </c>
      <c r="X143" s="2">
        <v>24.0</v>
      </c>
      <c r="Y143" s="2">
        <v>26.0</v>
      </c>
      <c r="Z143" s="2">
        <v>27.0</v>
      </c>
      <c r="AA143" s="2">
        <v>28.0</v>
      </c>
      <c r="AB143" s="2">
        <f t="shared" si="5"/>
        <v>7.7</v>
      </c>
      <c r="AC143" s="2">
        <v>10.0</v>
      </c>
      <c r="AD143" s="2">
        <v>300.0</v>
      </c>
      <c r="AF143" s="3">
        <f t="shared" si="6"/>
        <v>7.75</v>
      </c>
      <c r="AG143" s="4">
        <f t="shared" si="7"/>
        <v>73.43333333</v>
      </c>
      <c r="AH143" s="2" t="s">
        <v>2</v>
      </c>
    </row>
    <row r="144">
      <c r="A144" s="1" t="s">
        <v>339</v>
      </c>
      <c r="B144" s="1" t="s">
        <v>340</v>
      </c>
      <c r="C144" s="2" t="s">
        <v>341</v>
      </c>
      <c r="D144" s="2">
        <f>VLOOKUP(B144,'EC-Nitin'!$B$2:$F$46,5)</f>
        <v>43</v>
      </c>
      <c r="E144" s="2">
        <v>25.0</v>
      </c>
      <c r="F144" s="2">
        <f t="shared" si="1"/>
        <v>34</v>
      </c>
      <c r="G144" s="2">
        <v>11.5</v>
      </c>
      <c r="H144" s="2">
        <v>6.0</v>
      </c>
      <c r="I144" s="2">
        <v>-1.0</v>
      </c>
      <c r="J144" s="3">
        <f t="shared" si="2"/>
        <v>4.263888889</v>
      </c>
      <c r="K144" s="2">
        <v>100.0</v>
      </c>
      <c r="L144" s="2">
        <v>200.0</v>
      </c>
      <c r="N144" s="3">
        <f t="shared" si="3"/>
        <v>200</v>
      </c>
      <c r="O144" s="2">
        <v>100.0</v>
      </c>
      <c r="P144" s="2">
        <f t="shared" si="4"/>
        <v>15</v>
      </c>
      <c r="Q144" s="2">
        <v>7.0</v>
      </c>
      <c r="R144" s="2">
        <v>6.0</v>
      </c>
      <c r="S144" s="2">
        <v>15.0</v>
      </c>
      <c r="T144" s="2">
        <v>15.0</v>
      </c>
      <c r="U144" s="2">
        <v>12.0</v>
      </c>
      <c r="V144" s="2">
        <v>15.0</v>
      </c>
      <c r="W144" s="2">
        <v>16.0</v>
      </c>
      <c r="X144" s="2">
        <v>30.0</v>
      </c>
      <c r="Y144" s="2">
        <v>30.0</v>
      </c>
      <c r="Z144" s="2">
        <v>30.0</v>
      </c>
      <c r="AA144" s="2">
        <v>30.0</v>
      </c>
      <c r="AB144" s="2">
        <f t="shared" si="5"/>
        <v>10.3</v>
      </c>
      <c r="AC144" s="2">
        <v>50.0</v>
      </c>
      <c r="AD144" s="2">
        <v>350.0</v>
      </c>
      <c r="AF144" s="3">
        <f t="shared" si="6"/>
        <v>10</v>
      </c>
      <c r="AG144" s="4">
        <f t="shared" si="7"/>
        <v>73.56388889</v>
      </c>
      <c r="AH144" s="2" t="s">
        <v>2</v>
      </c>
    </row>
    <row r="145">
      <c r="A145" s="1" t="s">
        <v>626</v>
      </c>
      <c r="B145" s="1" t="s">
        <v>627</v>
      </c>
      <c r="C145" s="2" t="s">
        <v>628</v>
      </c>
      <c r="D145" s="2">
        <f>VLOOKUP(B145, 'EE-Nitin'!$B$2:$F$57,5)</f>
        <v>40</v>
      </c>
      <c r="E145" s="2">
        <v>26.0</v>
      </c>
      <c r="F145" s="2">
        <f t="shared" si="1"/>
        <v>33</v>
      </c>
      <c r="G145" s="2">
        <v>8.0</v>
      </c>
      <c r="H145" s="2">
        <v>13.0</v>
      </c>
      <c r="I145" s="2">
        <v>35.0</v>
      </c>
      <c r="J145" s="3">
        <f t="shared" si="2"/>
        <v>9.138888889</v>
      </c>
      <c r="K145" s="2">
        <v>100.0</v>
      </c>
      <c r="L145" s="2">
        <v>120.0</v>
      </c>
      <c r="N145" s="3">
        <f t="shared" si="3"/>
        <v>120</v>
      </c>
      <c r="O145" s="2">
        <v>80.0</v>
      </c>
      <c r="P145" s="2">
        <f t="shared" si="4"/>
        <v>12</v>
      </c>
      <c r="Q145" s="2">
        <v>7.0</v>
      </c>
      <c r="R145" s="2">
        <v>8.0</v>
      </c>
      <c r="S145" s="2">
        <v>15.0</v>
      </c>
      <c r="T145" s="2">
        <v>2.0</v>
      </c>
      <c r="U145" s="2">
        <v>15.0</v>
      </c>
      <c r="V145" s="2">
        <v>15.0</v>
      </c>
      <c r="W145" s="2">
        <v>15.0</v>
      </c>
      <c r="X145" s="2">
        <v>28.0</v>
      </c>
      <c r="Y145" s="2">
        <v>27.0</v>
      </c>
      <c r="Z145" s="2">
        <v>28.0</v>
      </c>
      <c r="AA145" s="2">
        <v>29.0</v>
      </c>
      <c r="AB145" s="2">
        <f t="shared" si="5"/>
        <v>9.45</v>
      </c>
      <c r="AC145" s="2">
        <v>50.0</v>
      </c>
      <c r="AD145" s="2">
        <v>350.0</v>
      </c>
      <c r="AF145" s="3">
        <f t="shared" si="6"/>
        <v>10</v>
      </c>
      <c r="AG145" s="4">
        <f t="shared" si="7"/>
        <v>73.58888889</v>
      </c>
      <c r="AH145" s="2" t="s">
        <v>2</v>
      </c>
    </row>
    <row r="146">
      <c r="A146" s="1" t="s">
        <v>465</v>
      </c>
      <c r="B146" s="1" t="s">
        <v>466</v>
      </c>
      <c r="C146" s="2" t="s">
        <v>467</v>
      </c>
      <c r="D146" s="2">
        <f>VLOOKUP(B146, 'EE-Nitin'!$B$2:$F$57,5)</f>
        <v>38</v>
      </c>
      <c r="E146" s="2">
        <v>21.0</v>
      </c>
      <c r="F146" s="2">
        <f t="shared" si="1"/>
        <v>29.5</v>
      </c>
      <c r="G146" s="2">
        <v>9.0</v>
      </c>
      <c r="H146" s="2">
        <v>14.0</v>
      </c>
      <c r="I146" s="2">
        <v>35.0</v>
      </c>
      <c r="J146" s="3">
        <f t="shared" si="2"/>
        <v>9.638888889</v>
      </c>
      <c r="K146" s="2">
        <v>93.0</v>
      </c>
      <c r="L146" s="2">
        <v>190.0</v>
      </c>
      <c r="N146" s="3">
        <f t="shared" si="3"/>
        <v>190</v>
      </c>
      <c r="O146" s="2">
        <v>98.0</v>
      </c>
      <c r="P146" s="2">
        <f t="shared" si="4"/>
        <v>14.3</v>
      </c>
      <c r="Q146" s="2">
        <v>7.0</v>
      </c>
      <c r="R146" s="2">
        <v>10.0</v>
      </c>
      <c r="S146" s="2">
        <v>10.0</v>
      </c>
      <c r="T146" s="2">
        <v>13.5</v>
      </c>
      <c r="U146" s="2">
        <v>15.0</v>
      </c>
      <c r="V146" s="2">
        <v>14.0</v>
      </c>
      <c r="W146" s="2">
        <v>20.0</v>
      </c>
      <c r="X146" s="2">
        <v>29.0</v>
      </c>
      <c r="Y146" s="2">
        <v>28.0</v>
      </c>
      <c r="Z146" s="2">
        <v>29.0</v>
      </c>
      <c r="AA146" s="2">
        <v>30.0</v>
      </c>
      <c r="AB146" s="2">
        <f t="shared" si="5"/>
        <v>10.275</v>
      </c>
      <c r="AC146" s="2">
        <v>50.0</v>
      </c>
      <c r="AD146" s="2">
        <v>348.0</v>
      </c>
      <c r="AF146" s="3">
        <f t="shared" si="6"/>
        <v>9.95</v>
      </c>
      <c r="AG146" s="4">
        <f t="shared" si="7"/>
        <v>73.66388889</v>
      </c>
      <c r="AH146" s="2" t="s">
        <v>2</v>
      </c>
    </row>
    <row r="147">
      <c r="A147" s="1" t="s">
        <v>850</v>
      </c>
      <c r="B147" s="1" t="s">
        <v>851</v>
      </c>
      <c r="C147" s="2" t="s">
        <v>852</v>
      </c>
      <c r="D147" s="2">
        <f>VLOOKUP(B147,'MM-Subhashree'!$B$2:F$26,5)</f>
        <v>36</v>
      </c>
      <c r="E147" s="2">
        <v>22.0</v>
      </c>
      <c r="F147" s="2">
        <f t="shared" si="1"/>
        <v>29</v>
      </c>
      <c r="G147" s="2">
        <v>7.0</v>
      </c>
      <c r="H147" s="2">
        <v>18.0</v>
      </c>
      <c r="I147" s="2">
        <v>40.0</v>
      </c>
      <c r="J147" s="3">
        <f t="shared" si="2"/>
        <v>10.69444444</v>
      </c>
      <c r="K147" s="2">
        <v>90.0</v>
      </c>
      <c r="L147" s="2">
        <v>196.0</v>
      </c>
      <c r="N147" s="3">
        <f t="shared" si="3"/>
        <v>196</v>
      </c>
      <c r="O147" s="2">
        <v>100.0</v>
      </c>
      <c r="P147" s="2">
        <f t="shared" si="4"/>
        <v>14.4</v>
      </c>
      <c r="Q147" s="2">
        <v>7.0</v>
      </c>
      <c r="R147" s="2">
        <v>8.0</v>
      </c>
      <c r="S147" s="2">
        <v>14.0</v>
      </c>
      <c r="U147" s="2">
        <v>15.0</v>
      </c>
      <c r="V147" s="2">
        <v>15.0</v>
      </c>
      <c r="W147" s="2">
        <v>19.5</v>
      </c>
      <c r="X147" s="2">
        <v>26.0</v>
      </c>
      <c r="Y147" s="2">
        <v>29.0</v>
      </c>
      <c r="Z147" s="2">
        <v>29.0</v>
      </c>
      <c r="AA147" s="2">
        <v>29.0</v>
      </c>
      <c r="AB147" s="2">
        <f t="shared" si="5"/>
        <v>9.575</v>
      </c>
      <c r="AC147" s="2">
        <v>50.0</v>
      </c>
      <c r="AD147" s="2">
        <v>350.0</v>
      </c>
      <c r="AF147" s="3">
        <f t="shared" si="6"/>
        <v>10</v>
      </c>
      <c r="AG147" s="4">
        <f t="shared" si="7"/>
        <v>73.66944444</v>
      </c>
      <c r="AH147" s="2" t="s">
        <v>2</v>
      </c>
    </row>
    <row r="148">
      <c r="A148" s="1" t="s">
        <v>904</v>
      </c>
      <c r="B148" s="1" t="s">
        <v>905</v>
      </c>
      <c r="C148" s="2" t="s">
        <v>906</v>
      </c>
      <c r="D148" s="2">
        <f>VLOOKUP(B148,MT!$B$2:$F$30,5)</f>
        <v>48</v>
      </c>
      <c r="E148" s="2">
        <v>20.0</v>
      </c>
      <c r="F148" s="2">
        <f t="shared" si="1"/>
        <v>34</v>
      </c>
      <c r="H148" s="2">
        <v>12.5</v>
      </c>
      <c r="I148" s="2">
        <v>33.0</v>
      </c>
      <c r="J148" s="3">
        <f t="shared" si="2"/>
        <v>6.791666667</v>
      </c>
      <c r="K148" s="2">
        <v>95.0</v>
      </c>
      <c r="L148" s="2">
        <v>179.0</v>
      </c>
      <c r="N148" s="3">
        <f t="shared" si="3"/>
        <v>179</v>
      </c>
      <c r="O148" s="2">
        <v>98.0</v>
      </c>
      <c r="P148" s="2">
        <f t="shared" si="4"/>
        <v>14.125</v>
      </c>
      <c r="Q148" s="2">
        <v>7.0</v>
      </c>
      <c r="R148" s="2">
        <v>7.0</v>
      </c>
      <c r="S148" s="2">
        <v>13.0</v>
      </c>
      <c r="T148" s="2">
        <v>8.0</v>
      </c>
      <c r="U148" s="2">
        <v>8.0</v>
      </c>
      <c r="V148" s="2">
        <v>13.0</v>
      </c>
      <c r="W148" s="2">
        <v>18.0</v>
      </c>
      <c r="X148" s="2">
        <v>27.0</v>
      </c>
      <c r="Y148" s="2">
        <v>30.0</v>
      </c>
      <c r="Z148" s="2">
        <v>29.0</v>
      </c>
      <c r="AA148" s="2">
        <v>28.0</v>
      </c>
      <c r="AB148" s="2">
        <f t="shared" si="5"/>
        <v>9.4</v>
      </c>
      <c r="AC148" s="2">
        <v>40.0</v>
      </c>
      <c r="AD148" s="2">
        <v>335.0</v>
      </c>
      <c r="AF148" s="3">
        <f t="shared" si="6"/>
        <v>9.375</v>
      </c>
      <c r="AG148" s="4">
        <f t="shared" si="7"/>
        <v>73.69166667</v>
      </c>
      <c r="AH148" s="2" t="s">
        <v>2</v>
      </c>
    </row>
    <row r="149">
      <c r="A149" s="1" t="s">
        <v>1004</v>
      </c>
      <c r="B149" s="1" t="s">
        <v>1005</v>
      </c>
      <c r="C149" s="2" t="s">
        <v>1006</v>
      </c>
      <c r="D149" s="2">
        <f>VLOOKUP(B149, 'MSC-Vikrant'!B5:F16,5)</f>
        <v>40</v>
      </c>
      <c r="E149" s="2">
        <v>26.0</v>
      </c>
      <c r="F149" s="2">
        <f t="shared" si="1"/>
        <v>33</v>
      </c>
      <c r="G149" s="2">
        <v>13.0</v>
      </c>
      <c r="H149" s="2">
        <v>12.0</v>
      </c>
      <c r="I149" s="2">
        <v>19.0</v>
      </c>
      <c r="J149" s="3">
        <f t="shared" si="2"/>
        <v>8.361111111</v>
      </c>
      <c r="K149" s="2">
        <v>95.0</v>
      </c>
      <c r="L149" s="2">
        <v>170.0</v>
      </c>
      <c r="N149" s="3">
        <f t="shared" si="3"/>
        <v>170</v>
      </c>
      <c r="O149" s="2">
        <v>88.0</v>
      </c>
      <c r="P149" s="2">
        <f t="shared" si="4"/>
        <v>13.4</v>
      </c>
      <c r="Q149" s="2">
        <v>7.0</v>
      </c>
      <c r="R149" s="2">
        <v>7.0</v>
      </c>
      <c r="S149" s="2">
        <v>9.0</v>
      </c>
      <c r="T149" s="2">
        <v>9.0</v>
      </c>
      <c r="U149" s="2">
        <v>15.0</v>
      </c>
      <c r="V149" s="2">
        <v>15.0</v>
      </c>
      <c r="W149" s="2">
        <v>17.0</v>
      </c>
      <c r="X149" s="2">
        <v>30.0</v>
      </c>
      <c r="Y149" s="2">
        <v>30.0</v>
      </c>
      <c r="Z149" s="2">
        <v>28.0</v>
      </c>
      <c r="AA149" s="2">
        <v>29.0</v>
      </c>
      <c r="AB149" s="2">
        <f t="shared" si="5"/>
        <v>9.8</v>
      </c>
      <c r="AC149" s="2">
        <v>50.0</v>
      </c>
      <c r="AD149" s="2">
        <v>320.0</v>
      </c>
      <c r="AF149" s="3">
        <f t="shared" si="6"/>
        <v>9.25</v>
      </c>
      <c r="AG149" s="4">
        <f t="shared" si="7"/>
        <v>73.81111111</v>
      </c>
      <c r="AH149" s="2" t="s">
        <v>2</v>
      </c>
    </row>
    <row r="150">
      <c r="A150" s="1" t="s">
        <v>140</v>
      </c>
      <c r="B150" s="1" t="s">
        <v>141</v>
      </c>
      <c r="C150" s="2" t="s">
        <v>142</v>
      </c>
      <c r="D150" s="2">
        <f>VLOOKUP(B150, 'CSE-Sandeep'!$B$2:$G$61,5)</f>
        <v>48</v>
      </c>
      <c r="E150" s="2">
        <v>27.0</v>
      </c>
      <c r="F150" s="2">
        <f t="shared" si="1"/>
        <v>37.5</v>
      </c>
      <c r="G150" s="2">
        <v>6.0</v>
      </c>
      <c r="H150" s="2">
        <v>11.0</v>
      </c>
      <c r="I150" s="2">
        <v>30.5</v>
      </c>
      <c r="J150" s="3">
        <f t="shared" si="2"/>
        <v>7.638888889</v>
      </c>
      <c r="K150" s="2">
        <v>70.0</v>
      </c>
      <c r="L150" s="2">
        <v>198.0</v>
      </c>
      <c r="N150" s="3">
        <f t="shared" si="3"/>
        <v>198</v>
      </c>
      <c r="O150" s="2">
        <v>90.0</v>
      </c>
      <c r="P150" s="2">
        <f t="shared" si="4"/>
        <v>12.95</v>
      </c>
      <c r="Q150" s="2">
        <v>7.0</v>
      </c>
      <c r="R150" s="2">
        <v>10.0</v>
      </c>
      <c r="T150" s="2">
        <v>8.0</v>
      </c>
      <c r="U150" s="2">
        <v>14.0</v>
      </c>
      <c r="W150" s="2">
        <v>20.0</v>
      </c>
      <c r="X150" s="2">
        <v>26.0</v>
      </c>
      <c r="Y150" s="2">
        <v>28.0</v>
      </c>
      <c r="Z150" s="2">
        <v>30.0</v>
      </c>
      <c r="AA150" s="2">
        <v>28.0</v>
      </c>
      <c r="AB150" s="2">
        <f t="shared" si="5"/>
        <v>8.55</v>
      </c>
      <c r="AC150" s="2">
        <v>10.0</v>
      </c>
      <c r="AD150" s="2">
        <v>280.0</v>
      </c>
      <c r="AF150" s="3">
        <f t="shared" si="6"/>
        <v>7.25</v>
      </c>
      <c r="AG150" s="4">
        <f t="shared" si="7"/>
        <v>73.88888889</v>
      </c>
      <c r="AH150" s="2" t="s">
        <v>2</v>
      </c>
    </row>
    <row r="151">
      <c r="A151" s="1" t="s">
        <v>692</v>
      </c>
      <c r="B151" s="1" t="s">
        <v>693</v>
      </c>
      <c r="C151" s="2" t="s">
        <v>694</v>
      </c>
      <c r="D151" s="2">
        <f>VLOOKUP(B151, 'ME-Subhashree'!$B$2:$F$56,5)</f>
        <v>37</v>
      </c>
      <c r="E151" s="2">
        <v>27.0</v>
      </c>
      <c r="F151" s="2">
        <f t="shared" si="1"/>
        <v>32</v>
      </c>
      <c r="G151" s="2">
        <v>14.0</v>
      </c>
      <c r="H151" s="2">
        <v>12.5</v>
      </c>
      <c r="I151" s="2">
        <v>25.0</v>
      </c>
      <c r="J151" s="3">
        <f t="shared" si="2"/>
        <v>9.402777778</v>
      </c>
      <c r="K151" s="2">
        <v>100.0</v>
      </c>
      <c r="L151" s="2">
        <v>200.0</v>
      </c>
      <c r="N151" s="3">
        <f t="shared" si="3"/>
        <v>200</v>
      </c>
      <c r="O151" s="2">
        <v>80.0</v>
      </c>
      <c r="P151" s="2">
        <f t="shared" si="4"/>
        <v>14</v>
      </c>
      <c r="Q151" s="2">
        <v>7.0</v>
      </c>
      <c r="R151" s="2">
        <v>10.0</v>
      </c>
      <c r="S151" s="2">
        <v>10.0</v>
      </c>
      <c r="T151" s="2">
        <v>10.0</v>
      </c>
      <c r="U151" s="2">
        <v>15.0</v>
      </c>
      <c r="V151" s="2">
        <v>15.0</v>
      </c>
      <c r="W151" s="2">
        <v>20.0</v>
      </c>
      <c r="X151" s="2">
        <v>25.0</v>
      </c>
      <c r="Y151" s="2">
        <v>30.0</v>
      </c>
      <c r="Z151" s="2">
        <v>29.0</v>
      </c>
      <c r="AA151" s="2">
        <v>29.0</v>
      </c>
      <c r="AB151" s="2">
        <f t="shared" si="5"/>
        <v>10</v>
      </c>
      <c r="AC151" s="2">
        <v>30.0</v>
      </c>
      <c r="AD151" s="2">
        <v>320.0</v>
      </c>
      <c r="AF151" s="3">
        <f t="shared" si="6"/>
        <v>8.75</v>
      </c>
      <c r="AG151" s="4">
        <f t="shared" si="7"/>
        <v>74.15277778</v>
      </c>
      <c r="AH151" s="2" t="s">
        <v>2</v>
      </c>
    </row>
    <row r="152">
      <c r="A152" s="1" t="s">
        <v>623</v>
      </c>
      <c r="B152" s="1" t="s">
        <v>624</v>
      </c>
      <c r="C152" s="2" t="s">
        <v>625</v>
      </c>
      <c r="D152" s="2">
        <f>VLOOKUP(B152, 'EE-Nitin'!$B$2:$F$57,5)</f>
        <v>46</v>
      </c>
      <c r="E152" s="2">
        <v>27.0</v>
      </c>
      <c r="F152" s="2">
        <f t="shared" si="1"/>
        <v>36.5</v>
      </c>
      <c r="G152" s="2">
        <v>10.0</v>
      </c>
      <c r="H152" s="2">
        <v>10.0</v>
      </c>
      <c r="I152" s="2">
        <v>25.0</v>
      </c>
      <c r="J152" s="3">
        <f t="shared" si="2"/>
        <v>7.777777778</v>
      </c>
      <c r="K152" s="2">
        <v>85.0</v>
      </c>
      <c r="L152" s="2">
        <v>100.0</v>
      </c>
      <c r="N152" s="3">
        <f t="shared" si="3"/>
        <v>100</v>
      </c>
      <c r="O152" s="2">
        <v>89.0</v>
      </c>
      <c r="P152" s="2">
        <f t="shared" si="4"/>
        <v>11.2</v>
      </c>
      <c r="Q152" s="2">
        <v>7.0</v>
      </c>
      <c r="R152" s="2">
        <v>7.0</v>
      </c>
      <c r="S152" s="2">
        <v>12.0</v>
      </c>
      <c r="T152" s="2">
        <v>10.0</v>
      </c>
      <c r="U152" s="2">
        <v>14.0</v>
      </c>
      <c r="V152" s="2">
        <v>15.0</v>
      </c>
      <c r="W152" s="2">
        <v>18.0</v>
      </c>
      <c r="X152" s="2">
        <v>29.0</v>
      </c>
      <c r="Y152" s="2">
        <v>30.0</v>
      </c>
      <c r="Z152" s="2">
        <v>29.0</v>
      </c>
      <c r="AA152" s="2">
        <v>28.0</v>
      </c>
      <c r="AB152" s="2">
        <f t="shared" si="5"/>
        <v>9.95</v>
      </c>
      <c r="AC152" s="2">
        <v>20.0</v>
      </c>
      <c r="AD152" s="2">
        <v>330.0</v>
      </c>
      <c r="AF152" s="3">
        <f t="shared" si="6"/>
        <v>8.75</v>
      </c>
      <c r="AG152" s="4">
        <f t="shared" si="7"/>
        <v>74.17777778</v>
      </c>
      <c r="AH152" s="2" t="s">
        <v>2</v>
      </c>
    </row>
    <row r="153">
      <c r="A153" s="1" t="s">
        <v>916</v>
      </c>
      <c r="B153" s="1" t="s">
        <v>917</v>
      </c>
      <c r="C153" s="2" t="s">
        <v>918</v>
      </c>
      <c r="D153" s="2">
        <f>VLOOKUP(B153,MT!$B$2:$F$30,5)</f>
        <v>45</v>
      </c>
      <c r="E153" s="2">
        <v>27.0</v>
      </c>
      <c r="F153" s="2">
        <f t="shared" si="1"/>
        <v>36</v>
      </c>
      <c r="G153" s="2">
        <v>8.0</v>
      </c>
      <c r="H153" s="2">
        <v>10.0</v>
      </c>
      <c r="I153" s="2">
        <v>11.0</v>
      </c>
      <c r="J153" s="3">
        <f t="shared" si="2"/>
        <v>5.722222222</v>
      </c>
      <c r="K153" s="2">
        <v>100.0</v>
      </c>
      <c r="L153" s="2">
        <v>178.0</v>
      </c>
      <c r="N153" s="3">
        <f t="shared" si="3"/>
        <v>178</v>
      </c>
      <c r="O153" s="2">
        <v>100.0</v>
      </c>
      <c r="P153" s="2">
        <f t="shared" si="4"/>
        <v>14.45</v>
      </c>
      <c r="Q153" s="2">
        <v>6.0</v>
      </c>
      <c r="R153" s="2">
        <v>3.0</v>
      </c>
      <c r="S153" s="2">
        <v>10.0</v>
      </c>
      <c r="T153" s="2">
        <v>8.0</v>
      </c>
      <c r="U153" s="2">
        <v>13.0</v>
      </c>
      <c r="V153" s="2">
        <v>14.0</v>
      </c>
      <c r="W153" s="2">
        <v>18.0</v>
      </c>
      <c r="X153" s="2">
        <v>24.0</v>
      </c>
      <c r="Y153" s="2">
        <v>30.0</v>
      </c>
      <c r="Z153" s="2">
        <v>28.0</v>
      </c>
      <c r="AA153" s="2">
        <v>29.0</v>
      </c>
      <c r="AB153" s="2">
        <f t="shared" si="5"/>
        <v>9.15</v>
      </c>
      <c r="AC153" s="2">
        <v>35.0</v>
      </c>
      <c r="AD153" s="2">
        <v>320.0</v>
      </c>
      <c r="AF153" s="3">
        <f t="shared" si="6"/>
        <v>8.875</v>
      </c>
      <c r="AG153" s="4">
        <f t="shared" si="7"/>
        <v>74.19722222</v>
      </c>
      <c r="AH153" s="2" t="s">
        <v>2</v>
      </c>
    </row>
    <row r="154">
      <c r="A154" s="1" t="s">
        <v>725</v>
      </c>
      <c r="B154" s="1" t="s">
        <v>726</v>
      </c>
      <c r="C154" s="2" t="s">
        <v>727</v>
      </c>
      <c r="D154" s="2">
        <f>VLOOKUP(B154, 'ME-Subhashree'!$B$2:$F$56,5)</f>
        <v>40</v>
      </c>
      <c r="E154" s="2">
        <v>25.0</v>
      </c>
      <c r="F154" s="2">
        <f t="shared" si="1"/>
        <v>32.5</v>
      </c>
      <c r="G154" s="2">
        <v>8.0</v>
      </c>
      <c r="H154" s="2">
        <v>18.0</v>
      </c>
      <c r="I154" s="2">
        <v>34.0</v>
      </c>
      <c r="J154" s="3">
        <f t="shared" si="2"/>
        <v>10.27777778</v>
      </c>
      <c r="K154" s="2">
        <v>100.0</v>
      </c>
      <c r="L154" s="2">
        <v>150.0</v>
      </c>
      <c r="N154" s="3">
        <f t="shared" si="3"/>
        <v>150</v>
      </c>
      <c r="O154" s="2">
        <v>100.0</v>
      </c>
      <c r="P154" s="2">
        <f t="shared" si="4"/>
        <v>13.75</v>
      </c>
      <c r="Q154" s="2">
        <v>7.0</v>
      </c>
      <c r="R154" s="2">
        <v>9.0</v>
      </c>
      <c r="S154" s="2">
        <v>10.0</v>
      </c>
      <c r="T154" s="2">
        <v>10.0</v>
      </c>
      <c r="U154" s="2">
        <v>15.0</v>
      </c>
      <c r="V154" s="2">
        <v>15.0</v>
      </c>
      <c r="W154" s="2">
        <v>20.0</v>
      </c>
      <c r="X154" s="2">
        <v>29.0</v>
      </c>
      <c r="Y154" s="2">
        <v>25.0</v>
      </c>
      <c r="Z154" s="2">
        <v>28.0</v>
      </c>
      <c r="AA154" s="2">
        <v>28.0</v>
      </c>
      <c r="AB154" s="2">
        <f t="shared" si="5"/>
        <v>9.8</v>
      </c>
      <c r="AC154" s="2">
        <v>0.0</v>
      </c>
      <c r="AD154" s="2">
        <v>320.0</v>
      </c>
      <c r="AF154" s="3">
        <f t="shared" si="6"/>
        <v>8</v>
      </c>
      <c r="AG154" s="4">
        <f t="shared" si="7"/>
        <v>74.32777778</v>
      </c>
      <c r="AH154" s="2" t="s">
        <v>2</v>
      </c>
    </row>
    <row r="155">
      <c r="A155" s="1" t="s">
        <v>770</v>
      </c>
      <c r="B155" s="1" t="s">
        <v>771</v>
      </c>
      <c r="C155" s="2" t="s">
        <v>772</v>
      </c>
      <c r="D155" s="2">
        <f>VLOOKUP(B155, 'ME-Subhashree'!$B$2:$F$56,5)</f>
        <v>34</v>
      </c>
      <c r="E155" s="2">
        <v>30.0</v>
      </c>
      <c r="F155" s="2">
        <f t="shared" si="1"/>
        <v>32</v>
      </c>
      <c r="G155" s="2">
        <v>12.0</v>
      </c>
      <c r="H155" s="2">
        <v>9.5</v>
      </c>
      <c r="I155" s="2">
        <v>27.0</v>
      </c>
      <c r="J155" s="3">
        <f t="shared" si="2"/>
        <v>8.375</v>
      </c>
      <c r="K155" s="2">
        <v>90.0</v>
      </c>
      <c r="L155" s="2">
        <v>200.0</v>
      </c>
      <c r="N155" s="3">
        <f t="shared" si="3"/>
        <v>200</v>
      </c>
      <c r="O155" s="2">
        <v>90.0</v>
      </c>
      <c r="P155" s="2">
        <f t="shared" si="4"/>
        <v>14</v>
      </c>
      <c r="Q155" s="2">
        <v>7.0</v>
      </c>
      <c r="R155" s="2">
        <v>4.0</v>
      </c>
      <c r="S155" s="2">
        <v>15.0</v>
      </c>
      <c r="T155" s="2">
        <v>12.0</v>
      </c>
      <c r="U155" s="2">
        <v>15.0</v>
      </c>
      <c r="V155" s="2">
        <v>14.0</v>
      </c>
      <c r="W155" s="2">
        <v>20.0</v>
      </c>
      <c r="X155" s="2">
        <v>28.44</v>
      </c>
      <c r="Y155" s="2">
        <v>27.89</v>
      </c>
      <c r="Z155" s="2">
        <v>30.0</v>
      </c>
      <c r="AA155" s="2">
        <v>29.0</v>
      </c>
      <c r="AB155" s="2">
        <f t="shared" si="5"/>
        <v>10.1165</v>
      </c>
      <c r="AC155" s="2">
        <v>49.0</v>
      </c>
      <c r="AD155" s="2">
        <v>345.0</v>
      </c>
      <c r="AF155" s="3">
        <f t="shared" si="6"/>
        <v>9.85</v>
      </c>
      <c r="AG155" s="4">
        <f t="shared" si="7"/>
        <v>74.3415</v>
      </c>
      <c r="AH155" s="2" t="s">
        <v>2</v>
      </c>
    </row>
    <row r="156">
      <c r="A156" s="1" t="s">
        <v>381</v>
      </c>
      <c r="B156" s="1" t="s">
        <v>382</v>
      </c>
      <c r="C156" s="2" t="s">
        <v>383</v>
      </c>
      <c r="D156" s="2">
        <f>VLOOKUP(B156,'EC-Nitin'!$B$2:$F$46,5)</f>
        <v>37</v>
      </c>
      <c r="E156" s="2">
        <v>27.0</v>
      </c>
      <c r="F156" s="2">
        <f t="shared" si="1"/>
        <v>32</v>
      </c>
      <c r="G156" s="2">
        <v>7.0</v>
      </c>
      <c r="H156" s="2">
        <v>16.0</v>
      </c>
      <c r="I156" s="2">
        <v>32.0</v>
      </c>
      <c r="J156" s="3">
        <f t="shared" si="2"/>
        <v>9.305555556</v>
      </c>
      <c r="K156" s="2">
        <v>99.0</v>
      </c>
      <c r="L156" s="2">
        <v>170.0</v>
      </c>
      <c r="N156" s="3">
        <f t="shared" si="3"/>
        <v>170</v>
      </c>
      <c r="O156" s="2">
        <v>99.0</v>
      </c>
      <c r="P156" s="2">
        <f t="shared" si="4"/>
        <v>14.15</v>
      </c>
      <c r="Q156" s="2">
        <v>7.0</v>
      </c>
      <c r="R156" s="2">
        <v>4.0</v>
      </c>
      <c r="S156" s="2">
        <v>14.0</v>
      </c>
      <c r="T156" s="2">
        <v>15.0</v>
      </c>
      <c r="U156" s="2">
        <v>14.0</v>
      </c>
      <c r="V156" s="2">
        <v>14.0</v>
      </c>
      <c r="W156" s="2">
        <v>20.0</v>
      </c>
      <c r="X156" s="2">
        <v>30.0</v>
      </c>
      <c r="Y156" s="2">
        <v>30.0</v>
      </c>
      <c r="Z156" s="2">
        <v>30.0</v>
      </c>
      <c r="AB156" s="2">
        <f t="shared" si="5"/>
        <v>8.9</v>
      </c>
      <c r="AC156" s="2">
        <v>50.0</v>
      </c>
      <c r="AD156" s="2">
        <v>350.0</v>
      </c>
      <c r="AF156" s="3">
        <f t="shared" si="6"/>
        <v>10</v>
      </c>
      <c r="AG156" s="4">
        <f t="shared" si="7"/>
        <v>74.35555556</v>
      </c>
      <c r="AH156" s="2" t="s">
        <v>2</v>
      </c>
    </row>
    <row r="157">
      <c r="A157" s="1" t="s">
        <v>611</v>
      </c>
      <c r="B157" s="1" t="s">
        <v>612</v>
      </c>
      <c r="C157" s="2" t="s">
        <v>613</v>
      </c>
      <c r="D157" s="2">
        <f>VLOOKUP(B157, 'EE-Nitin'!$B$2:$F$57,5)</f>
        <v>36</v>
      </c>
      <c r="E157" s="2">
        <v>22.0</v>
      </c>
      <c r="F157" s="2">
        <f t="shared" si="1"/>
        <v>29</v>
      </c>
      <c r="G157" s="2">
        <v>18.0</v>
      </c>
      <c r="H157" s="2">
        <v>13.0</v>
      </c>
      <c r="I157" s="2">
        <v>28.0</v>
      </c>
      <c r="J157" s="3">
        <f t="shared" si="2"/>
        <v>10.86111111</v>
      </c>
      <c r="K157" s="2">
        <v>95.0</v>
      </c>
      <c r="L157" s="2">
        <v>200.0</v>
      </c>
      <c r="N157" s="3">
        <f t="shared" si="3"/>
        <v>200</v>
      </c>
      <c r="O157" s="2">
        <v>100.0</v>
      </c>
      <c r="P157" s="2">
        <f t="shared" si="4"/>
        <v>14.75</v>
      </c>
      <c r="Q157" s="2">
        <v>7.0</v>
      </c>
      <c r="R157" s="2">
        <v>0.0</v>
      </c>
      <c r="S157" s="2">
        <v>12.0</v>
      </c>
      <c r="T157" s="2">
        <v>11.0</v>
      </c>
      <c r="U157" s="2">
        <v>15.0</v>
      </c>
      <c r="V157" s="2">
        <v>15.0</v>
      </c>
      <c r="W157" s="2">
        <v>20.0</v>
      </c>
      <c r="X157" s="2">
        <v>28.0</v>
      </c>
      <c r="Y157" s="2">
        <v>30.0</v>
      </c>
      <c r="Z157" s="2">
        <v>30.0</v>
      </c>
      <c r="AA157" s="2">
        <v>30.0</v>
      </c>
      <c r="AB157" s="2">
        <f t="shared" si="5"/>
        <v>9.9</v>
      </c>
      <c r="AC157" s="2">
        <v>50.0</v>
      </c>
      <c r="AD157" s="2">
        <v>345.0</v>
      </c>
      <c r="AF157" s="3">
        <f t="shared" si="6"/>
        <v>9.875</v>
      </c>
      <c r="AG157" s="4">
        <f t="shared" si="7"/>
        <v>74.38611111</v>
      </c>
      <c r="AH157" s="2" t="s">
        <v>2</v>
      </c>
    </row>
    <row r="158">
      <c r="A158" s="1" t="s">
        <v>479</v>
      </c>
      <c r="B158" s="1" t="s">
        <v>480</v>
      </c>
      <c r="C158" s="2" t="s">
        <v>481</v>
      </c>
      <c r="D158" s="2">
        <f>VLOOKUP(B158, 'EE-Nitin'!$B$2:$F$57,5)</f>
        <v>38</v>
      </c>
      <c r="E158" s="2">
        <v>27.0</v>
      </c>
      <c r="F158" s="2">
        <f t="shared" si="1"/>
        <v>32.5</v>
      </c>
      <c r="G158" s="2">
        <v>10.0</v>
      </c>
      <c r="H158" s="2">
        <v>12.0</v>
      </c>
      <c r="I158" s="2">
        <v>28.0</v>
      </c>
      <c r="J158" s="3">
        <f t="shared" si="2"/>
        <v>8.611111111</v>
      </c>
      <c r="K158" s="2">
        <v>94.0</v>
      </c>
      <c r="L158" s="2">
        <v>185.0</v>
      </c>
      <c r="N158" s="3">
        <f t="shared" si="3"/>
        <v>185</v>
      </c>
      <c r="O158" s="2">
        <v>97.0</v>
      </c>
      <c r="P158" s="2">
        <f t="shared" si="4"/>
        <v>14.175</v>
      </c>
      <c r="Q158" s="2">
        <v>7.0</v>
      </c>
      <c r="R158" s="2">
        <v>5.0</v>
      </c>
      <c r="S158" s="2">
        <v>7.0</v>
      </c>
      <c r="T158" s="2">
        <v>10.0</v>
      </c>
      <c r="U158" s="2">
        <v>14.0</v>
      </c>
      <c r="V158" s="2">
        <v>14.0</v>
      </c>
      <c r="W158" s="2">
        <v>18.0</v>
      </c>
      <c r="X158" s="2">
        <v>28.0</v>
      </c>
      <c r="Y158" s="2">
        <v>29.0</v>
      </c>
      <c r="Z158" s="2">
        <v>30.0</v>
      </c>
      <c r="AA158" s="2">
        <v>29.0</v>
      </c>
      <c r="AB158" s="2">
        <f t="shared" si="5"/>
        <v>9.55</v>
      </c>
      <c r="AC158" s="2">
        <v>50.0</v>
      </c>
      <c r="AD158" s="2">
        <v>345.0</v>
      </c>
      <c r="AF158" s="3">
        <f t="shared" si="6"/>
        <v>9.875</v>
      </c>
      <c r="AG158" s="4">
        <f t="shared" si="7"/>
        <v>74.71111111</v>
      </c>
      <c r="AH158" s="2" t="s">
        <v>2</v>
      </c>
    </row>
    <row r="159">
      <c r="A159" s="1" t="s">
        <v>665</v>
      </c>
      <c r="B159" s="1" t="s">
        <v>666</v>
      </c>
      <c r="C159" s="2" t="s">
        <v>667</v>
      </c>
      <c r="D159" s="2">
        <f>VLOOKUP(B159, 'ME-Subhashree'!$B$2:$F$56,5)</f>
        <v>40</v>
      </c>
      <c r="E159" s="2">
        <v>27.0</v>
      </c>
      <c r="F159" s="2">
        <f t="shared" si="1"/>
        <v>33.5</v>
      </c>
      <c r="G159" s="2">
        <v>9.0</v>
      </c>
      <c r="H159" s="2">
        <v>12.0</v>
      </c>
      <c r="I159" s="2">
        <v>31.0</v>
      </c>
      <c r="J159" s="3">
        <f t="shared" si="2"/>
        <v>8.694444444</v>
      </c>
      <c r="K159" s="2">
        <v>95.0</v>
      </c>
      <c r="L159" s="2">
        <v>180.0</v>
      </c>
      <c r="N159" s="3">
        <f t="shared" si="3"/>
        <v>180</v>
      </c>
      <c r="O159" s="2">
        <v>90.0</v>
      </c>
      <c r="P159" s="2">
        <f t="shared" si="4"/>
        <v>13.75</v>
      </c>
      <c r="Q159" s="2">
        <v>7.0</v>
      </c>
      <c r="R159" s="2">
        <v>3.0</v>
      </c>
      <c r="S159" s="2">
        <v>15.0</v>
      </c>
      <c r="T159" s="2">
        <v>14.0</v>
      </c>
      <c r="U159" s="2">
        <v>13.0</v>
      </c>
      <c r="V159" s="2">
        <v>15.0</v>
      </c>
      <c r="W159" s="2">
        <v>20.0</v>
      </c>
      <c r="X159" s="2">
        <v>28.0</v>
      </c>
      <c r="Y159" s="2">
        <v>28.0</v>
      </c>
      <c r="Z159" s="2">
        <v>29.0</v>
      </c>
      <c r="AA159" s="2">
        <v>29.0</v>
      </c>
      <c r="AB159" s="2">
        <f t="shared" si="5"/>
        <v>10.05</v>
      </c>
      <c r="AC159" s="2">
        <v>50.0</v>
      </c>
      <c r="AD159" s="2">
        <v>300.0</v>
      </c>
      <c r="AF159" s="3">
        <f t="shared" si="6"/>
        <v>8.75</v>
      </c>
      <c r="AG159" s="4">
        <f t="shared" si="7"/>
        <v>74.74444444</v>
      </c>
      <c r="AH159" s="2" t="s">
        <v>2</v>
      </c>
    </row>
    <row r="160">
      <c r="A160" s="1" t="s">
        <v>411</v>
      </c>
      <c r="B160" s="1" t="s">
        <v>412</v>
      </c>
      <c r="C160" s="2" t="s">
        <v>413</v>
      </c>
      <c r="D160" s="2">
        <f>VLOOKUP(B160,'EC-Nitin'!$B$2:$F$46,5)</f>
        <v>42</v>
      </c>
      <c r="E160" s="2">
        <v>25.0</v>
      </c>
      <c r="F160" s="2">
        <f t="shared" si="1"/>
        <v>33.5</v>
      </c>
      <c r="G160" s="2">
        <v>8.0</v>
      </c>
      <c r="H160" s="2">
        <v>16.0</v>
      </c>
      <c r="I160" s="2">
        <v>41.0</v>
      </c>
      <c r="J160" s="3">
        <f t="shared" si="2"/>
        <v>10.55555556</v>
      </c>
      <c r="K160" s="2">
        <v>80.0</v>
      </c>
      <c r="L160" s="2">
        <v>185.0</v>
      </c>
      <c r="M160" s="2">
        <v>165.0</v>
      </c>
      <c r="N160" s="3">
        <f t="shared" si="3"/>
        <v>185</v>
      </c>
      <c r="O160" s="2">
        <v>99.0</v>
      </c>
      <c r="P160" s="2">
        <f t="shared" si="4"/>
        <v>13.575</v>
      </c>
      <c r="Q160" s="2">
        <v>6.0</v>
      </c>
      <c r="R160" s="2">
        <v>5.0</v>
      </c>
      <c r="S160" s="2">
        <v>12.0</v>
      </c>
      <c r="T160" s="2">
        <v>13.0</v>
      </c>
      <c r="U160" s="2">
        <v>10.0</v>
      </c>
      <c r="V160" s="2">
        <v>11.0</v>
      </c>
      <c r="W160" s="2">
        <v>16.0</v>
      </c>
      <c r="X160" s="2">
        <v>27.0</v>
      </c>
      <c r="Y160" s="2">
        <v>18.0</v>
      </c>
      <c r="Z160" s="2">
        <v>29.0</v>
      </c>
      <c r="AB160" s="2">
        <f t="shared" si="5"/>
        <v>7.35</v>
      </c>
      <c r="AC160" s="2">
        <v>45.0</v>
      </c>
      <c r="AD160" s="2">
        <v>346.0</v>
      </c>
      <c r="AF160" s="3">
        <f t="shared" si="6"/>
        <v>9.775</v>
      </c>
      <c r="AG160" s="4">
        <f t="shared" si="7"/>
        <v>74.75555556</v>
      </c>
      <c r="AH160" s="2" t="s">
        <v>2</v>
      </c>
    </row>
    <row r="161">
      <c r="A161" s="1" t="s">
        <v>414</v>
      </c>
      <c r="B161" s="1" t="s">
        <v>415</v>
      </c>
      <c r="C161" s="2" t="s">
        <v>416</v>
      </c>
      <c r="D161" s="2">
        <f>VLOOKUP(B161,'EC-Nitin'!$B$2:$F$46,5)</f>
        <v>45</v>
      </c>
      <c r="E161" s="2">
        <v>18.0</v>
      </c>
      <c r="F161" s="2">
        <f t="shared" si="1"/>
        <v>31.5</v>
      </c>
      <c r="G161" s="2">
        <v>8.0</v>
      </c>
      <c r="H161" s="2">
        <v>15.0</v>
      </c>
      <c r="I161" s="2">
        <v>34.0</v>
      </c>
      <c r="J161" s="3">
        <f t="shared" si="2"/>
        <v>9.527777778</v>
      </c>
      <c r="K161" s="2">
        <v>90.0</v>
      </c>
      <c r="L161" s="2">
        <v>200.0</v>
      </c>
      <c r="M161" s="2">
        <v>165.0</v>
      </c>
      <c r="N161" s="3">
        <f t="shared" si="3"/>
        <v>200</v>
      </c>
      <c r="O161" s="2">
        <v>100.0</v>
      </c>
      <c r="P161" s="2">
        <f t="shared" si="4"/>
        <v>14.5</v>
      </c>
      <c r="Q161" s="2">
        <v>5.0</v>
      </c>
      <c r="R161" s="2">
        <v>4.0</v>
      </c>
      <c r="S161" s="2">
        <v>15.0</v>
      </c>
      <c r="T161" s="2">
        <v>14.0</v>
      </c>
      <c r="U161" s="2">
        <v>15.0</v>
      </c>
      <c r="V161" s="2">
        <v>10.0</v>
      </c>
      <c r="W161" s="2">
        <v>16.0</v>
      </c>
      <c r="X161" s="2">
        <v>27.0</v>
      </c>
      <c r="Y161" s="2">
        <v>27.0</v>
      </c>
      <c r="Z161" s="2">
        <v>30.0</v>
      </c>
      <c r="AA161" s="2">
        <v>30.0</v>
      </c>
      <c r="AB161" s="2">
        <f t="shared" si="5"/>
        <v>9.65</v>
      </c>
      <c r="AC161" s="2">
        <v>46.0</v>
      </c>
      <c r="AD161" s="2">
        <v>348.0</v>
      </c>
      <c r="AF161" s="3">
        <f t="shared" si="6"/>
        <v>9.85</v>
      </c>
      <c r="AG161" s="4">
        <f t="shared" si="7"/>
        <v>75.02777778</v>
      </c>
      <c r="AH161" s="2" t="s">
        <v>2</v>
      </c>
    </row>
    <row r="162">
      <c r="A162" s="1" t="s">
        <v>318</v>
      </c>
      <c r="B162" s="1" t="s">
        <v>319</v>
      </c>
      <c r="C162" s="2" t="s">
        <v>320</v>
      </c>
      <c r="D162" s="2">
        <f>VLOOKUP(B162,'DSAI-Vikrant'!$B$2:$F$44,5)</f>
        <v>46</v>
      </c>
      <c r="E162" s="2">
        <v>26.0</v>
      </c>
      <c r="F162" s="2">
        <f t="shared" si="1"/>
        <v>36</v>
      </c>
      <c r="G162" s="2">
        <v>12.0</v>
      </c>
      <c r="H162" s="2">
        <v>12.0</v>
      </c>
      <c r="I162" s="2">
        <v>30.0</v>
      </c>
      <c r="J162" s="3">
        <f t="shared" si="2"/>
        <v>9.333333333</v>
      </c>
      <c r="K162" s="2">
        <v>85.0</v>
      </c>
      <c r="L162" s="2">
        <v>200.0</v>
      </c>
      <c r="N162" s="3">
        <f t="shared" si="3"/>
        <v>200</v>
      </c>
      <c r="O162" s="2">
        <v>90.0</v>
      </c>
      <c r="P162" s="2">
        <f t="shared" si="4"/>
        <v>13.75</v>
      </c>
      <c r="Q162" s="2">
        <v>6.0</v>
      </c>
      <c r="R162" s="2">
        <v>3.0</v>
      </c>
      <c r="S162" s="2">
        <v>12.0</v>
      </c>
      <c r="T162" s="2">
        <v>11.0</v>
      </c>
      <c r="U162" s="2">
        <v>10.0</v>
      </c>
      <c r="V162" s="2">
        <v>0.0</v>
      </c>
      <c r="W162" s="2">
        <v>14.0</v>
      </c>
      <c r="X162" s="2">
        <v>26.0</v>
      </c>
      <c r="Y162" s="2">
        <v>28.0</v>
      </c>
      <c r="Z162" s="2">
        <v>28.0</v>
      </c>
      <c r="AA162" s="2">
        <v>28.0</v>
      </c>
      <c r="AB162" s="2">
        <f t="shared" si="5"/>
        <v>8.3</v>
      </c>
      <c r="AC162" s="2">
        <v>0.0</v>
      </c>
      <c r="AD162" s="2">
        <v>310.0</v>
      </c>
      <c r="AF162" s="3">
        <f t="shared" si="6"/>
        <v>7.75</v>
      </c>
      <c r="AG162" s="4">
        <f t="shared" si="7"/>
        <v>75.13333333</v>
      </c>
      <c r="AH162" s="2" t="s">
        <v>2</v>
      </c>
    </row>
    <row r="163">
      <c r="A163" s="1" t="s">
        <v>868</v>
      </c>
      <c r="B163" s="1" t="s">
        <v>869</v>
      </c>
      <c r="C163" s="2" t="s">
        <v>870</v>
      </c>
      <c r="D163" s="2">
        <f>VLOOKUP(B163,'MM-Subhashree'!$B$2:F$26,5)</f>
        <v>45</v>
      </c>
      <c r="E163" s="2">
        <v>19.0</v>
      </c>
      <c r="F163" s="2">
        <f t="shared" si="1"/>
        <v>32</v>
      </c>
      <c r="G163" s="2">
        <v>9.0</v>
      </c>
      <c r="H163" s="2">
        <v>13.0</v>
      </c>
      <c r="I163" s="2">
        <v>40.0</v>
      </c>
      <c r="J163" s="3">
        <f t="shared" si="2"/>
        <v>9.944444444</v>
      </c>
      <c r="K163" s="2">
        <v>93.0</v>
      </c>
      <c r="L163" s="2">
        <v>190.0</v>
      </c>
      <c r="N163" s="3">
        <f t="shared" si="3"/>
        <v>190</v>
      </c>
      <c r="O163" s="2">
        <v>100.0</v>
      </c>
      <c r="P163" s="2">
        <f t="shared" si="4"/>
        <v>14.4</v>
      </c>
      <c r="Q163" s="2">
        <v>7.0</v>
      </c>
      <c r="R163" s="2">
        <v>3.0</v>
      </c>
      <c r="S163" s="2">
        <v>9.0</v>
      </c>
      <c r="T163" s="2">
        <v>14.0</v>
      </c>
      <c r="U163" s="2">
        <v>15.0</v>
      </c>
      <c r="W163" s="2">
        <v>18.5</v>
      </c>
      <c r="X163" s="2">
        <v>26.0</v>
      </c>
      <c r="Y163" s="2">
        <v>28.0</v>
      </c>
      <c r="Z163" s="2">
        <v>30.0</v>
      </c>
      <c r="AA163" s="2">
        <v>30.0</v>
      </c>
      <c r="AB163" s="2">
        <f t="shared" si="5"/>
        <v>9.025</v>
      </c>
      <c r="AC163" s="2">
        <v>49.0</v>
      </c>
      <c r="AD163" s="2">
        <v>350.0</v>
      </c>
      <c r="AF163" s="3">
        <f t="shared" si="6"/>
        <v>9.975</v>
      </c>
      <c r="AG163" s="4">
        <f t="shared" si="7"/>
        <v>75.34444444</v>
      </c>
      <c r="AH163" s="2" t="s">
        <v>2</v>
      </c>
    </row>
    <row r="164">
      <c r="A164" s="1" t="s">
        <v>880</v>
      </c>
      <c r="B164" s="1" t="s">
        <v>881</v>
      </c>
      <c r="C164" s="2" t="s">
        <v>882</v>
      </c>
      <c r="D164" s="2">
        <f>VLOOKUP(B164,MT!$B$2:$F$30,5)</f>
        <v>45</v>
      </c>
      <c r="E164" s="2">
        <v>25.0</v>
      </c>
      <c r="F164" s="2">
        <f t="shared" si="1"/>
        <v>35</v>
      </c>
      <c r="G164" s="2">
        <v>9.0</v>
      </c>
      <c r="H164" s="2">
        <v>17.0</v>
      </c>
      <c r="I164" s="2">
        <v>27.5</v>
      </c>
      <c r="J164" s="3">
        <f t="shared" si="2"/>
        <v>9.555555556</v>
      </c>
      <c r="K164" s="2">
        <v>100.0</v>
      </c>
      <c r="L164" s="2">
        <v>160.0</v>
      </c>
      <c r="N164" s="3">
        <f t="shared" si="3"/>
        <v>160</v>
      </c>
      <c r="O164" s="2">
        <v>95.0</v>
      </c>
      <c r="P164" s="2">
        <f t="shared" si="4"/>
        <v>13.75</v>
      </c>
      <c r="Q164" s="2">
        <v>7.0</v>
      </c>
      <c r="R164" s="2">
        <v>9.0</v>
      </c>
      <c r="S164" s="2">
        <v>12.0</v>
      </c>
      <c r="T164" s="2">
        <v>9.0</v>
      </c>
      <c r="U164" s="2">
        <v>14.0</v>
      </c>
      <c r="V164" s="2">
        <v>11.0</v>
      </c>
      <c r="W164" s="2">
        <v>19.0</v>
      </c>
      <c r="X164" s="2">
        <v>28.0</v>
      </c>
      <c r="Y164" s="2">
        <v>30.0</v>
      </c>
      <c r="Z164" s="2">
        <v>28.0</v>
      </c>
      <c r="AB164" s="2">
        <f t="shared" si="5"/>
        <v>8.35</v>
      </c>
      <c r="AC164" s="2">
        <v>35.0</v>
      </c>
      <c r="AD164" s="2">
        <v>315.0</v>
      </c>
      <c r="AF164" s="3">
        <f t="shared" si="6"/>
        <v>8.75</v>
      </c>
      <c r="AG164" s="4">
        <f t="shared" si="7"/>
        <v>75.40555556</v>
      </c>
      <c r="AH164" s="2" t="s">
        <v>2</v>
      </c>
    </row>
    <row r="165">
      <c r="A165" s="1" t="s">
        <v>731</v>
      </c>
      <c r="B165" s="1" t="s">
        <v>732</v>
      </c>
      <c r="C165" s="2" t="s">
        <v>733</v>
      </c>
      <c r="D165" s="2">
        <f>VLOOKUP(B165, 'ME-Subhashree'!$B$2:$F$56,5)</f>
        <v>38</v>
      </c>
      <c r="E165" s="2">
        <v>32.0</v>
      </c>
      <c r="F165" s="2">
        <f t="shared" si="1"/>
        <v>35</v>
      </c>
      <c r="G165" s="2">
        <v>4.0</v>
      </c>
      <c r="H165" s="2">
        <v>11.5</v>
      </c>
      <c r="I165" s="2">
        <v>23.0</v>
      </c>
      <c r="J165" s="3">
        <f t="shared" si="2"/>
        <v>6.430555556</v>
      </c>
      <c r="K165" s="2">
        <v>100.0</v>
      </c>
      <c r="L165" s="2">
        <v>170.0</v>
      </c>
      <c r="M165" s="2">
        <v>180.0</v>
      </c>
      <c r="N165" s="3">
        <f t="shared" si="3"/>
        <v>180</v>
      </c>
      <c r="O165" s="2">
        <v>100.0</v>
      </c>
      <c r="P165" s="2">
        <f t="shared" si="4"/>
        <v>14.5</v>
      </c>
      <c r="Q165" s="2">
        <v>7.0</v>
      </c>
      <c r="R165" s="2">
        <v>9.0</v>
      </c>
      <c r="S165" s="2">
        <v>12.0</v>
      </c>
      <c r="T165" s="2">
        <v>15.0</v>
      </c>
      <c r="U165" s="2">
        <v>15.0</v>
      </c>
      <c r="V165" s="2">
        <v>12.0</v>
      </c>
      <c r="W165" s="2">
        <v>20.0</v>
      </c>
      <c r="X165" s="2">
        <v>30.0</v>
      </c>
      <c r="Y165" s="2">
        <v>28.0</v>
      </c>
      <c r="Z165" s="2">
        <v>29.0</v>
      </c>
      <c r="AA165" s="2">
        <v>28.0</v>
      </c>
      <c r="AB165" s="2">
        <f t="shared" si="5"/>
        <v>10.25</v>
      </c>
      <c r="AC165" s="2">
        <v>30.0</v>
      </c>
      <c r="AD165" s="2">
        <v>340.0</v>
      </c>
      <c r="AF165" s="3">
        <f t="shared" si="6"/>
        <v>9.25</v>
      </c>
      <c r="AG165" s="4">
        <f t="shared" si="7"/>
        <v>75.43055556</v>
      </c>
      <c r="AH165" s="2" t="s">
        <v>2</v>
      </c>
    </row>
    <row r="166">
      <c r="A166" s="1" t="s">
        <v>716</v>
      </c>
      <c r="B166" s="1" t="s">
        <v>717</v>
      </c>
      <c r="C166" s="2" t="s">
        <v>718</v>
      </c>
      <c r="D166" s="2">
        <f>VLOOKUP(B166, 'ME-Subhashree'!$B$2:$F$56,5)</f>
        <v>39</v>
      </c>
      <c r="E166" s="2">
        <v>28.0</v>
      </c>
      <c r="F166" s="2">
        <f t="shared" si="1"/>
        <v>33.5</v>
      </c>
      <c r="G166" s="2">
        <v>7.0</v>
      </c>
      <c r="H166" s="2">
        <v>15.5</v>
      </c>
      <c r="I166" s="2">
        <v>29.0</v>
      </c>
      <c r="J166" s="3">
        <f t="shared" si="2"/>
        <v>8.847222222</v>
      </c>
      <c r="K166" s="2">
        <v>100.0</v>
      </c>
      <c r="L166" s="2">
        <v>200.0</v>
      </c>
      <c r="N166" s="3">
        <f t="shared" si="3"/>
        <v>200</v>
      </c>
      <c r="O166" s="2">
        <v>80.0</v>
      </c>
      <c r="P166" s="2">
        <f t="shared" si="4"/>
        <v>14</v>
      </c>
      <c r="Q166" s="2">
        <v>7.0</v>
      </c>
      <c r="R166" s="2">
        <v>4.0</v>
      </c>
      <c r="S166" s="2">
        <v>15.0</v>
      </c>
      <c r="T166" s="2">
        <v>15.0</v>
      </c>
      <c r="U166" s="2">
        <v>15.0</v>
      </c>
      <c r="V166" s="2">
        <v>15.0</v>
      </c>
      <c r="W166" s="2">
        <v>20.0</v>
      </c>
      <c r="X166" s="2">
        <v>25.0</v>
      </c>
      <c r="Y166" s="2">
        <v>30.0</v>
      </c>
      <c r="Z166" s="2">
        <v>29.0</v>
      </c>
      <c r="AA166" s="2">
        <v>27.0</v>
      </c>
      <c r="AB166" s="2">
        <f t="shared" si="5"/>
        <v>10.1</v>
      </c>
      <c r="AC166" s="2">
        <v>30.0</v>
      </c>
      <c r="AD166" s="2">
        <v>330.0</v>
      </c>
      <c r="AF166" s="3">
        <f t="shared" si="6"/>
        <v>9</v>
      </c>
      <c r="AG166" s="4">
        <f t="shared" si="7"/>
        <v>75.44722222</v>
      </c>
      <c r="AH166" s="2" t="s">
        <v>2</v>
      </c>
    </row>
    <row r="167">
      <c r="A167" s="1" t="s">
        <v>435</v>
      </c>
      <c r="B167" s="1" t="s">
        <v>436</v>
      </c>
      <c r="C167" s="2" t="s">
        <v>437</v>
      </c>
      <c r="D167" s="2">
        <f>VLOOKUP(B167,'EC-Nitin'!$B$2:$F$46,5)</f>
        <v>42</v>
      </c>
      <c r="E167" s="2">
        <v>24.0</v>
      </c>
      <c r="F167" s="2">
        <f t="shared" si="1"/>
        <v>33</v>
      </c>
      <c r="G167" s="2">
        <v>8.0</v>
      </c>
      <c r="H167" s="2">
        <v>14.5</v>
      </c>
      <c r="I167" s="2">
        <v>34.0</v>
      </c>
      <c r="J167" s="3">
        <f t="shared" si="2"/>
        <v>9.402777778</v>
      </c>
      <c r="K167" s="2">
        <v>90.0</v>
      </c>
      <c r="L167" s="2">
        <v>160.0</v>
      </c>
      <c r="N167" s="3">
        <f t="shared" si="3"/>
        <v>160</v>
      </c>
      <c r="O167" s="2">
        <v>99.0</v>
      </c>
      <c r="P167" s="2">
        <f t="shared" si="4"/>
        <v>13.45</v>
      </c>
      <c r="Q167" s="2">
        <v>7.0</v>
      </c>
      <c r="R167" s="2">
        <v>6.0</v>
      </c>
      <c r="S167" s="2">
        <v>14.0</v>
      </c>
      <c r="T167" s="2">
        <v>14.0</v>
      </c>
      <c r="U167" s="2">
        <v>15.0</v>
      </c>
      <c r="V167" s="2">
        <v>14.0</v>
      </c>
      <c r="W167" s="2">
        <v>18.0</v>
      </c>
      <c r="X167" s="2">
        <v>30.0</v>
      </c>
      <c r="Y167" s="2">
        <v>30.0</v>
      </c>
      <c r="Z167" s="2">
        <v>29.0</v>
      </c>
      <c r="AA167" s="2">
        <v>29.0</v>
      </c>
      <c r="AB167" s="2">
        <f t="shared" si="5"/>
        <v>10.3</v>
      </c>
      <c r="AC167" s="2">
        <v>30.0</v>
      </c>
      <c r="AD167" s="2">
        <v>345.0</v>
      </c>
      <c r="AF167" s="3">
        <f t="shared" si="6"/>
        <v>9.375</v>
      </c>
      <c r="AG167" s="4">
        <f t="shared" si="7"/>
        <v>75.52777778</v>
      </c>
      <c r="AH167" s="2" t="s">
        <v>2</v>
      </c>
    </row>
    <row r="168">
      <c r="A168" s="1" t="s">
        <v>551</v>
      </c>
      <c r="B168" s="1" t="s">
        <v>552</v>
      </c>
      <c r="C168" s="2" t="s">
        <v>553</v>
      </c>
      <c r="D168" s="2">
        <f>VLOOKUP(B168, 'EE-Nitin'!$B$2:$F$57,5)</f>
        <v>36</v>
      </c>
      <c r="E168" s="2">
        <v>29.0</v>
      </c>
      <c r="F168" s="2">
        <f t="shared" si="1"/>
        <v>32.5</v>
      </c>
      <c r="G168" s="2">
        <v>8.0</v>
      </c>
      <c r="H168" s="2">
        <v>16.5</v>
      </c>
      <c r="I168" s="2">
        <v>31.0</v>
      </c>
      <c r="J168" s="3">
        <f t="shared" si="2"/>
        <v>9.569444444</v>
      </c>
      <c r="K168" s="2">
        <v>92.0</v>
      </c>
      <c r="L168" s="2">
        <v>187.0</v>
      </c>
      <c r="N168" s="3">
        <f t="shared" si="3"/>
        <v>187</v>
      </c>
      <c r="O168" s="2">
        <v>100.0</v>
      </c>
      <c r="P168" s="2">
        <f t="shared" si="4"/>
        <v>14.275</v>
      </c>
      <c r="Q168" s="2">
        <v>3.0</v>
      </c>
      <c r="R168" s="2">
        <v>7.0</v>
      </c>
      <c r="S168" s="2">
        <v>9.0</v>
      </c>
      <c r="T168" s="2">
        <v>6.0</v>
      </c>
      <c r="U168" s="2">
        <v>15.0</v>
      </c>
      <c r="V168" s="2">
        <v>13.5</v>
      </c>
      <c r="W168" s="2">
        <v>19.5</v>
      </c>
      <c r="X168" s="2">
        <v>28.0</v>
      </c>
      <c r="Y168" s="2">
        <v>28.0</v>
      </c>
      <c r="Z168" s="2">
        <v>30.0</v>
      </c>
      <c r="AA168" s="2">
        <v>30.0</v>
      </c>
      <c r="AB168" s="2">
        <f t="shared" si="5"/>
        <v>9.45</v>
      </c>
      <c r="AC168" s="2">
        <v>45.0</v>
      </c>
      <c r="AD168" s="2">
        <v>347.0</v>
      </c>
      <c r="AF168" s="3">
        <f t="shared" si="6"/>
        <v>9.8</v>
      </c>
      <c r="AG168" s="4">
        <f t="shared" si="7"/>
        <v>75.59444444</v>
      </c>
      <c r="AH168" s="2" t="s">
        <v>2</v>
      </c>
    </row>
    <row r="169">
      <c r="A169" s="1" t="s">
        <v>952</v>
      </c>
      <c r="B169" s="1" t="s">
        <v>953</v>
      </c>
      <c r="C169" s="2" t="s">
        <v>954</v>
      </c>
      <c r="D169" s="2">
        <f>VLOOKUP(B169,MT!$B$2:$F$30,5)</f>
        <v>46</v>
      </c>
      <c r="E169" s="2">
        <v>27.0</v>
      </c>
      <c r="F169" s="2">
        <f t="shared" si="1"/>
        <v>36.5</v>
      </c>
      <c r="G169" s="2">
        <v>7.0</v>
      </c>
      <c r="H169" s="2">
        <v>11.0</v>
      </c>
      <c r="I169" s="2">
        <v>21.0</v>
      </c>
      <c r="J169" s="3">
        <f t="shared" si="2"/>
        <v>6.833333333</v>
      </c>
      <c r="K169" s="2">
        <v>85.0</v>
      </c>
      <c r="L169" s="2">
        <v>180.0</v>
      </c>
      <c r="N169" s="3">
        <f t="shared" si="3"/>
        <v>180</v>
      </c>
      <c r="O169" s="2">
        <v>90.0</v>
      </c>
      <c r="P169" s="2">
        <f t="shared" si="4"/>
        <v>13.25</v>
      </c>
      <c r="Q169" s="2">
        <v>7.0</v>
      </c>
      <c r="R169" s="2">
        <v>6.0</v>
      </c>
      <c r="S169" s="2">
        <v>10.0</v>
      </c>
      <c r="T169" s="2">
        <v>12.0</v>
      </c>
      <c r="U169" s="2">
        <v>10.0</v>
      </c>
      <c r="V169" s="2">
        <v>14.5</v>
      </c>
      <c r="W169" s="2">
        <v>16.0</v>
      </c>
      <c r="X169" s="2">
        <v>30.0</v>
      </c>
      <c r="Y169" s="2">
        <v>25.0</v>
      </c>
      <c r="Z169" s="2">
        <v>29.0</v>
      </c>
      <c r="AA169" s="2">
        <v>28.0</v>
      </c>
      <c r="AB169" s="2">
        <f t="shared" si="5"/>
        <v>9.375</v>
      </c>
      <c r="AC169" s="2">
        <v>48.0</v>
      </c>
      <c r="AD169" s="2">
        <v>340.0</v>
      </c>
      <c r="AF169" s="3">
        <f t="shared" si="6"/>
        <v>9.7</v>
      </c>
      <c r="AG169" s="4">
        <f t="shared" si="7"/>
        <v>75.65833333</v>
      </c>
      <c r="AH169" s="2" t="s">
        <v>2</v>
      </c>
    </row>
    <row r="170">
      <c r="A170" s="1" t="s">
        <v>835</v>
      </c>
      <c r="B170" s="1" t="s">
        <v>836</v>
      </c>
      <c r="C170" s="2" t="s">
        <v>837</v>
      </c>
      <c r="D170" s="2">
        <f>VLOOKUP(B170,'MM-Subhashree'!$B$2:F$26,5)</f>
        <v>42</v>
      </c>
      <c r="E170" s="2">
        <v>17.0</v>
      </c>
      <c r="F170" s="2">
        <f t="shared" si="1"/>
        <v>29.5</v>
      </c>
      <c r="G170" s="2">
        <v>13.0</v>
      </c>
      <c r="H170" s="2">
        <v>15.0</v>
      </c>
      <c r="I170" s="2">
        <v>40.0</v>
      </c>
      <c r="J170" s="3">
        <f t="shared" si="2"/>
        <v>11.44444444</v>
      </c>
      <c r="K170" s="2">
        <v>96.0</v>
      </c>
      <c r="L170" s="2">
        <v>197.0</v>
      </c>
      <c r="N170" s="3">
        <f t="shared" si="3"/>
        <v>197</v>
      </c>
      <c r="O170" s="2">
        <v>100.0</v>
      </c>
      <c r="P170" s="2">
        <f t="shared" si="4"/>
        <v>14.725</v>
      </c>
      <c r="Q170" s="2">
        <v>7.0</v>
      </c>
      <c r="R170" s="2">
        <v>6.0</v>
      </c>
      <c r="S170" s="2">
        <v>12.0</v>
      </c>
      <c r="T170" s="2">
        <v>13.0</v>
      </c>
      <c r="U170" s="2">
        <v>15.0</v>
      </c>
      <c r="V170" s="2">
        <v>14.0</v>
      </c>
      <c r="W170" s="2">
        <v>19.5</v>
      </c>
      <c r="X170" s="2">
        <v>28.0</v>
      </c>
      <c r="Y170" s="2">
        <v>27.0</v>
      </c>
      <c r="Z170" s="2">
        <v>29.0</v>
      </c>
      <c r="AA170" s="2">
        <v>30.0</v>
      </c>
      <c r="AB170" s="2">
        <f t="shared" si="5"/>
        <v>10.025</v>
      </c>
      <c r="AC170" s="2">
        <v>50.0</v>
      </c>
      <c r="AD170" s="2">
        <v>350.0</v>
      </c>
      <c r="AF170" s="3">
        <f t="shared" si="6"/>
        <v>10</v>
      </c>
      <c r="AG170" s="4">
        <f t="shared" si="7"/>
        <v>75.69444444</v>
      </c>
      <c r="AH170" s="2" t="s">
        <v>2</v>
      </c>
    </row>
    <row r="171">
      <c r="A171" s="1" t="s">
        <v>758</v>
      </c>
      <c r="B171" s="1" t="s">
        <v>759</v>
      </c>
      <c r="C171" s="2" t="s">
        <v>760</v>
      </c>
      <c r="D171" s="2">
        <f>VLOOKUP(B171, 'ME-Subhashree'!$B$2:$F$56,5)</f>
        <v>42</v>
      </c>
      <c r="E171" s="2">
        <v>26.0</v>
      </c>
      <c r="F171" s="2">
        <f t="shared" si="1"/>
        <v>34</v>
      </c>
      <c r="G171" s="2">
        <v>9.0</v>
      </c>
      <c r="H171" s="2">
        <v>15.0</v>
      </c>
      <c r="I171" s="2">
        <v>27.0</v>
      </c>
      <c r="J171" s="3">
        <f t="shared" si="2"/>
        <v>9</v>
      </c>
      <c r="K171" s="2">
        <v>80.0</v>
      </c>
      <c r="L171" s="2">
        <v>200.0</v>
      </c>
      <c r="N171" s="3">
        <f t="shared" si="3"/>
        <v>200</v>
      </c>
      <c r="O171" s="2">
        <v>93.0</v>
      </c>
      <c r="P171" s="2">
        <f t="shared" si="4"/>
        <v>13.65</v>
      </c>
      <c r="Q171" s="2">
        <v>7.0</v>
      </c>
      <c r="R171" s="2">
        <v>6.0</v>
      </c>
      <c r="S171" s="2">
        <v>7.0</v>
      </c>
      <c r="T171" s="2">
        <v>10.0</v>
      </c>
      <c r="U171" s="2">
        <v>14.5</v>
      </c>
      <c r="V171" s="2">
        <v>13.0</v>
      </c>
      <c r="W171" s="2">
        <v>20.0</v>
      </c>
      <c r="X171" s="2">
        <v>25.31</v>
      </c>
      <c r="Y171" s="2">
        <v>25.0</v>
      </c>
      <c r="Z171" s="2">
        <v>29.0</v>
      </c>
      <c r="AA171" s="2">
        <v>28.0</v>
      </c>
      <c r="AB171" s="2">
        <f t="shared" si="5"/>
        <v>9.2405</v>
      </c>
      <c r="AC171" s="2">
        <v>50.0</v>
      </c>
      <c r="AD171" s="2">
        <v>345.0</v>
      </c>
      <c r="AF171" s="3">
        <f t="shared" si="6"/>
        <v>9.875</v>
      </c>
      <c r="AG171" s="4">
        <f t="shared" si="7"/>
        <v>75.7655</v>
      </c>
      <c r="AH171" s="2" t="s">
        <v>2</v>
      </c>
    </row>
    <row r="172">
      <c r="A172" s="1" t="s">
        <v>11</v>
      </c>
      <c r="B172" s="1" t="s">
        <v>12</v>
      </c>
      <c r="C172" s="2" t="s">
        <v>13</v>
      </c>
      <c r="D172" s="2">
        <v>45.0</v>
      </c>
      <c r="E172" s="2">
        <v>25.0</v>
      </c>
      <c r="F172" s="2">
        <f t="shared" si="1"/>
        <v>35</v>
      </c>
      <c r="G172" s="2">
        <v>8.0</v>
      </c>
      <c r="H172" s="2">
        <v>18.0</v>
      </c>
      <c r="I172" s="2">
        <v>26.0</v>
      </c>
      <c r="J172" s="3">
        <f t="shared" si="2"/>
        <v>9.388888889</v>
      </c>
      <c r="K172" s="2">
        <v>95.0</v>
      </c>
      <c r="L172" s="2">
        <v>190.0</v>
      </c>
      <c r="M172" s="2">
        <v>190.0</v>
      </c>
      <c r="N172" s="3">
        <f t="shared" si="3"/>
        <v>190</v>
      </c>
      <c r="O172" s="2">
        <v>95.0</v>
      </c>
      <c r="P172" s="2">
        <f t="shared" si="4"/>
        <v>14.25</v>
      </c>
      <c r="Q172" s="2">
        <v>6.0</v>
      </c>
      <c r="T172" s="2">
        <v>12.0</v>
      </c>
      <c r="U172" s="2">
        <v>15.0</v>
      </c>
      <c r="V172" s="2">
        <v>15.0</v>
      </c>
      <c r="W172" s="2">
        <v>20.0</v>
      </c>
      <c r="X172" s="2">
        <v>25.0</v>
      </c>
      <c r="Y172" s="2">
        <v>30.0</v>
      </c>
      <c r="Z172" s="2">
        <v>30.0</v>
      </c>
      <c r="AB172" s="2">
        <f t="shared" si="5"/>
        <v>7.65</v>
      </c>
      <c r="AC172" s="2">
        <v>50.0</v>
      </c>
      <c r="AD172" s="2">
        <v>330.0</v>
      </c>
      <c r="AF172" s="3">
        <f t="shared" si="6"/>
        <v>9.5</v>
      </c>
      <c r="AG172" s="4">
        <f t="shared" si="7"/>
        <v>75.78888889</v>
      </c>
      <c r="AH172" s="2" t="s">
        <v>2</v>
      </c>
    </row>
    <row r="173">
      <c r="A173" s="1" t="s">
        <v>940</v>
      </c>
      <c r="B173" s="1" t="s">
        <v>941</v>
      </c>
      <c r="C173" s="2" t="s">
        <v>942</v>
      </c>
      <c r="D173" s="2">
        <f>VLOOKUP(B173,MT!$B$2:$F$30,5)</f>
        <v>43</v>
      </c>
      <c r="E173" s="2">
        <v>23.0</v>
      </c>
      <c r="F173" s="2">
        <f t="shared" si="1"/>
        <v>33</v>
      </c>
      <c r="G173" s="2">
        <v>11.0</v>
      </c>
      <c r="H173" s="2">
        <v>16.0</v>
      </c>
      <c r="I173" s="2">
        <v>25.0</v>
      </c>
      <c r="J173" s="3">
        <f t="shared" si="2"/>
        <v>9.527777778</v>
      </c>
      <c r="K173" s="2">
        <v>100.0</v>
      </c>
      <c r="L173" s="2">
        <v>200.0</v>
      </c>
      <c r="N173" s="3">
        <f t="shared" si="3"/>
        <v>200</v>
      </c>
      <c r="O173" s="2">
        <v>100.0</v>
      </c>
      <c r="P173" s="2">
        <f t="shared" si="4"/>
        <v>15</v>
      </c>
      <c r="Q173" s="2">
        <v>7.0</v>
      </c>
      <c r="R173" s="2">
        <v>7.0</v>
      </c>
      <c r="S173" s="2">
        <v>13.0</v>
      </c>
      <c r="T173" s="2">
        <v>12.0</v>
      </c>
      <c r="U173" s="2">
        <v>14.0</v>
      </c>
      <c r="V173" s="2">
        <v>14.5</v>
      </c>
      <c r="W173" s="2">
        <v>19.0</v>
      </c>
      <c r="X173" s="2">
        <v>30.0</v>
      </c>
      <c r="Y173" s="2">
        <v>0.0</v>
      </c>
      <c r="Z173" s="2">
        <v>29.0</v>
      </c>
      <c r="AA173" s="2">
        <v>29.0</v>
      </c>
      <c r="AB173" s="2">
        <f t="shared" si="5"/>
        <v>8.725</v>
      </c>
      <c r="AC173" s="2">
        <v>38.0</v>
      </c>
      <c r="AD173" s="2">
        <v>348.0</v>
      </c>
      <c r="AF173" s="3">
        <f t="shared" si="6"/>
        <v>9.65</v>
      </c>
      <c r="AG173" s="4">
        <f t="shared" si="7"/>
        <v>75.90277778</v>
      </c>
      <c r="AH173" s="2" t="s">
        <v>2</v>
      </c>
    </row>
    <row r="174">
      <c r="A174" s="1" t="s">
        <v>238</v>
      </c>
      <c r="B174" s="1" t="s">
        <v>239</v>
      </c>
      <c r="C174" s="2" t="s">
        <v>240</v>
      </c>
      <c r="D174" s="2">
        <f>VLOOKUP(B174,'DSAI-Vikrant'!$B$2:$F$44,5)</f>
        <v>53</v>
      </c>
      <c r="E174" s="2">
        <v>19.0</v>
      </c>
      <c r="F174" s="2">
        <f t="shared" si="1"/>
        <v>36</v>
      </c>
      <c r="G174" s="2">
        <v>8.0</v>
      </c>
      <c r="H174" s="2">
        <v>13.5</v>
      </c>
      <c r="I174" s="2">
        <v>30.0</v>
      </c>
      <c r="J174" s="3">
        <f t="shared" si="2"/>
        <v>8.708333333</v>
      </c>
      <c r="K174" s="2">
        <v>100.0</v>
      </c>
      <c r="L174" s="2">
        <v>185.0</v>
      </c>
      <c r="N174" s="3">
        <f t="shared" si="3"/>
        <v>185</v>
      </c>
      <c r="O174" s="2">
        <v>90.0</v>
      </c>
      <c r="P174" s="2">
        <f t="shared" si="4"/>
        <v>14.125</v>
      </c>
      <c r="Q174" s="2">
        <v>7.0</v>
      </c>
      <c r="R174" s="2">
        <v>7.0</v>
      </c>
      <c r="S174" s="2">
        <v>11.0</v>
      </c>
      <c r="T174" s="2">
        <v>8.0</v>
      </c>
      <c r="U174" s="2">
        <v>13.0</v>
      </c>
      <c r="V174" s="2">
        <v>13.0</v>
      </c>
      <c r="W174" s="2">
        <v>18.0</v>
      </c>
      <c r="X174" s="2">
        <v>24.0</v>
      </c>
      <c r="Y174" s="2">
        <v>26.0</v>
      </c>
      <c r="Z174" s="2">
        <v>28.0</v>
      </c>
      <c r="AA174" s="2">
        <v>28.0</v>
      </c>
      <c r="AB174" s="2">
        <f t="shared" si="5"/>
        <v>9.15</v>
      </c>
      <c r="AC174" s="2">
        <v>30.0</v>
      </c>
      <c r="AD174" s="2">
        <v>290.0</v>
      </c>
      <c r="AF174" s="3">
        <f t="shared" si="6"/>
        <v>8</v>
      </c>
      <c r="AG174" s="4">
        <f t="shared" si="7"/>
        <v>75.98333333</v>
      </c>
      <c r="AH174" s="2" t="s">
        <v>2</v>
      </c>
    </row>
    <row r="175">
      <c r="A175" s="1" t="s">
        <v>274</v>
      </c>
      <c r="B175" s="1" t="s">
        <v>275</v>
      </c>
      <c r="C175" s="2" t="s">
        <v>276</v>
      </c>
      <c r="D175" s="2">
        <f>VLOOKUP(B175,'DSAI-Vikrant'!$B$2:$F$44,5)</f>
        <v>42</v>
      </c>
      <c r="E175" s="2">
        <v>40.0</v>
      </c>
      <c r="F175" s="2">
        <f t="shared" si="1"/>
        <v>41</v>
      </c>
      <c r="G175" s="2">
        <v>8.5</v>
      </c>
      <c r="H175" s="2">
        <v>16.5</v>
      </c>
      <c r="I175" s="2">
        <v>29.0</v>
      </c>
      <c r="J175" s="3">
        <f t="shared" si="2"/>
        <v>9.472222222</v>
      </c>
      <c r="K175" s="2">
        <v>100.0</v>
      </c>
      <c r="L175" s="2">
        <v>200.0</v>
      </c>
      <c r="N175" s="3">
        <f t="shared" si="3"/>
        <v>200</v>
      </c>
      <c r="O175" s="2">
        <v>90.0</v>
      </c>
      <c r="P175" s="2">
        <f t="shared" si="4"/>
        <v>14.5</v>
      </c>
      <c r="R175" s="2">
        <v>8.0</v>
      </c>
      <c r="S175" s="2">
        <v>12.0</v>
      </c>
      <c r="T175" s="2">
        <v>7.0</v>
      </c>
      <c r="U175" s="2">
        <v>15.0</v>
      </c>
      <c r="V175" s="2">
        <v>14.0</v>
      </c>
      <c r="W175" s="2">
        <v>20.0</v>
      </c>
      <c r="X175" s="2">
        <v>30.0</v>
      </c>
      <c r="Y175" s="2">
        <v>29.0</v>
      </c>
      <c r="Z175" s="2">
        <v>27.0</v>
      </c>
      <c r="AA175" s="2">
        <v>29.0</v>
      </c>
      <c r="AB175" s="2">
        <f t="shared" si="5"/>
        <v>9.55</v>
      </c>
      <c r="AC175" s="2">
        <v>20.0</v>
      </c>
      <c r="AD175" s="2">
        <v>45.0</v>
      </c>
      <c r="AF175" s="3">
        <f t="shared" si="6"/>
        <v>1.625</v>
      </c>
      <c r="AG175" s="4">
        <f t="shared" si="7"/>
        <v>76.14722222</v>
      </c>
      <c r="AH175" s="2" t="s">
        <v>2</v>
      </c>
    </row>
    <row r="176">
      <c r="A176" s="1" t="s">
        <v>862</v>
      </c>
      <c r="B176" s="1" t="s">
        <v>863</v>
      </c>
      <c r="C176" s="2" t="s">
        <v>864</v>
      </c>
      <c r="D176" s="2">
        <f>VLOOKUP(B176,'MM-Subhashree'!$B$2:F$26,5)</f>
        <v>34</v>
      </c>
      <c r="E176" s="2">
        <v>28.0</v>
      </c>
      <c r="F176" s="2">
        <f t="shared" si="1"/>
        <v>31</v>
      </c>
      <c r="G176" s="2">
        <v>11.0</v>
      </c>
      <c r="H176" s="2">
        <v>15.0</v>
      </c>
      <c r="I176" s="2">
        <v>38.0</v>
      </c>
      <c r="J176" s="3">
        <f t="shared" si="2"/>
        <v>10.72222222</v>
      </c>
      <c r="K176" s="2">
        <v>96.0</v>
      </c>
      <c r="L176" s="2">
        <v>160.0</v>
      </c>
      <c r="M176" s="2">
        <v>190.0</v>
      </c>
      <c r="N176" s="3">
        <f t="shared" si="3"/>
        <v>190</v>
      </c>
      <c r="O176" s="2">
        <v>99.0</v>
      </c>
      <c r="P176" s="2">
        <f t="shared" si="4"/>
        <v>14.5</v>
      </c>
      <c r="Q176" s="2">
        <v>7.0</v>
      </c>
      <c r="R176" s="2">
        <v>9.0</v>
      </c>
      <c r="S176" s="2">
        <v>9.0</v>
      </c>
      <c r="T176" s="2">
        <v>14.0</v>
      </c>
      <c r="U176" s="2">
        <v>15.0</v>
      </c>
      <c r="V176" s="2">
        <v>13.0</v>
      </c>
      <c r="W176" s="2">
        <v>19.0</v>
      </c>
      <c r="X176" s="2">
        <v>27.5</v>
      </c>
      <c r="Y176" s="2">
        <v>27.0</v>
      </c>
      <c r="Z176" s="2">
        <v>30.0</v>
      </c>
      <c r="AA176" s="2">
        <v>30.0</v>
      </c>
      <c r="AB176" s="2">
        <f t="shared" si="5"/>
        <v>10.025</v>
      </c>
      <c r="AC176" s="2">
        <v>49.0</v>
      </c>
      <c r="AD176" s="2">
        <v>350.0</v>
      </c>
      <c r="AF176" s="3">
        <f t="shared" si="6"/>
        <v>9.975</v>
      </c>
      <c r="AG176" s="4">
        <f t="shared" si="7"/>
        <v>76.22222222</v>
      </c>
      <c r="AH176" s="2" t="s">
        <v>2</v>
      </c>
    </row>
    <row r="177">
      <c r="A177" s="1" t="s">
        <v>167</v>
      </c>
      <c r="B177" s="1" t="s">
        <v>168</v>
      </c>
      <c r="C177" s="2" t="s">
        <v>169</v>
      </c>
      <c r="D177" s="2">
        <f>VLOOKUP(B177, 'CSE-Sandeep'!$B$2:$G$61,5)</f>
        <v>46</v>
      </c>
      <c r="E177" s="2">
        <v>30.0</v>
      </c>
      <c r="F177" s="2">
        <f t="shared" si="1"/>
        <v>38</v>
      </c>
      <c r="G177" s="2">
        <v>10.5</v>
      </c>
      <c r="H177" s="2">
        <v>9.0</v>
      </c>
      <c r="I177" s="2">
        <v>20.0</v>
      </c>
      <c r="J177" s="3">
        <f t="shared" si="2"/>
        <v>7.097222222</v>
      </c>
      <c r="K177" s="2">
        <v>100.0</v>
      </c>
      <c r="L177" s="2">
        <v>179.0</v>
      </c>
      <c r="N177" s="3">
        <f t="shared" si="3"/>
        <v>179</v>
      </c>
      <c r="O177" s="2">
        <v>94.0</v>
      </c>
      <c r="P177" s="2">
        <f t="shared" si="4"/>
        <v>14.175</v>
      </c>
      <c r="Q177" s="2">
        <v>7.0</v>
      </c>
      <c r="R177" s="2">
        <v>6.0</v>
      </c>
      <c r="T177" s="2">
        <v>9.0</v>
      </c>
      <c r="U177" s="2">
        <v>11.0</v>
      </c>
      <c r="V177" s="2">
        <v>15.0</v>
      </c>
      <c r="W177" s="2">
        <v>20.0</v>
      </c>
      <c r="X177" s="2">
        <v>26.0</v>
      </c>
      <c r="Y177" s="2">
        <v>28.0</v>
      </c>
      <c r="Z177" s="2">
        <v>28.0</v>
      </c>
      <c r="AA177" s="2">
        <v>29.0</v>
      </c>
      <c r="AB177" s="2">
        <f t="shared" si="5"/>
        <v>8.95</v>
      </c>
      <c r="AC177" s="2">
        <v>10.0</v>
      </c>
      <c r="AD177" s="2">
        <v>310.0</v>
      </c>
      <c r="AF177" s="3">
        <f t="shared" si="6"/>
        <v>8</v>
      </c>
      <c r="AG177" s="4">
        <f t="shared" si="7"/>
        <v>76.22222222</v>
      </c>
      <c r="AH177" s="2" t="s">
        <v>2</v>
      </c>
    </row>
    <row r="178">
      <c r="A178" s="1" t="s">
        <v>545</v>
      </c>
      <c r="B178" s="1" t="s">
        <v>546</v>
      </c>
      <c r="C178" s="2" t="s">
        <v>547</v>
      </c>
      <c r="D178" s="2">
        <f>VLOOKUP(B178, 'EE-Nitin'!$B$2:$F$57,5)</f>
        <v>42</v>
      </c>
      <c r="E178" s="2">
        <v>20.0</v>
      </c>
      <c r="F178" s="2">
        <f t="shared" si="1"/>
        <v>31</v>
      </c>
      <c r="G178" s="2">
        <v>11.0</v>
      </c>
      <c r="H178" s="2">
        <v>14.5</v>
      </c>
      <c r="I178" s="2">
        <v>37.0</v>
      </c>
      <c r="J178" s="3">
        <f t="shared" si="2"/>
        <v>10.48611111</v>
      </c>
      <c r="K178" s="2">
        <v>98.0</v>
      </c>
      <c r="L178" s="2">
        <v>200.0</v>
      </c>
      <c r="N178" s="3">
        <f t="shared" si="3"/>
        <v>200</v>
      </c>
      <c r="O178" s="2">
        <v>98.0</v>
      </c>
      <c r="P178" s="2">
        <f t="shared" si="4"/>
        <v>14.8</v>
      </c>
      <c r="Q178" s="2">
        <v>7.0</v>
      </c>
      <c r="R178" s="2">
        <v>5.0</v>
      </c>
      <c r="S178" s="2">
        <v>11.0</v>
      </c>
      <c r="T178" s="2">
        <v>10.0</v>
      </c>
      <c r="U178" s="2">
        <v>14.5</v>
      </c>
      <c r="V178" s="2">
        <v>14.5</v>
      </c>
      <c r="W178" s="2">
        <v>20.0</v>
      </c>
      <c r="X178" s="2">
        <v>30.0</v>
      </c>
      <c r="Y178" s="2">
        <v>29.0</v>
      </c>
      <c r="Z178" s="2">
        <v>30.0</v>
      </c>
      <c r="AA178" s="2">
        <v>30.0</v>
      </c>
      <c r="AB178" s="2">
        <f t="shared" si="5"/>
        <v>10.05</v>
      </c>
      <c r="AC178" s="2">
        <v>50.0</v>
      </c>
      <c r="AD178" s="2">
        <v>346.0</v>
      </c>
      <c r="AF178" s="3">
        <f t="shared" si="6"/>
        <v>9.9</v>
      </c>
      <c r="AG178" s="4">
        <f t="shared" si="7"/>
        <v>76.23611111</v>
      </c>
      <c r="AH178" s="2" t="s">
        <v>2</v>
      </c>
    </row>
    <row r="179">
      <c r="A179" s="1" t="s">
        <v>569</v>
      </c>
      <c r="B179" s="1" t="s">
        <v>570</v>
      </c>
      <c r="C179" s="2" t="s">
        <v>571</v>
      </c>
      <c r="D179" s="2">
        <f>VLOOKUP(B179, 'EE-Nitin'!$B$2:$F$57,5)</f>
        <v>44</v>
      </c>
      <c r="E179" s="2">
        <v>22.0</v>
      </c>
      <c r="F179" s="2">
        <f t="shared" si="1"/>
        <v>33</v>
      </c>
      <c r="G179" s="2">
        <v>6.0</v>
      </c>
      <c r="H179" s="2">
        <v>13.0</v>
      </c>
      <c r="I179" s="2">
        <v>40.0</v>
      </c>
      <c r="J179" s="3">
        <f t="shared" si="2"/>
        <v>9.194444444</v>
      </c>
      <c r="K179" s="2">
        <v>96.0</v>
      </c>
      <c r="L179" s="2">
        <v>195.0</v>
      </c>
      <c r="N179" s="3">
        <f t="shared" si="3"/>
        <v>195</v>
      </c>
      <c r="O179" s="2">
        <v>98.0</v>
      </c>
      <c r="P179" s="2">
        <f t="shared" si="4"/>
        <v>14.575</v>
      </c>
      <c r="Q179" s="2">
        <v>7.0</v>
      </c>
      <c r="R179" s="2">
        <v>5.0</v>
      </c>
      <c r="S179" s="2">
        <v>7.0</v>
      </c>
      <c r="T179" s="2">
        <v>9.0</v>
      </c>
      <c r="U179" s="2">
        <v>15.0</v>
      </c>
      <c r="V179" s="2">
        <v>14.0</v>
      </c>
      <c r="W179" s="2">
        <v>19.5</v>
      </c>
      <c r="X179" s="2">
        <v>30.0</v>
      </c>
      <c r="Y179" s="2">
        <v>25.0</v>
      </c>
      <c r="Z179" s="2">
        <v>30.0</v>
      </c>
      <c r="AA179" s="2">
        <v>30.0</v>
      </c>
      <c r="AB179" s="2">
        <f t="shared" si="5"/>
        <v>9.575</v>
      </c>
      <c r="AC179" s="2">
        <v>50.0</v>
      </c>
      <c r="AD179" s="2">
        <v>348.0</v>
      </c>
      <c r="AF179" s="3">
        <f t="shared" si="6"/>
        <v>9.95</v>
      </c>
      <c r="AG179" s="4">
        <f t="shared" si="7"/>
        <v>76.29444444</v>
      </c>
      <c r="AH179" s="2" t="s">
        <v>2</v>
      </c>
    </row>
    <row r="180">
      <c r="A180" s="1" t="s">
        <v>0</v>
      </c>
      <c r="B180" s="1" t="s">
        <v>1</v>
      </c>
      <c r="C180" s="2" t="s">
        <v>3</v>
      </c>
      <c r="D180" s="2">
        <v>36.5</v>
      </c>
      <c r="E180" s="2">
        <v>29.0</v>
      </c>
      <c r="F180" s="2">
        <f t="shared" si="1"/>
        <v>32.75</v>
      </c>
      <c r="G180" s="2">
        <v>15.0</v>
      </c>
      <c r="H180" s="2">
        <v>18.0</v>
      </c>
      <c r="I180" s="2">
        <v>18.0</v>
      </c>
      <c r="J180" s="3">
        <f t="shared" si="2"/>
        <v>10.25</v>
      </c>
      <c r="K180" s="2">
        <v>80.0</v>
      </c>
      <c r="L180" s="2">
        <v>198.0</v>
      </c>
      <c r="M180" s="2">
        <v>190.0</v>
      </c>
      <c r="N180" s="3">
        <f t="shared" si="3"/>
        <v>198</v>
      </c>
      <c r="O180" s="2">
        <v>95.0</v>
      </c>
      <c r="P180" s="2">
        <f t="shared" si="4"/>
        <v>13.7</v>
      </c>
      <c r="Q180" s="2">
        <v>7.0</v>
      </c>
      <c r="R180" s="2">
        <v>9.0</v>
      </c>
      <c r="S180" s="2">
        <v>7.0</v>
      </c>
      <c r="T180" s="2">
        <v>12.0</v>
      </c>
      <c r="U180" s="2">
        <v>15.0</v>
      </c>
      <c r="V180" s="2">
        <v>14.0</v>
      </c>
      <c r="W180" s="2">
        <v>20.0</v>
      </c>
      <c r="X180" s="2">
        <v>29.0</v>
      </c>
      <c r="Y180" s="2">
        <v>29.0</v>
      </c>
      <c r="Z180" s="2">
        <v>30.0</v>
      </c>
      <c r="AA180" s="2">
        <v>30.0</v>
      </c>
      <c r="AB180" s="2">
        <f t="shared" si="5"/>
        <v>10.1</v>
      </c>
      <c r="AC180" s="2">
        <v>50.0</v>
      </c>
      <c r="AD180" s="2">
        <v>330.0</v>
      </c>
      <c r="AF180" s="3">
        <f t="shared" si="6"/>
        <v>9.5</v>
      </c>
      <c r="AG180" s="4">
        <f t="shared" si="7"/>
        <v>76.3</v>
      </c>
      <c r="AH180" s="2" t="s">
        <v>2</v>
      </c>
    </row>
    <row r="181">
      <c r="A181" s="1" t="s">
        <v>889</v>
      </c>
      <c r="B181" s="1" t="s">
        <v>890</v>
      </c>
      <c r="C181" s="2" t="s">
        <v>891</v>
      </c>
      <c r="D181" s="2">
        <f>VLOOKUP(B181,MT!$B$2:$F$30,5)</f>
        <v>49</v>
      </c>
      <c r="E181" s="2">
        <v>31.0</v>
      </c>
      <c r="F181" s="2">
        <f t="shared" si="1"/>
        <v>40</v>
      </c>
      <c r="G181" s="2">
        <v>10.0</v>
      </c>
      <c r="H181" s="2">
        <v>5.0</v>
      </c>
      <c r="I181" s="2">
        <v>22.0</v>
      </c>
      <c r="J181" s="3">
        <f t="shared" si="2"/>
        <v>6.194444444</v>
      </c>
      <c r="K181" s="2">
        <v>80.0</v>
      </c>
      <c r="L181" s="2">
        <v>175.0</v>
      </c>
      <c r="N181" s="3">
        <f t="shared" si="3"/>
        <v>175</v>
      </c>
      <c r="O181" s="2">
        <v>100.0</v>
      </c>
      <c r="P181" s="2">
        <f t="shared" si="4"/>
        <v>13.375</v>
      </c>
      <c r="R181" s="2">
        <v>0.0</v>
      </c>
      <c r="S181" s="2">
        <v>9.5</v>
      </c>
      <c r="T181" s="2">
        <v>11.5</v>
      </c>
      <c r="U181" s="2">
        <v>0.0</v>
      </c>
      <c r="W181" s="2">
        <v>18.0</v>
      </c>
      <c r="X181" s="2">
        <v>27.0</v>
      </c>
      <c r="Y181" s="2">
        <v>25.0</v>
      </c>
      <c r="Z181" s="2">
        <v>30.0</v>
      </c>
      <c r="AA181" s="2">
        <v>29.0</v>
      </c>
      <c r="AB181" s="2">
        <f t="shared" si="5"/>
        <v>7.5</v>
      </c>
      <c r="AC181" s="2">
        <v>45.0</v>
      </c>
      <c r="AD181" s="2">
        <v>330.0</v>
      </c>
      <c r="AF181" s="3">
        <f t="shared" si="6"/>
        <v>9.375</v>
      </c>
      <c r="AG181" s="4">
        <f t="shared" si="7"/>
        <v>76.44444444</v>
      </c>
      <c r="AH181" s="2" t="s">
        <v>2</v>
      </c>
    </row>
    <row r="182">
      <c r="A182" s="1" t="s">
        <v>23</v>
      </c>
      <c r="B182" s="1" t="s">
        <v>24</v>
      </c>
      <c r="C182" s="2" t="s">
        <v>26</v>
      </c>
      <c r="D182" s="2">
        <f>VLOOKUP(B182, 'CSE-Sandeep'!$B$2:$G$61,5)</f>
        <v>37</v>
      </c>
      <c r="E182" s="2">
        <v>33.0</v>
      </c>
      <c r="F182" s="2">
        <f t="shared" si="1"/>
        <v>35</v>
      </c>
      <c r="G182" s="2">
        <v>11.0</v>
      </c>
      <c r="H182" s="2">
        <v>11.0</v>
      </c>
      <c r="I182" s="2">
        <v>32.0</v>
      </c>
      <c r="J182" s="3">
        <f t="shared" si="2"/>
        <v>9.055555556</v>
      </c>
      <c r="K182" s="2">
        <v>100.0</v>
      </c>
      <c r="L182" s="2">
        <v>200.0</v>
      </c>
      <c r="N182" s="3">
        <f t="shared" si="3"/>
        <v>200</v>
      </c>
      <c r="O182" s="2">
        <v>85.0</v>
      </c>
      <c r="P182" s="2">
        <f t="shared" si="4"/>
        <v>14.25</v>
      </c>
      <c r="Q182" s="2">
        <v>6.0</v>
      </c>
      <c r="R182" s="2">
        <v>8.0</v>
      </c>
      <c r="S182" s="2">
        <v>15.0</v>
      </c>
      <c r="T182" s="2">
        <v>10.0</v>
      </c>
      <c r="U182" s="2">
        <v>11.0</v>
      </c>
      <c r="V182" s="2">
        <v>14.0</v>
      </c>
      <c r="W182" s="2">
        <v>20.0</v>
      </c>
      <c r="X182" s="2">
        <v>30.0</v>
      </c>
      <c r="Y182" s="2">
        <v>30.0</v>
      </c>
      <c r="Z182" s="2">
        <v>30.0</v>
      </c>
      <c r="AB182" s="2">
        <f t="shared" si="5"/>
        <v>8.7</v>
      </c>
      <c r="AC182" s="2">
        <v>50.0</v>
      </c>
      <c r="AD182" s="2">
        <v>340.0</v>
      </c>
      <c r="AF182" s="3">
        <f t="shared" si="6"/>
        <v>9.75</v>
      </c>
      <c r="AG182" s="4">
        <f t="shared" si="7"/>
        <v>76.75555556</v>
      </c>
      <c r="AH182" s="2" t="s">
        <v>2</v>
      </c>
    </row>
    <row r="183">
      <c r="A183" s="1" t="s">
        <v>152</v>
      </c>
      <c r="B183" s="1" t="s">
        <v>153</v>
      </c>
      <c r="C183" s="2" t="s">
        <v>154</v>
      </c>
      <c r="D183" s="2">
        <f>VLOOKUP(B183, 'CSE-Sandeep'!$B$2:$G$61,5)</f>
        <v>46</v>
      </c>
      <c r="E183" s="2">
        <v>27.0</v>
      </c>
      <c r="F183" s="2">
        <f t="shared" si="1"/>
        <v>36.5</v>
      </c>
      <c r="G183" s="2">
        <v>7.0</v>
      </c>
      <c r="H183" s="2">
        <v>14.0</v>
      </c>
      <c r="I183" s="2">
        <v>31.5</v>
      </c>
      <c r="J183" s="3">
        <f t="shared" si="2"/>
        <v>8.75</v>
      </c>
      <c r="K183" s="2">
        <v>100.0</v>
      </c>
      <c r="L183" s="2">
        <v>180.0</v>
      </c>
      <c r="N183" s="3">
        <f t="shared" si="3"/>
        <v>180</v>
      </c>
      <c r="O183" s="2">
        <v>90.0</v>
      </c>
      <c r="P183" s="2">
        <f t="shared" si="4"/>
        <v>14</v>
      </c>
      <c r="Q183" s="2">
        <v>6.0</v>
      </c>
      <c r="R183" s="2">
        <v>7.0</v>
      </c>
      <c r="T183" s="2">
        <v>10.0</v>
      </c>
      <c r="U183" s="2">
        <v>15.0</v>
      </c>
      <c r="V183" s="2">
        <v>14.0</v>
      </c>
      <c r="W183" s="2">
        <v>20.0</v>
      </c>
      <c r="X183" s="2">
        <v>26.0</v>
      </c>
      <c r="Y183" s="2">
        <v>25.0</v>
      </c>
      <c r="Z183" s="2">
        <v>29.0</v>
      </c>
      <c r="AA183" s="2">
        <v>28.0</v>
      </c>
      <c r="AB183" s="2">
        <f t="shared" si="5"/>
        <v>9</v>
      </c>
      <c r="AC183" s="2">
        <v>40.0</v>
      </c>
      <c r="AD183" s="2">
        <v>310.0</v>
      </c>
      <c r="AF183" s="3">
        <f t="shared" si="6"/>
        <v>8.75</v>
      </c>
      <c r="AG183" s="4">
        <f t="shared" si="7"/>
        <v>77</v>
      </c>
      <c r="AH183" s="2" t="s">
        <v>2</v>
      </c>
    </row>
    <row r="184">
      <c r="A184" s="1" t="s">
        <v>4</v>
      </c>
      <c r="B184" s="1" t="s">
        <v>5</v>
      </c>
      <c r="C184" s="2" t="s">
        <v>7</v>
      </c>
      <c r="D184" s="2">
        <v>44.0</v>
      </c>
      <c r="E184" s="2">
        <v>30.0</v>
      </c>
      <c r="F184" s="2">
        <f t="shared" si="1"/>
        <v>37</v>
      </c>
      <c r="G184" s="2">
        <v>15.0</v>
      </c>
      <c r="H184" s="2">
        <v>17.0</v>
      </c>
      <c r="I184" s="2">
        <v>24.0</v>
      </c>
      <c r="J184" s="3">
        <f t="shared" si="2"/>
        <v>10.66666667</v>
      </c>
      <c r="K184" s="2">
        <v>90.0</v>
      </c>
      <c r="L184" s="2">
        <v>190.0</v>
      </c>
      <c r="M184" s="2">
        <v>200.0</v>
      </c>
      <c r="N184" s="3">
        <f t="shared" si="3"/>
        <v>200</v>
      </c>
      <c r="O184" s="2">
        <v>95.0</v>
      </c>
      <c r="P184" s="2">
        <f t="shared" si="4"/>
        <v>14.25</v>
      </c>
      <c r="Q184" s="2">
        <v>7.0</v>
      </c>
      <c r="R184" s="2">
        <v>6.0</v>
      </c>
      <c r="S184" s="2">
        <v>8.0</v>
      </c>
      <c r="T184" s="2">
        <v>12.0</v>
      </c>
      <c r="U184" s="2">
        <v>15.0</v>
      </c>
      <c r="V184" s="2">
        <v>15.0</v>
      </c>
      <c r="W184" s="2">
        <v>20.0</v>
      </c>
      <c r="Z184" s="2">
        <v>30.0</v>
      </c>
      <c r="AB184" s="2">
        <f t="shared" si="5"/>
        <v>5.65</v>
      </c>
      <c r="AC184" s="2">
        <v>50.0</v>
      </c>
      <c r="AD184" s="2">
        <v>330.0</v>
      </c>
      <c r="AF184" s="3">
        <f t="shared" si="6"/>
        <v>9.5</v>
      </c>
      <c r="AG184" s="4">
        <f t="shared" si="7"/>
        <v>77.06666667</v>
      </c>
      <c r="AH184" s="2" t="s">
        <v>2</v>
      </c>
    </row>
    <row r="185">
      <c r="A185" s="1" t="s">
        <v>713</v>
      </c>
      <c r="B185" s="1" t="s">
        <v>714</v>
      </c>
      <c r="C185" s="2" t="s">
        <v>715</v>
      </c>
      <c r="D185" s="2">
        <f>VLOOKUP(B185, 'ME-Subhashree'!$B$2:$F$56,5)</f>
        <v>35</v>
      </c>
      <c r="E185" s="2">
        <v>30.0</v>
      </c>
      <c r="F185" s="2">
        <f t="shared" si="1"/>
        <v>32.5</v>
      </c>
      <c r="G185" s="2">
        <v>9.0</v>
      </c>
      <c r="H185" s="2">
        <v>17.0</v>
      </c>
      <c r="I185" s="2">
        <v>45.0</v>
      </c>
      <c r="J185" s="3">
        <f t="shared" si="2"/>
        <v>11.5</v>
      </c>
      <c r="K185" s="2">
        <v>100.0</v>
      </c>
      <c r="L185" s="2">
        <v>150.0</v>
      </c>
      <c r="N185" s="3">
        <f t="shared" si="3"/>
        <v>150</v>
      </c>
      <c r="O185" s="2">
        <v>100.0</v>
      </c>
      <c r="P185" s="2">
        <f t="shared" si="4"/>
        <v>13.75</v>
      </c>
      <c r="Q185" s="2">
        <v>7.0</v>
      </c>
      <c r="R185" s="2">
        <v>5.0</v>
      </c>
      <c r="S185" s="2">
        <v>13.0</v>
      </c>
      <c r="T185" s="2">
        <v>10.0</v>
      </c>
      <c r="U185" s="2">
        <v>15.0</v>
      </c>
      <c r="V185" s="2">
        <v>15.0</v>
      </c>
      <c r="W185" s="2">
        <v>20.0</v>
      </c>
      <c r="X185" s="2">
        <v>30.0</v>
      </c>
      <c r="Y185" s="2">
        <v>30.0</v>
      </c>
      <c r="Z185" s="2">
        <v>29.0</v>
      </c>
      <c r="AA185" s="2">
        <v>28.0</v>
      </c>
      <c r="AB185" s="2">
        <f t="shared" si="5"/>
        <v>10.1</v>
      </c>
      <c r="AC185" s="2">
        <v>30.0</v>
      </c>
      <c r="AD185" s="2">
        <v>340.0</v>
      </c>
      <c r="AF185" s="3">
        <f t="shared" si="6"/>
        <v>9.25</v>
      </c>
      <c r="AG185" s="4">
        <f t="shared" si="7"/>
        <v>77.1</v>
      </c>
      <c r="AH185" s="2" t="s">
        <v>2</v>
      </c>
    </row>
    <row r="186">
      <c r="A186" s="1" t="s">
        <v>590</v>
      </c>
      <c r="B186" s="1" t="s">
        <v>591</v>
      </c>
      <c r="C186" s="2" t="s">
        <v>592</v>
      </c>
      <c r="D186" s="2">
        <f>VLOOKUP(B186, 'EE-Nitin'!$B$2:$F$57,5)</f>
        <v>44</v>
      </c>
      <c r="E186" s="2">
        <v>27.0</v>
      </c>
      <c r="F186" s="2">
        <f t="shared" si="1"/>
        <v>35.5</v>
      </c>
      <c r="G186" s="2">
        <v>6.0</v>
      </c>
      <c r="H186" s="2">
        <v>12.5</v>
      </c>
      <c r="I186" s="2">
        <v>32.0</v>
      </c>
      <c r="J186" s="3">
        <f t="shared" si="2"/>
        <v>8.180555556</v>
      </c>
      <c r="K186" s="2">
        <v>95.0</v>
      </c>
      <c r="L186" s="2">
        <v>200.0</v>
      </c>
      <c r="N186" s="3">
        <f t="shared" si="3"/>
        <v>200</v>
      </c>
      <c r="O186" s="2">
        <v>100.0</v>
      </c>
      <c r="P186" s="2">
        <f t="shared" si="4"/>
        <v>14.75</v>
      </c>
      <c r="Q186" s="2">
        <v>7.0</v>
      </c>
      <c r="R186" s="2">
        <v>7.0</v>
      </c>
      <c r="S186" s="2">
        <v>13.0</v>
      </c>
      <c r="T186" s="2">
        <v>13.0</v>
      </c>
      <c r="U186" s="2">
        <v>15.0</v>
      </c>
      <c r="V186" s="2">
        <v>15.0</v>
      </c>
      <c r="W186" s="2">
        <v>10.0</v>
      </c>
      <c r="X186" s="2">
        <v>29.0</v>
      </c>
      <c r="Y186" s="2">
        <v>29.0</v>
      </c>
      <c r="Z186" s="2">
        <v>29.0</v>
      </c>
      <c r="AA186" s="2">
        <v>27.0</v>
      </c>
      <c r="AB186" s="2">
        <f t="shared" si="5"/>
        <v>9.7</v>
      </c>
      <c r="AC186" s="2">
        <v>40.0</v>
      </c>
      <c r="AD186" s="2">
        <v>320.0</v>
      </c>
      <c r="AF186" s="3">
        <f t="shared" si="6"/>
        <v>9</v>
      </c>
      <c r="AG186" s="4">
        <f t="shared" si="7"/>
        <v>77.13055556</v>
      </c>
      <c r="AH186" s="2" t="s">
        <v>2</v>
      </c>
    </row>
    <row r="187">
      <c r="A187" s="1" t="s">
        <v>752</v>
      </c>
      <c r="B187" s="1" t="s">
        <v>753</v>
      </c>
      <c r="C187" s="2" t="s">
        <v>754</v>
      </c>
      <c r="D187" s="2">
        <f>VLOOKUP(B187, 'ME-Subhashree'!$B$2:$F$56,5)</f>
        <v>40</v>
      </c>
      <c r="E187" s="2">
        <v>30.0</v>
      </c>
      <c r="F187" s="2">
        <f t="shared" si="1"/>
        <v>35</v>
      </c>
      <c r="G187" s="2">
        <v>8.0</v>
      </c>
      <c r="H187" s="2">
        <v>11.5</v>
      </c>
      <c r="I187" s="2">
        <v>33.0</v>
      </c>
      <c r="J187" s="3">
        <f t="shared" si="2"/>
        <v>8.541666667</v>
      </c>
      <c r="K187" s="2">
        <v>100.0</v>
      </c>
      <c r="L187" s="2">
        <v>180.0</v>
      </c>
      <c r="N187" s="3">
        <f t="shared" si="3"/>
        <v>180</v>
      </c>
      <c r="O187" s="2">
        <v>94.0</v>
      </c>
      <c r="P187" s="2">
        <f t="shared" si="4"/>
        <v>14.2</v>
      </c>
      <c r="Q187" s="2">
        <v>6.0</v>
      </c>
      <c r="R187" s="2">
        <v>5.0</v>
      </c>
      <c r="S187" s="2">
        <v>12.0</v>
      </c>
      <c r="T187" s="2">
        <v>15.0</v>
      </c>
      <c r="U187" s="2">
        <v>13.0</v>
      </c>
      <c r="V187" s="2">
        <v>14.0</v>
      </c>
      <c r="W187" s="2">
        <v>20.0</v>
      </c>
      <c r="X187" s="2">
        <v>29.69</v>
      </c>
      <c r="Y187" s="2">
        <v>27.89</v>
      </c>
      <c r="Z187" s="2">
        <v>29.0</v>
      </c>
      <c r="AA187" s="2">
        <v>30.0</v>
      </c>
      <c r="AB187" s="2">
        <f t="shared" si="5"/>
        <v>10.079</v>
      </c>
      <c r="AC187" s="2">
        <v>43.0</v>
      </c>
      <c r="AD187" s="2">
        <v>330.0</v>
      </c>
      <c r="AF187" s="3">
        <f t="shared" si="6"/>
        <v>9.325</v>
      </c>
      <c r="AG187" s="4">
        <f t="shared" si="7"/>
        <v>77.14566667</v>
      </c>
      <c r="AH187" s="2" t="s">
        <v>2</v>
      </c>
    </row>
    <row r="188">
      <c r="A188" s="1" t="s">
        <v>1028</v>
      </c>
      <c r="B188" s="1" t="s">
        <v>1029</v>
      </c>
      <c r="C188" s="2" t="s">
        <v>1030</v>
      </c>
      <c r="D188" s="2">
        <v>46.0</v>
      </c>
      <c r="E188" s="2">
        <v>28.0</v>
      </c>
      <c r="F188" s="2">
        <f t="shared" si="1"/>
        <v>37</v>
      </c>
      <c r="G188" s="2">
        <v>17.0</v>
      </c>
      <c r="H188" s="2">
        <v>14.0</v>
      </c>
      <c r="I188" s="2">
        <v>31.0</v>
      </c>
      <c r="J188" s="3">
        <f t="shared" si="2"/>
        <v>11.19444444</v>
      </c>
      <c r="K188" s="2">
        <v>95.0</v>
      </c>
      <c r="L188" s="2">
        <v>176.0</v>
      </c>
      <c r="N188" s="3">
        <f t="shared" si="3"/>
        <v>176</v>
      </c>
      <c r="O188" s="2">
        <v>94.0</v>
      </c>
      <c r="P188" s="2">
        <f t="shared" si="4"/>
        <v>13.85</v>
      </c>
      <c r="R188" s="2">
        <v>4.0</v>
      </c>
      <c r="S188" s="2">
        <v>9.0</v>
      </c>
      <c r="T188" s="2">
        <v>12.0</v>
      </c>
      <c r="W188" s="2">
        <v>17.0</v>
      </c>
      <c r="X188" s="2">
        <v>30.0</v>
      </c>
      <c r="Y188" s="2">
        <v>24.0</v>
      </c>
      <c r="Z188" s="2">
        <v>28.0</v>
      </c>
      <c r="AB188" s="2">
        <f t="shared" si="5"/>
        <v>6.2</v>
      </c>
      <c r="AC188" s="2">
        <v>50.0</v>
      </c>
      <c r="AD188" s="2">
        <v>310.0</v>
      </c>
      <c r="AF188" s="3">
        <f t="shared" si="6"/>
        <v>9</v>
      </c>
      <c r="AG188" s="4">
        <f t="shared" si="7"/>
        <v>77.24444444</v>
      </c>
      <c r="AH188" s="2" t="s">
        <v>2</v>
      </c>
    </row>
    <row r="189">
      <c r="A189" s="1" t="s">
        <v>441</v>
      </c>
      <c r="B189" s="1" t="s">
        <v>442</v>
      </c>
      <c r="C189" s="2" t="s">
        <v>443</v>
      </c>
      <c r="D189" s="2">
        <f>VLOOKUP(B189,'EC-Nitin'!$B$2:$F$46,5)</f>
        <v>44</v>
      </c>
      <c r="E189" s="2">
        <v>29.0</v>
      </c>
      <c r="F189" s="2">
        <f t="shared" si="1"/>
        <v>36.5</v>
      </c>
      <c r="G189" s="2">
        <v>10.0</v>
      </c>
      <c r="H189" s="2">
        <v>16.0</v>
      </c>
      <c r="I189" s="2">
        <v>43.0</v>
      </c>
      <c r="J189" s="3">
        <f t="shared" si="2"/>
        <v>11.27777778</v>
      </c>
      <c r="K189" s="2">
        <v>95.0</v>
      </c>
      <c r="L189" s="2">
        <v>200.0</v>
      </c>
      <c r="M189" s="2">
        <v>170.0</v>
      </c>
      <c r="N189" s="3">
        <f t="shared" si="3"/>
        <v>200</v>
      </c>
      <c r="O189" s="2">
        <v>9.0</v>
      </c>
      <c r="P189" s="2">
        <f t="shared" si="4"/>
        <v>10.2</v>
      </c>
      <c r="Q189" s="2">
        <v>7.0</v>
      </c>
      <c r="R189" s="2">
        <v>6.0</v>
      </c>
      <c r="S189" s="2">
        <v>9.0</v>
      </c>
      <c r="T189" s="2">
        <v>15.0</v>
      </c>
      <c r="U189" s="2">
        <v>12.0</v>
      </c>
      <c r="V189" s="2">
        <v>10.0</v>
      </c>
      <c r="W189" s="2">
        <v>17.0</v>
      </c>
      <c r="X189" s="2">
        <v>27.0</v>
      </c>
      <c r="Y189" s="2">
        <v>27.0</v>
      </c>
      <c r="Z189" s="2">
        <v>28.0</v>
      </c>
      <c r="AA189" s="2">
        <v>29.0</v>
      </c>
      <c r="AB189" s="2">
        <f t="shared" si="5"/>
        <v>9.35</v>
      </c>
      <c r="AC189" s="2">
        <v>50.0</v>
      </c>
      <c r="AD189" s="2">
        <v>347.0</v>
      </c>
      <c r="AF189" s="3">
        <f t="shared" si="6"/>
        <v>9.925</v>
      </c>
      <c r="AG189" s="4">
        <f t="shared" si="7"/>
        <v>77.25277778</v>
      </c>
      <c r="AH189" s="2" t="s">
        <v>2</v>
      </c>
    </row>
    <row r="190">
      <c r="A190" s="1" t="s">
        <v>539</v>
      </c>
      <c r="B190" s="1" t="s">
        <v>540</v>
      </c>
      <c r="C190" s="2" t="s">
        <v>541</v>
      </c>
      <c r="D190" s="2">
        <f>VLOOKUP(B190, 'EE-Nitin'!$B$2:$F$57,5)</f>
        <v>37</v>
      </c>
      <c r="E190" s="2">
        <v>29.0</v>
      </c>
      <c r="F190" s="2">
        <f t="shared" si="1"/>
        <v>33</v>
      </c>
      <c r="G190" s="2">
        <v>8.0</v>
      </c>
      <c r="H190" s="2">
        <v>17.5</v>
      </c>
      <c r="I190" s="2">
        <v>38.0</v>
      </c>
      <c r="J190" s="3">
        <f t="shared" si="2"/>
        <v>10.59722222</v>
      </c>
      <c r="K190" s="2">
        <v>94.0</v>
      </c>
      <c r="L190" s="2">
        <v>192.0</v>
      </c>
      <c r="N190" s="3">
        <f t="shared" si="3"/>
        <v>192</v>
      </c>
      <c r="O190" s="2">
        <v>100.0</v>
      </c>
      <c r="P190" s="2">
        <f t="shared" si="4"/>
        <v>14.5</v>
      </c>
      <c r="Q190" s="2">
        <v>7.0</v>
      </c>
      <c r="R190" s="2">
        <v>6.0</v>
      </c>
      <c r="S190" s="2">
        <v>11.0</v>
      </c>
      <c r="T190" s="2">
        <v>9.0</v>
      </c>
      <c r="U190" s="2">
        <v>15.0</v>
      </c>
      <c r="V190" s="2">
        <v>15.0</v>
      </c>
      <c r="W190" s="2">
        <v>19.5</v>
      </c>
      <c r="X190" s="2">
        <v>29.0</v>
      </c>
      <c r="Y190" s="2">
        <v>25.0</v>
      </c>
      <c r="Z190" s="2">
        <v>30.0</v>
      </c>
      <c r="AA190" s="2">
        <v>30.0</v>
      </c>
      <c r="AB190" s="2">
        <f t="shared" si="5"/>
        <v>9.825</v>
      </c>
      <c r="AC190" s="2">
        <v>30.0</v>
      </c>
      <c r="AD190" s="2">
        <v>348.0</v>
      </c>
      <c r="AF190" s="3">
        <f t="shared" si="6"/>
        <v>9.45</v>
      </c>
      <c r="AG190" s="4">
        <f t="shared" si="7"/>
        <v>77.37222222</v>
      </c>
      <c r="AH190" s="2" t="s">
        <v>2</v>
      </c>
    </row>
    <row r="191">
      <c r="A191" s="1" t="s">
        <v>82</v>
      </c>
      <c r="B191" s="1" t="s">
        <v>83</v>
      </c>
      <c r="C191" s="2" t="s">
        <v>84</v>
      </c>
      <c r="D191" s="2">
        <f>VLOOKUP(B191, 'CSE-Sandeep'!$B$2:$G$61,5)</f>
        <v>50</v>
      </c>
      <c r="E191" s="2">
        <v>30.0</v>
      </c>
      <c r="F191" s="2">
        <f t="shared" si="1"/>
        <v>40</v>
      </c>
      <c r="G191" s="2">
        <v>12.0</v>
      </c>
      <c r="H191" s="2">
        <v>14.5</v>
      </c>
      <c r="I191" s="2">
        <v>28.0</v>
      </c>
      <c r="J191" s="3">
        <f t="shared" si="2"/>
        <v>9.736111111</v>
      </c>
      <c r="K191" s="2">
        <v>100.0</v>
      </c>
      <c r="L191" s="2">
        <v>170.0</v>
      </c>
      <c r="M191" s="2">
        <v>195.0</v>
      </c>
      <c r="N191" s="3">
        <f t="shared" si="3"/>
        <v>195</v>
      </c>
      <c r="P191" s="2">
        <f t="shared" si="4"/>
        <v>9.875</v>
      </c>
      <c r="Q191" s="2">
        <v>7.0</v>
      </c>
      <c r="R191" s="2">
        <v>5.0</v>
      </c>
      <c r="S191" s="2">
        <v>7.5</v>
      </c>
      <c r="T191" s="2">
        <v>4.0</v>
      </c>
      <c r="U191" s="2">
        <v>10.0</v>
      </c>
      <c r="V191" s="2">
        <v>15.0</v>
      </c>
      <c r="W191" s="2">
        <v>16.0</v>
      </c>
      <c r="X191" s="2">
        <v>30.0</v>
      </c>
      <c r="Y191" s="2">
        <v>30.0</v>
      </c>
      <c r="Z191" s="2">
        <v>29.0</v>
      </c>
      <c r="AA191" s="2">
        <v>28.0</v>
      </c>
      <c r="AB191" s="2">
        <f t="shared" si="5"/>
        <v>9.075</v>
      </c>
      <c r="AC191" s="2">
        <v>50.0</v>
      </c>
      <c r="AD191" s="2">
        <v>300.0</v>
      </c>
      <c r="AF191" s="3">
        <f t="shared" si="6"/>
        <v>8.75</v>
      </c>
      <c r="AG191" s="4">
        <f t="shared" si="7"/>
        <v>77.43611111</v>
      </c>
      <c r="AH191" s="2" t="s">
        <v>2</v>
      </c>
    </row>
    <row r="192">
      <c r="A192" s="1" t="s">
        <v>497</v>
      </c>
      <c r="B192" s="1" t="s">
        <v>498</v>
      </c>
      <c r="C192" s="2" t="s">
        <v>499</v>
      </c>
      <c r="D192" s="2">
        <f>VLOOKUP(B192, 'EE-Nitin'!$B$2:$F$57,5)</f>
        <v>46</v>
      </c>
      <c r="E192" s="2">
        <v>22.0</v>
      </c>
      <c r="F192" s="2">
        <f t="shared" si="1"/>
        <v>34</v>
      </c>
      <c r="G192" s="2">
        <v>12.0</v>
      </c>
      <c r="H192" s="2">
        <v>17.0</v>
      </c>
      <c r="I192" s="2">
        <v>30.0</v>
      </c>
      <c r="J192" s="3">
        <f t="shared" si="2"/>
        <v>10.58333333</v>
      </c>
      <c r="K192" s="2">
        <v>85.0</v>
      </c>
      <c r="L192" s="2">
        <v>180.0</v>
      </c>
      <c r="N192" s="3">
        <f t="shared" si="3"/>
        <v>180</v>
      </c>
      <c r="O192" s="2">
        <v>97.0</v>
      </c>
      <c r="P192" s="2">
        <f t="shared" si="4"/>
        <v>13.6</v>
      </c>
      <c r="Q192" s="2">
        <v>6.0</v>
      </c>
      <c r="R192" s="2">
        <v>8.0</v>
      </c>
      <c r="S192" s="2">
        <v>7.0</v>
      </c>
      <c r="T192" s="2">
        <v>9.0</v>
      </c>
      <c r="U192" s="2">
        <v>13.0</v>
      </c>
      <c r="V192" s="2">
        <v>14.0</v>
      </c>
      <c r="W192" s="2">
        <v>18.0</v>
      </c>
      <c r="X192" s="2">
        <v>27.0</v>
      </c>
      <c r="Y192" s="2">
        <v>28.0</v>
      </c>
      <c r="Z192" s="2">
        <v>29.0</v>
      </c>
      <c r="AA192" s="2">
        <v>29.0</v>
      </c>
      <c r="AB192" s="2">
        <f t="shared" si="5"/>
        <v>9.4</v>
      </c>
      <c r="AC192" s="2">
        <v>50.0</v>
      </c>
      <c r="AD192" s="2">
        <v>346.0</v>
      </c>
      <c r="AF192" s="3">
        <f t="shared" si="6"/>
        <v>9.9</v>
      </c>
      <c r="AG192" s="4">
        <f t="shared" si="7"/>
        <v>77.48333333</v>
      </c>
      <c r="AH192" s="2" t="s">
        <v>2</v>
      </c>
    </row>
    <row r="193">
      <c r="A193" s="1" t="s">
        <v>73</v>
      </c>
      <c r="B193" s="1" t="s">
        <v>74</v>
      </c>
      <c r="C193" s="2" t="s">
        <v>75</v>
      </c>
      <c r="D193" s="2">
        <f>VLOOKUP(B193, 'CSE-Sandeep'!$B$2:$G$61,5)</f>
        <v>37</v>
      </c>
      <c r="E193" s="2">
        <v>28.0</v>
      </c>
      <c r="F193" s="2">
        <f t="shared" si="1"/>
        <v>32.5</v>
      </c>
      <c r="G193" s="2">
        <v>14.0</v>
      </c>
      <c r="H193" s="2">
        <v>14.0</v>
      </c>
      <c r="I193" s="2">
        <v>40.0</v>
      </c>
      <c r="J193" s="3">
        <f t="shared" si="2"/>
        <v>11.44444444</v>
      </c>
      <c r="K193" s="2">
        <v>95.0</v>
      </c>
      <c r="L193" s="2">
        <v>190.0</v>
      </c>
      <c r="N193" s="3">
        <f t="shared" si="3"/>
        <v>190</v>
      </c>
      <c r="O193" s="2">
        <v>100.0</v>
      </c>
      <c r="P193" s="2">
        <f t="shared" si="4"/>
        <v>14.5</v>
      </c>
      <c r="Q193" s="2">
        <v>6.0</v>
      </c>
      <c r="R193" s="2">
        <v>7.0</v>
      </c>
      <c r="S193" s="2">
        <v>15.0</v>
      </c>
      <c r="T193" s="2">
        <v>10.0</v>
      </c>
      <c r="U193" s="2">
        <v>15.0</v>
      </c>
      <c r="V193" s="2">
        <v>14.0</v>
      </c>
      <c r="W193" s="2">
        <v>17.0</v>
      </c>
      <c r="X193" s="2">
        <v>30.0</v>
      </c>
      <c r="Y193" s="2">
        <v>20.0</v>
      </c>
      <c r="Z193" s="2">
        <v>30.0</v>
      </c>
      <c r="AA193" s="2">
        <v>30.0</v>
      </c>
      <c r="AB193" s="2">
        <f t="shared" si="5"/>
        <v>9.7</v>
      </c>
      <c r="AC193" s="2">
        <v>50.0</v>
      </c>
      <c r="AD193" s="2">
        <v>330.0</v>
      </c>
      <c r="AF193" s="3">
        <f t="shared" si="6"/>
        <v>9.5</v>
      </c>
      <c r="AG193" s="4">
        <f t="shared" si="7"/>
        <v>77.64444444</v>
      </c>
      <c r="AH193" s="2" t="s">
        <v>2</v>
      </c>
    </row>
    <row r="194">
      <c r="A194" s="1" t="s">
        <v>315</v>
      </c>
      <c r="B194" s="1" t="s">
        <v>316</v>
      </c>
      <c r="C194" s="2" t="s">
        <v>317</v>
      </c>
      <c r="D194" s="2">
        <f>VLOOKUP(B194,'DSAI-Vikrant'!$B$2:$F$44,5)</f>
        <v>48</v>
      </c>
      <c r="E194" s="2">
        <v>26.0</v>
      </c>
      <c r="F194" s="2">
        <f t="shared" si="1"/>
        <v>37</v>
      </c>
      <c r="G194" s="2">
        <v>10.0</v>
      </c>
      <c r="H194" s="2">
        <v>17.0</v>
      </c>
      <c r="I194" s="2">
        <v>23.0</v>
      </c>
      <c r="J194" s="3">
        <f t="shared" si="2"/>
        <v>9.305555556</v>
      </c>
      <c r="K194" s="2">
        <v>80.0</v>
      </c>
      <c r="L194" s="2">
        <v>180.0</v>
      </c>
      <c r="N194" s="3">
        <f t="shared" si="3"/>
        <v>180</v>
      </c>
      <c r="O194" s="2">
        <v>88.0</v>
      </c>
      <c r="P194" s="2">
        <f t="shared" si="4"/>
        <v>12.9</v>
      </c>
      <c r="Q194" s="2">
        <v>6.0</v>
      </c>
      <c r="R194" s="2">
        <v>7.0</v>
      </c>
      <c r="S194" s="2">
        <v>8.0</v>
      </c>
      <c r="T194" s="2">
        <v>11.0</v>
      </c>
      <c r="U194" s="2">
        <v>12.0</v>
      </c>
      <c r="V194" s="2">
        <v>13.0</v>
      </c>
      <c r="W194" s="2">
        <v>20.0</v>
      </c>
      <c r="X194" s="2">
        <v>28.0</v>
      </c>
      <c r="Y194" s="2">
        <v>23.0</v>
      </c>
      <c r="Z194" s="2">
        <v>28.0</v>
      </c>
      <c r="AA194" s="2">
        <v>28.0</v>
      </c>
      <c r="AB194" s="2">
        <f t="shared" si="5"/>
        <v>9.2</v>
      </c>
      <c r="AC194" s="2">
        <v>40.0</v>
      </c>
      <c r="AD194" s="2">
        <v>330.0</v>
      </c>
      <c r="AF194" s="3">
        <f t="shared" si="6"/>
        <v>9.25</v>
      </c>
      <c r="AG194" s="4">
        <f t="shared" si="7"/>
        <v>77.65555556</v>
      </c>
      <c r="AH194" s="2" t="s">
        <v>2</v>
      </c>
    </row>
    <row r="195">
      <c r="A195" s="1" t="s">
        <v>235</v>
      </c>
      <c r="B195" s="1" t="s">
        <v>236</v>
      </c>
      <c r="C195" s="2" t="s">
        <v>237</v>
      </c>
      <c r="D195" s="2">
        <f>VLOOKUP(B195,'DSAI-Vikrant'!$B$2:$F$44,5)</f>
        <v>47</v>
      </c>
      <c r="E195" s="2">
        <v>31.0</v>
      </c>
      <c r="F195" s="2">
        <f t="shared" si="1"/>
        <v>39</v>
      </c>
      <c r="G195" s="2">
        <v>14.0</v>
      </c>
      <c r="H195" s="2">
        <v>16.0</v>
      </c>
      <c r="I195" s="2">
        <v>28.0</v>
      </c>
      <c r="J195" s="3">
        <f t="shared" si="2"/>
        <v>10.61111111</v>
      </c>
      <c r="K195" s="2">
        <v>95.0</v>
      </c>
      <c r="L195" s="2">
        <v>174.0</v>
      </c>
      <c r="N195" s="3">
        <f t="shared" si="3"/>
        <v>174</v>
      </c>
      <c r="O195" s="2">
        <v>100.0</v>
      </c>
      <c r="P195" s="2">
        <f t="shared" si="4"/>
        <v>14.1</v>
      </c>
      <c r="Q195" s="2">
        <v>6.0</v>
      </c>
      <c r="R195" s="2">
        <v>6.0</v>
      </c>
      <c r="S195" s="2">
        <v>5.0</v>
      </c>
      <c r="T195" s="2">
        <v>4.0</v>
      </c>
      <c r="U195" s="2">
        <v>12.0</v>
      </c>
      <c r="V195" s="2">
        <v>13.0</v>
      </c>
      <c r="W195" s="2">
        <v>15.0</v>
      </c>
      <c r="X195" s="2">
        <v>26.0</v>
      </c>
      <c r="Y195" s="2">
        <v>24.0</v>
      </c>
      <c r="Z195" s="2">
        <v>27.0</v>
      </c>
      <c r="AA195" s="2">
        <v>28.0</v>
      </c>
      <c r="AB195" s="2">
        <f t="shared" si="5"/>
        <v>8.3</v>
      </c>
      <c r="AC195" s="2">
        <v>30.0</v>
      </c>
      <c r="AD195" s="2">
        <v>200.0</v>
      </c>
      <c r="AF195" s="3">
        <f t="shared" si="6"/>
        <v>5.75</v>
      </c>
      <c r="AG195" s="4">
        <f t="shared" si="7"/>
        <v>77.76111111</v>
      </c>
      <c r="AH195" s="2" t="s">
        <v>2</v>
      </c>
    </row>
    <row r="196">
      <c r="A196" s="1" t="s">
        <v>88</v>
      </c>
      <c r="B196" s="1" t="s">
        <v>89</v>
      </c>
      <c r="C196" s="2" t="s">
        <v>90</v>
      </c>
      <c r="D196" s="2">
        <f>VLOOKUP(B196, 'CSE-Sandeep'!$B$2:$G$61,5)</f>
        <v>36</v>
      </c>
      <c r="E196" s="2">
        <v>29.0</v>
      </c>
      <c r="F196" s="2">
        <f t="shared" si="1"/>
        <v>32.5</v>
      </c>
      <c r="G196" s="2">
        <v>16.0</v>
      </c>
      <c r="H196" s="2">
        <v>13.5</v>
      </c>
      <c r="I196" s="2">
        <v>35.0</v>
      </c>
      <c r="J196" s="3">
        <f t="shared" si="2"/>
        <v>11.26388889</v>
      </c>
      <c r="K196" s="2">
        <v>100.0</v>
      </c>
      <c r="L196" s="2">
        <v>200.0</v>
      </c>
      <c r="N196" s="3">
        <f t="shared" si="3"/>
        <v>200</v>
      </c>
      <c r="O196" s="2">
        <v>96.0</v>
      </c>
      <c r="P196" s="2">
        <f t="shared" si="4"/>
        <v>14.8</v>
      </c>
      <c r="Q196" s="2">
        <v>7.0</v>
      </c>
      <c r="R196" s="2">
        <v>7.0</v>
      </c>
      <c r="S196" s="2">
        <v>10.0</v>
      </c>
      <c r="T196" s="2">
        <v>12.0</v>
      </c>
      <c r="U196" s="2">
        <v>14.0</v>
      </c>
      <c r="V196" s="2">
        <v>15.0</v>
      </c>
      <c r="W196" s="2">
        <v>20.0</v>
      </c>
      <c r="X196" s="2">
        <v>30.0</v>
      </c>
      <c r="Y196" s="2">
        <v>30.0</v>
      </c>
      <c r="Z196" s="2">
        <v>29.0</v>
      </c>
      <c r="AA196" s="2">
        <v>30.0</v>
      </c>
      <c r="AB196" s="2">
        <f t="shared" si="5"/>
        <v>10.2</v>
      </c>
      <c r="AC196" s="2">
        <v>30.0</v>
      </c>
      <c r="AD196" s="2">
        <v>330.0</v>
      </c>
      <c r="AF196" s="3">
        <f t="shared" si="6"/>
        <v>9</v>
      </c>
      <c r="AG196" s="4">
        <f t="shared" si="7"/>
        <v>77.76388889</v>
      </c>
      <c r="AH196" s="2" t="s">
        <v>2</v>
      </c>
    </row>
    <row r="197">
      <c r="A197" s="1" t="s">
        <v>799</v>
      </c>
      <c r="B197" s="1" t="s">
        <v>800</v>
      </c>
      <c r="C197" s="2" t="s">
        <v>801</v>
      </c>
      <c r="D197" s="2">
        <f>VLOOKUP(B197,'MM-Subhashree'!$B$2:F$26,5)</f>
        <v>35</v>
      </c>
      <c r="E197" s="2">
        <v>31.0</v>
      </c>
      <c r="F197" s="2">
        <f t="shared" si="1"/>
        <v>33</v>
      </c>
      <c r="G197" s="2">
        <v>8.0</v>
      </c>
      <c r="H197" s="2">
        <v>14.0</v>
      </c>
      <c r="I197" s="2">
        <v>40.0</v>
      </c>
      <c r="J197" s="3">
        <f t="shared" si="2"/>
        <v>9.944444444</v>
      </c>
      <c r="K197" s="2">
        <v>100.0</v>
      </c>
      <c r="L197" s="2">
        <v>196.0</v>
      </c>
      <c r="N197" s="3">
        <f t="shared" si="3"/>
        <v>196</v>
      </c>
      <c r="O197" s="2">
        <v>100.0</v>
      </c>
      <c r="P197" s="2">
        <f t="shared" si="4"/>
        <v>14.9</v>
      </c>
      <c r="Q197" s="2">
        <v>7.0</v>
      </c>
      <c r="R197" s="2">
        <v>9.0</v>
      </c>
      <c r="S197" s="2">
        <v>11.0</v>
      </c>
      <c r="T197" s="2">
        <v>14.0</v>
      </c>
      <c r="U197" s="2">
        <v>15.0</v>
      </c>
      <c r="V197" s="2">
        <v>12.5</v>
      </c>
      <c r="W197" s="2">
        <v>18.5</v>
      </c>
      <c r="X197" s="2">
        <v>27.0</v>
      </c>
      <c r="Y197" s="2">
        <v>26.0</v>
      </c>
      <c r="Z197" s="2">
        <v>30.0</v>
      </c>
      <c r="AA197" s="2">
        <v>30.0</v>
      </c>
      <c r="AB197" s="2">
        <f t="shared" si="5"/>
        <v>10</v>
      </c>
      <c r="AC197" s="2">
        <v>50.0</v>
      </c>
      <c r="AD197" s="2">
        <v>350.0</v>
      </c>
      <c r="AF197" s="3">
        <f t="shared" si="6"/>
        <v>10</v>
      </c>
      <c r="AG197" s="4">
        <f t="shared" si="7"/>
        <v>77.84444444</v>
      </c>
      <c r="AH197" s="2" t="s">
        <v>2</v>
      </c>
    </row>
    <row r="198">
      <c r="A198" s="1" t="s">
        <v>303</v>
      </c>
      <c r="B198" s="1" t="s">
        <v>304</v>
      </c>
      <c r="C198" s="2" t="s">
        <v>305</v>
      </c>
      <c r="D198" s="2">
        <f>VLOOKUP(B198,'DSAI-Vikrant'!$B$2:$F$44,5)</f>
        <v>45</v>
      </c>
      <c r="E198" s="2">
        <v>29.0</v>
      </c>
      <c r="F198" s="2">
        <f t="shared" si="1"/>
        <v>37</v>
      </c>
      <c r="G198" s="2">
        <v>13.0</v>
      </c>
      <c r="H198" s="2">
        <v>14.0</v>
      </c>
      <c r="I198" s="2">
        <v>32.0</v>
      </c>
      <c r="J198" s="3">
        <f t="shared" si="2"/>
        <v>10.30555556</v>
      </c>
      <c r="K198" s="2">
        <v>95.0</v>
      </c>
      <c r="L198" s="2">
        <v>137.0</v>
      </c>
      <c r="N198" s="3">
        <f t="shared" si="3"/>
        <v>137</v>
      </c>
      <c r="O198" s="2">
        <v>86.0</v>
      </c>
      <c r="P198" s="2">
        <f t="shared" si="4"/>
        <v>12.475</v>
      </c>
      <c r="Q198" s="2">
        <v>7.0</v>
      </c>
      <c r="R198" s="2">
        <v>6.0</v>
      </c>
      <c r="S198" s="2">
        <v>14.0</v>
      </c>
      <c r="T198" s="2">
        <v>12.0</v>
      </c>
      <c r="U198" s="2">
        <v>14.0</v>
      </c>
      <c r="V198" s="2">
        <v>15.0</v>
      </c>
      <c r="W198" s="2">
        <v>14.0</v>
      </c>
      <c r="X198" s="2">
        <v>30.0</v>
      </c>
      <c r="Y198" s="2">
        <v>22.0</v>
      </c>
      <c r="Z198" s="2">
        <v>28.0</v>
      </c>
      <c r="AA198" s="2">
        <v>28.0</v>
      </c>
      <c r="AB198" s="2">
        <f t="shared" si="5"/>
        <v>9.5</v>
      </c>
      <c r="AC198" s="2">
        <v>20.0</v>
      </c>
      <c r="AD198" s="2">
        <v>330.0</v>
      </c>
      <c r="AF198" s="3">
        <f t="shared" si="6"/>
        <v>8.75</v>
      </c>
      <c r="AG198" s="4">
        <f t="shared" si="7"/>
        <v>78.03055556</v>
      </c>
      <c r="AH198" s="2" t="s">
        <v>2</v>
      </c>
    </row>
    <row r="199">
      <c r="A199" s="1" t="s">
        <v>683</v>
      </c>
      <c r="B199" s="1" t="s">
        <v>684</v>
      </c>
      <c r="C199" s="2" t="s">
        <v>685</v>
      </c>
      <c r="D199" s="2">
        <f>VLOOKUP(B199, 'ME-Subhashree'!$B$2:$F$56,5)</f>
        <v>45</v>
      </c>
      <c r="E199" s="2">
        <v>24.0</v>
      </c>
      <c r="F199" s="2">
        <f t="shared" si="1"/>
        <v>34.5</v>
      </c>
      <c r="G199" s="2">
        <v>13.0</v>
      </c>
      <c r="H199" s="2">
        <v>13.0</v>
      </c>
      <c r="I199" s="2">
        <v>34.0</v>
      </c>
      <c r="J199" s="3">
        <f t="shared" si="2"/>
        <v>10.27777778</v>
      </c>
      <c r="K199" s="2">
        <v>100.0</v>
      </c>
      <c r="L199" s="2">
        <v>200.0</v>
      </c>
      <c r="N199" s="3">
        <f t="shared" si="3"/>
        <v>200</v>
      </c>
      <c r="O199" s="2">
        <v>95.0</v>
      </c>
      <c r="P199" s="2">
        <f t="shared" si="4"/>
        <v>14.75</v>
      </c>
      <c r="Q199" s="2">
        <v>7.0</v>
      </c>
      <c r="R199" s="2">
        <v>8.0</v>
      </c>
      <c r="S199" s="2">
        <v>9.0</v>
      </c>
      <c r="T199" s="2">
        <v>10.0</v>
      </c>
      <c r="U199" s="2">
        <v>15.0</v>
      </c>
      <c r="V199" s="2">
        <v>14.0</v>
      </c>
      <c r="W199" s="2">
        <v>19.0</v>
      </c>
      <c r="X199" s="2">
        <v>30.0</v>
      </c>
      <c r="Y199" s="2">
        <v>30.0</v>
      </c>
      <c r="Z199" s="2">
        <v>29.0</v>
      </c>
      <c r="AA199" s="2">
        <v>29.0</v>
      </c>
      <c r="AB199" s="2">
        <f t="shared" si="5"/>
        <v>10</v>
      </c>
      <c r="AC199" s="2">
        <v>50.0</v>
      </c>
      <c r="AD199" s="2">
        <v>300.0</v>
      </c>
      <c r="AF199" s="3">
        <f t="shared" si="6"/>
        <v>8.75</v>
      </c>
      <c r="AG199" s="4">
        <f t="shared" si="7"/>
        <v>78.27777778</v>
      </c>
      <c r="AH199" s="2" t="s">
        <v>2</v>
      </c>
    </row>
    <row r="200">
      <c r="A200" s="1" t="s">
        <v>620</v>
      </c>
      <c r="B200" s="1" t="s">
        <v>621</v>
      </c>
      <c r="C200" s="2" t="s">
        <v>622</v>
      </c>
      <c r="D200" s="2">
        <f>VLOOKUP(B200, 'EE-Nitin'!$B$2:$F$57,5)</f>
        <v>48</v>
      </c>
      <c r="E200" s="2">
        <v>28.0</v>
      </c>
      <c r="F200" s="2">
        <f t="shared" si="1"/>
        <v>38</v>
      </c>
      <c r="G200" s="2">
        <v>6.0</v>
      </c>
      <c r="H200" s="2">
        <v>14.0</v>
      </c>
      <c r="I200" s="2">
        <v>31.0</v>
      </c>
      <c r="J200" s="3">
        <f t="shared" si="2"/>
        <v>8.444444444</v>
      </c>
      <c r="K200" s="2">
        <v>85.0</v>
      </c>
      <c r="L200" s="2">
        <v>165.0</v>
      </c>
      <c r="M200" s="2">
        <v>200.0</v>
      </c>
      <c r="N200" s="3">
        <f t="shared" si="3"/>
        <v>200</v>
      </c>
      <c r="O200" s="2">
        <v>80.0</v>
      </c>
      <c r="P200" s="2">
        <f t="shared" si="4"/>
        <v>13.25</v>
      </c>
      <c r="Q200" s="2">
        <v>7.0</v>
      </c>
      <c r="R200" s="2">
        <v>6.0</v>
      </c>
      <c r="S200" s="2">
        <v>6.0</v>
      </c>
      <c r="T200" s="2">
        <v>5.0</v>
      </c>
      <c r="U200" s="2">
        <v>15.0</v>
      </c>
      <c r="V200" s="2">
        <v>9.0</v>
      </c>
      <c r="W200" s="2">
        <v>18.0</v>
      </c>
      <c r="X200" s="2">
        <v>30.0</v>
      </c>
      <c r="Y200" s="2">
        <v>27.0</v>
      </c>
      <c r="Z200" s="2">
        <v>29.0</v>
      </c>
      <c r="AA200" s="2">
        <v>28.0</v>
      </c>
      <c r="AB200" s="2">
        <f t="shared" si="5"/>
        <v>9</v>
      </c>
      <c r="AC200" s="2">
        <v>40.0</v>
      </c>
      <c r="AD200" s="2">
        <v>350.0</v>
      </c>
      <c r="AF200" s="3">
        <f t="shared" si="6"/>
        <v>9.75</v>
      </c>
      <c r="AG200" s="4">
        <f t="shared" si="7"/>
        <v>78.44444444</v>
      </c>
      <c r="AH200" s="2" t="s">
        <v>2</v>
      </c>
    </row>
    <row r="201">
      <c r="A201" s="1" t="s">
        <v>173</v>
      </c>
      <c r="B201" s="1" t="s">
        <v>174</v>
      </c>
      <c r="C201" s="2" t="s">
        <v>175</v>
      </c>
      <c r="D201" s="2">
        <f>VLOOKUP(B201, 'CSE-Sandeep'!$B$2:$G$61,5)</f>
        <v>40</v>
      </c>
      <c r="E201" s="2">
        <v>38.0</v>
      </c>
      <c r="F201" s="2">
        <f t="shared" si="1"/>
        <v>39</v>
      </c>
      <c r="G201" s="2">
        <v>6.0</v>
      </c>
      <c r="H201" s="2">
        <v>16.0</v>
      </c>
      <c r="I201" s="2">
        <v>33.0</v>
      </c>
      <c r="J201" s="3">
        <f t="shared" si="2"/>
        <v>9.166666667</v>
      </c>
      <c r="K201" s="2">
        <v>100.0</v>
      </c>
      <c r="L201" s="2">
        <v>186.0</v>
      </c>
      <c r="N201" s="3">
        <f t="shared" si="3"/>
        <v>186</v>
      </c>
      <c r="O201" s="2">
        <v>88.0</v>
      </c>
      <c r="P201" s="2">
        <f t="shared" si="4"/>
        <v>14.05</v>
      </c>
      <c r="Q201" s="2">
        <v>7.0</v>
      </c>
      <c r="R201" s="2">
        <v>6.0</v>
      </c>
      <c r="T201" s="2">
        <v>12.0</v>
      </c>
      <c r="U201" s="2">
        <v>14.0</v>
      </c>
      <c r="V201" s="2">
        <v>14.0</v>
      </c>
      <c r="W201" s="2">
        <v>16.0</v>
      </c>
      <c r="X201" s="2">
        <v>24.0</v>
      </c>
      <c r="Y201" s="2">
        <v>26.0</v>
      </c>
      <c r="Z201" s="2">
        <v>28.0</v>
      </c>
      <c r="AA201" s="2">
        <v>29.0</v>
      </c>
      <c r="AB201" s="2">
        <f t="shared" si="5"/>
        <v>8.8</v>
      </c>
      <c r="AC201" s="2">
        <v>0.0</v>
      </c>
      <c r="AD201" s="2">
        <v>300.0</v>
      </c>
      <c r="AF201" s="3">
        <f t="shared" si="6"/>
        <v>7.5</v>
      </c>
      <c r="AG201" s="4">
        <f t="shared" si="7"/>
        <v>78.51666667</v>
      </c>
      <c r="AH201" s="2" t="s">
        <v>2</v>
      </c>
    </row>
    <row r="202">
      <c r="A202" s="1" t="s">
        <v>429</v>
      </c>
      <c r="B202" s="1" t="s">
        <v>430</v>
      </c>
      <c r="C202" s="2" t="s">
        <v>431</v>
      </c>
      <c r="D202" s="2">
        <f>VLOOKUP(B202,'EC-Nitin'!$B$2:$F$46,5)</f>
        <v>41</v>
      </c>
      <c r="E202" s="2">
        <v>31.0</v>
      </c>
      <c r="F202" s="2">
        <f t="shared" si="1"/>
        <v>36</v>
      </c>
      <c r="G202" s="2">
        <v>11.0</v>
      </c>
      <c r="H202" s="2">
        <v>15.0</v>
      </c>
      <c r="I202" s="2">
        <v>32.0</v>
      </c>
      <c r="J202" s="3">
        <f t="shared" si="2"/>
        <v>10.05555556</v>
      </c>
      <c r="K202" s="2">
        <v>85.0</v>
      </c>
      <c r="L202" s="2">
        <v>175.0</v>
      </c>
      <c r="N202" s="3">
        <f t="shared" si="3"/>
        <v>175</v>
      </c>
      <c r="O202" s="2">
        <v>98.0</v>
      </c>
      <c r="P202" s="2">
        <f t="shared" si="4"/>
        <v>13.525</v>
      </c>
      <c r="Q202" s="2">
        <v>7.0</v>
      </c>
      <c r="R202" s="2">
        <v>6.0</v>
      </c>
      <c r="S202" s="2">
        <v>7.0</v>
      </c>
      <c r="T202" s="2">
        <v>6.0</v>
      </c>
      <c r="U202" s="2">
        <v>15.0</v>
      </c>
      <c r="V202" s="2">
        <v>13.0</v>
      </c>
      <c r="W202" s="2">
        <v>15.0</v>
      </c>
      <c r="X202" s="2">
        <v>30.0</v>
      </c>
      <c r="Y202" s="2">
        <v>27.0</v>
      </c>
      <c r="Z202" s="2">
        <v>29.0</v>
      </c>
      <c r="AA202" s="2">
        <v>27.0</v>
      </c>
      <c r="AB202" s="2">
        <f t="shared" si="5"/>
        <v>9.1</v>
      </c>
      <c r="AC202" s="2">
        <v>50.0</v>
      </c>
      <c r="AD202" s="2">
        <v>346.0</v>
      </c>
      <c r="AF202" s="3">
        <f t="shared" si="6"/>
        <v>9.9</v>
      </c>
      <c r="AG202" s="4">
        <f t="shared" si="7"/>
        <v>78.58055556</v>
      </c>
      <c r="AH202" s="2" t="s">
        <v>2</v>
      </c>
    </row>
    <row r="203">
      <c r="A203" s="1" t="s">
        <v>438</v>
      </c>
      <c r="B203" s="1" t="s">
        <v>439</v>
      </c>
      <c r="C203" s="2" t="s">
        <v>440</v>
      </c>
      <c r="D203" s="2">
        <f>VLOOKUP(B203,'EC-Nitin'!$B$2:$F$46,5)</f>
        <v>43</v>
      </c>
      <c r="E203" s="2">
        <v>32.0</v>
      </c>
      <c r="F203" s="2">
        <f t="shared" si="1"/>
        <v>37.5</v>
      </c>
      <c r="G203" s="2">
        <v>13.0</v>
      </c>
      <c r="H203" s="2">
        <v>17.5</v>
      </c>
      <c r="I203" s="2">
        <v>-1.0</v>
      </c>
      <c r="J203" s="3">
        <f t="shared" si="2"/>
        <v>7.513888889</v>
      </c>
      <c r="K203" s="2">
        <v>85.0</v>
      </c>
      <c r="L203" s="2">
        <v>200.0</v>
      </c>
      <c r="N203" s="3">
        <f t="shared" si="3"/>
        <v>200</v>
      </c>
      <c r="O203" s="2">
        <v>99.0</v>
      </c>
      <c r="P203" s="2">
        <f t="shared" si="4"/>
        <v>14.2</v>
      </c>
      <c r="Q203" s="2">
        <v>7.0</v>
      </c>
      <c r="R203" s="2">
        <v>10.0</v>
      </c>
      <c r="S203" s="2">
        <v>12.0</v>
      </c>
      <c r="U203" s="2">
        <v>14.0</v>
      </c>
      <c r="V203" s="2">
        <v>15.0</v>
      </c>
      <c r="W203" s="2">
        <v>17.0</v>
      </c>
      <c r="X203" s="2">
        <v>30.0</v>
      </c>
      <c r="Y203" s="2">
        <v>27.0</v>
      </c>
      <c r="Z203" s="2">
        <v>30.0</v>
      </c>
      <c r="AA203" s="2">
        <v>29.0</v>
      </c>
      <c r="AB203" s="2">
        <f t="shared" si="5"/>
        <v>9.55</v>
      </c>
      <c r="AC203" s="2">
        <v>50.0</v>
      </c>
      <c r="AD203" s="2">
        <v>348.0</v>
      </c>
      <c r="AF203" s="3">
        <f t="shared" si="6"/>
        <v>9.95</v>
      </c>
      <c r="AG203" s="4">
        <f t="shared" si="7"/>
        <v>78.71388889</v>
      </c>
      <c r="AH203" s="2" t="s">
        <v>2</v>
      </c>
    </row>
    <row r="204">
      <c r="A204" s="1" t="s">
        <v>886</v>
      </c>
      <c r="B204" s="1" t="s">
        <v>887</v>
      </c>
      <c r="C204" s="2" t="s">
        <v>888</v>
      </c>
      <c r="D204" s="2">
        <f>VLOOKUP(B204,MT!$B$2:$F$30,5)</f>
        <v>45</v>
      </c>
      <c r="E204" s="2">
        <v>27.0</v>
      </c>
      <c r="F204" s="2">
        <f t="shared" si="1"/>
        <v>36</v>
      </c>
      <c r="G204" s="2">
        <v>9.0</v>
      </c>
      <c r="H204" s="2">
        <v>13.0</v>
      </c>
      <c r="I204" s="2">
        <v>24.0</v>
      </c>
      <c r="J204" s="3">
        <f t="shared" si="2"/>
        <v>8.166666667</v>
      </c>
      <c r="K204" s="2">
        <v>95.0</v>
      </c>
      <c r="L204" s="2">
        <v>200.0</v>
      </c>
      <c r="N204" s="3">
        <f t="shared" si="3"/>
        <v>200</v>
      </c>
      <c r="O204" s="2">
        <v>98.0</v>
      </c>
      <c r="P204" s="2">
        <f t="shared" si="4"/>
        <v>14.65</v>
      </c>
      <c r="Q204" s="2">
        <v>7.0</v>
      </c>
      <c r="R204" s="2">
        <v>5.0</v>
      </c>
      <c r="S204" s="2">
        <v>12.0</v>
      </c>
      <c r="T204" s="2">
        <v>14.0</v>
      </c>
      <c r="U204" s="2">
        <v>14.0</v>
      </c>
      <c r="V204" s="2">
        <v>14.5</v>
      </c>
      <c r="W204" s="2">
        <v>20.0</v>
      </c>
      <c r="X204" s="2">
        <v>30.0</v>
      </c>
      <c r="Y204" s="2">
        <v>30.0</v>
      </c>
      <c r="Z204" s="2">
        <v>29.0</v>
      </c>
      <c r="AA204" s="2">
        <v>30.0</v>
      </c>
      <c r="AB204" s="2">
        <f t="shared" si="5"/>
        <v>10.275</v>
      </c>
      <c r="AC204" s="2">
        <v>48.0</v>
      </c>
      <c r="AD204" s="2">
        <v>350.0</v>
      </c>
      <c r="AF204" s="3">
        <f t="shared" si="6"/>
        <v>9.95</v>
      </c>
      <c r="AG204" s="4">
        <f t="shared" si="7"/>
        <v>79.04166667</v>
      </c>
      <c r="AH204" s="2" t="s">
        <v>2</v>
      </c>
    </row>
    <row r="205">
      <c r="A205" s="1" t="s">
        <v>17</v>
      </c>
      <c r="B205" s="1" t="s">
        <v>18</v>
      </c>
      <c r="C205" s="2" t="s">
        <v>19</v>
      </c>
      <c r="D205" s="2">
        <f>VLOOKUP(B205, 'CSE-Sandeep'!$B$2:$G$61,5)</f>
        <v>36</v>
      </c>
      <c r="E205" s="2">
        <v>31.0</v>
      </c>
      <c r="F205" s="2">
        <f t="shared" si="1"/>
        <v>33.5</v>
      </c>
      <c r="G205" s="2">
        <v>17.0</v>
      </c>
      <c r="H205" s="2">
        <v>17.0</v>
      </c>
      <c r="I205" s="2">
        <v>32.5</v>
      </c>
      <c r="J205" s="3">
        <f t="shared" si="2"/>
        <v>12.11111111</v>
      </c>
      <c r="K205" s="2">
        <v>100.0</v>
      </c>
      <c r="L205" s="2">
        <v>200.0</v>
      </c>
      <c r="N205" s="3">
        <f t="shared" si="3"/>
        <v>200</v>
      </c>
      <c r="O205" s="2">
        <v>100.0</v>
      </c>
      <c r="P205" s="2">
        <f t="shared" si="4"/>
        <v>15</v>
      </c>
      <c r="Q205" s="2">
        <v>6.0</v>
      </c>
      <c r="R205" s="2">
        <v>8.0</v>
      </c>
      <c r="S205" s="2">
        <v>14.0</v>
      </c>
      <c r="T205" s="2">
        <v>10.0</v>
      </c>
      <c r="U205" s="2">
        <v>15.0</v>
      </c>
      <c r="V205" s="2">
        <v>13.0</v>
      </c>
      <c r="W205" s="2">
        <v>19.0</v>
      </c>
      <c r="X205" s="2">
        <v>30.0</v>
      </c>
      <c r="Y205" s="2">
        <v>0.0</v>
      </c>
      <c r="Z205" s="2">
        <v>29.0</v>
      </c>
      <c r="AA205" s="2">
        <v>30.0</v>
      </c>
      <c r="AB205" s="2">
        <f t="shared" si="5"/>
        <v>8.7</v>
      </c>
      <c r="AC205" s="2">
        <v>50.0</v>
      </c>
      <c r="AD205" s="2">
        <v>340.0</v>
      </c>
      <c r="AF205" s="3">
        <f t="shared" si="6"/>
        <v>9.75</v>
      </c>
      <c r="AG205" s="4">
        <f t="shared" si="7"/>
        <v>79.06111111</v>
      </c>
      <c r="AH205" s="2" t="s">
        <v>2</v>
      </c>
    </row>
    <row r="206">
      <c r="A206" s="1" t="s">
        <v>653</v>
      </c>
      <c r="B206" s="1" t="s">
        <v>654</v>
      </c>
      <c r="C206" s="2" t="s">
        <v>655</v>
      </c>
      <c r="D206" s="2">
        <f>VLOOKUP(B206, 'ME-Subhashree'!$B$2:$F$56,5)</f>
        <v>39</v>
      </c>
      <c r="E206" s="2">
        <v>31.0</v>
      </c>
      <c r="F206" s="2">
        <f t="shared" si="1"/>
        <v>35</v>
      </c>
      <c r="G206" s="2">
        <v>13.0</v>
      </c>
      <c r="H206" s="2">
        <v>15.5</v>
      </c>
      <c r="I206" s="2">
        <v>28.0</v>
      </c>
      <c r="J206" s="3">
        <f t="shared" si="2"/>
        <v>10.23611111</v>
      </c>
      <c r="K206" s="2">
        <v>100.0</v>
      </c>
      <c r="L206" s="2">
        <v>195.0</v>
      </c>
      <c r="N206" s="3">
        <f t="shared" si="3"/>
        <v>195</v>
      </c>
      <c r="O206" s="2">
        <v>98.0</v>
      </c>
      <c r="P206" s="2">
        <f t="shared" si="4"/>
        <v>14.775</v>
      </c>
      <c r="Q206" s="2">
        <v>7.0</v>
      </c>
      <c r="R206" s="2">
        <v>7.0</v>
      </c>
      <c r="S206" s="2">
        <v>12.0</v>
      </c>
      <c r="T206" s="2">
        <v>12.0</v>
      </c>
      <c r="U206" s="2">
        <v>15.0</v>
      </c>
      <c r="V206" s="2">
        <v>15.0</v>
      </c>
      <c r="W206" s="2">
        <v>20.0</v>
      </c>
      <c r="X206" s="2">
        <v>26.0</v>
      </c>
      <c r="Y206" s="2">
        <v>30.0</v>
      </c>
      <c r="Z206" s="2">
        <v>29.0</v>
      </c>
      <c r="AA206" s="2">
        <v>29.0</v>
      </c>
      <c r="AB206" s="2">
        <f t="shared" si="5"/>
        <v>10.1</v>
      </c>
      <c r="AC206" s="2">
        <v>50.0</v>
      </c>
      <c r="AD206" s="2">
        <v>310.0</v>
      </c>
      <c r="AF206" s="3">
        <f t="shared" si="6"/>
        <v>9</v>
      </c>
      <c r="AG206" s="4">
        <f t="shared" si="7"/>
        <v>79.11111111</v>
      </c>
      <c r="AH206" s="2" t="s">
        <v>2</v>
      </c>
    </row>
    <row r="207">
      <c r="A207" s="1" t="s">
        <v>946</v>
      </c>
      <c r="B207" s="1" t="s">
        <v>947</v>
      </c>
      <c r="C207" s="2" t="s">
        <v>948</v>
      </c>
      <c r="D207" s="2">
        <f>VLOOKUP(B207,MT!$B$2:$F$30,5)</f>
        <v>45</v>
      </c>
      <c r="E207" s="2">
        <v>23.0</v>
      </c>
      <c r="F207" s="2">
        <f t="shared" si="1"/>
        <v>34</v>
      </c>
      <c r="G207" s="2">
        <v>11.0</v>
      </c>
      <c r="H207" s="2">
        <v>19.0</v>
      </c>
      <c r="I207" s="2">
        <v>25.0</v>
      </c>
      <c r="J207" s="3">
        <f t="shared" si="2"/>
        <v>10.27777778</v>
      </c>
      <c r="K207" s="2">
        <v>100.0</v>
      </c>
      <c r="L207" s="2">
        <v>196.0</v>
      </c>
      <c r="N207" s="3">
        <f t="shared" si="3"/>
        <v>196</v>
      </c>
      <c r="O207" s="2">
        <v>100.0</v>
      </c>
      <c r="P207" s="2">
        <f t="shared" si="4"/>
        <v>14.9</v>
      </c>
      <c r="Q207" s="2">
        <v>7.0</v>
      </c>
      <c r="R207" s="2">
        <v>7.0</v>
      </c>
      <c r="S207" s="2">
        <v>13.0</v>
      </c>
      <c r="T207" s="2">
        <v>12.0</v>
      </c>
      <c r="U207" s="2">
        <v>14.5</v>
      </c>
      <c r="V207" s="2">
        <v>15.0</v>
      </c>
      <c r="W207" s="2">
        <v>20.0</v>
      </c>
      <c r="X207" s="2">
        <v>30.0</v>
      </c>
      <c r="Y207" s="2">
        <v>29.0</v>
      </c>
      <c r="Z207" s="2">
        <v>30.0</v>
      </c>
      <c r="AA207" s="2">
        <v>30.0</v>
      </c>
      <c r="AB207" s="2">
        <f t="shared" si="5"/>
        <v>10.375</v>
      </c>
      <c r="AC207" s="2">
        <v>50.0</v>
      </c>
      <c r="AD207" s="2">
        <v>335.0</v>
      </c>
      <c r="AF207" s="3">
        <f t="shared" si="6"/>
        <v>9.625</v>
      </c>
      <c r="AG207" s="4">
        <f t="shared" si="7"/>
        <v>79.17777778</v>
      </c>
      <c r="AH207" s="2" t="s">
        <v>2</v>
      </c>
    </row>
    <row r="208">
      <c r="A208" s="1" t="s">
        <v>300</v>
      </c>
      <c r="B208" s="1" t="s">
        <v>301</v>
      </c>
      <c r="C208" s="2" t="s">
        <v>302</v>
      </c>
      <c r="D208" s="2">
        <f>VLOOKUP(B208,'DSAI-Vikrant'!$B$2:$F$44,5)</f>
        <v>44</v>
      </c>
      <c r="E208" s="2">
        <v>34.0</v>
      </c>
      <c r="F208" s="2">
        <f t="shared" si="1"/>
        <v>39</v>
      </c>
      <c r="G208" s="2">
        <v>10.0</v>
      </c>
      <c r="H208" s="2">
        <v>12.5</v>
      </c>
      <c r="I208" s="2">
        <v>17.5</v>
      </c>
      <c r="J208" s="3">
        <f t="shared" si="2"/>
        <v>7.569444444</v>
      </c>
      <c r="K208" s="2">
        <v>90.0</v>
      </c>
      <c r="L208" s="2">
        <v>174.0</v>
      </c>
      <c r="N208" s="3">
        <f t="shared" si="3"/>
        <v>174</v>
      </c>
      <c r="O208" s="2">
        <v>90.0</v>
      </c>
      <c r="P208" s="2">
        <f t="shared" si="4"/>
        <v>13.35</v>
      </c>
      <c r="Q208" s="2">
        <v>6.0</v>
      </c>
      <c r="R208" s="2">
        <v>9.0</v>
      </c>
      <c r="S208" s="2">
        <v>7.0</v>
      </c>
      <c r="T208" s="2">
        <v>7.0</v>
      </c>
      <c r="U208" s="2">
        <v>15.0</v>
      </c>
      <c r="V208" s="2">
        <v>15.0</v>
      </c>
      <c r="W208" s="2">
        <v>20.0</v>
      </c>
      <c r="X208" s="2">
        <v>28.0</v>
      </c>
      <c r="Y208" s="2">
        <v>29.0</v>
      </c>
      <c r="Z208" s="2">
        <v>29.0</v>
      </c>
      <c r="AA208" s="2">
        <v>29.0</v>
      </c>
      <c r="AB208" s="2">
        <f t="shared" si="5"/>
        <v>9.7</v>
      </c>
      <c r="AC208" s="2">
        <v>50.0</v>
      </c>
      <c r="AD208" s="2">
        <v>335.0</v>
      </c>
      <c r="AF208" s="3">
        <f t="shared" si="6"/>
        <v>9.625</v>
      </c>
      <c r="AG208" s="4">
        <f t="shared" si="7"/>
        <v>79.24444444</v>
      </c>
      <c r="AH208" s="2" t="s">
        <v>2</v>
      </c>
    </row>
    <row r="209">
      <c r="A209" s="1" t="s">
        <v>399</v>
      </c>
      <c r="B209" s="1" t="s">
        <v>400</v>
      </c>
      <c r="C209" s="2" t="s">
        <v>401</v>
      </c>
      <c r="D209" s="2">
        <f>VLOOKUP(B209,'EC-Nitin'!$B$2:$F$46,5)</f>
        <v>45</v>
      </c>
      <c r="E209" s="2">
        <v>32.0</v>
      </c>
      <c r="F209" s="2">
        <f t="shared" si="1"/>
        <v>38.5</v>
      </c>
      <c r="G209" s="2">
        <v>6.0</v>
      </c>
      <c r="H209" s="2">
        <v>10.0</v>
      </c>
      <c r="I209" s="2">
        <v>39.0</v>
      </c>
      <c r="J209" s="3">
        <f t="shared" si="2"/>
        <v>8.333333333</v>
      </c>
      <c r="K209" s="2">
        <v>85.0</v>
      </c>
      <c r="L209" s="2">
        <v>160.0</v>
      </c>
      <c r="N209" s="3">
        <f t="shared" si="3"/>
        <v>160</v>
      </c>
      <c r="O209" s="2">
        <v>94.0</v>
      </c>
      <c r="P209" s="2">
        <f t="shared" si="4"/>
        <v>12.95</v>
      </c>
      <c r="Q209" s="2">
        <v>7.0</v>
      </c>
      <c r="R209" s="2">
        <v>2.0</v>
      </c>
      <c r="S209" s="2">
        <v>12.0</v>
      </c>
      <c r="T209" s="2">
        <v>14.0</v>
      </c>
      <c r="U209" s="2">
        <v>15.0</v>
      </c>
      <c r="V209" s="2">
        <v>13.0</v>
      </c>
      <c r="W209" s="2">
        <v>19.0</v>
      </c>
      <c r="X209" s="2">
        <v>30.0</v>
      </c>
      <c r="Y209" s="2">
        <v>26.0</v>
      </c>
      <c r="Z209" s="2">
        <v>29.0</v>
      </c>
      <c r="AA209" s="2">
        <v>28.0</v>
      </c>
      <c r="AB209" s="2">
        <f t="shared" si="5"/>
        <v>9.75</v>
      </c>
      <c r="AC209" s="2">
        <v>50.0</v>
      </c>
      <c r="AD209" s="2">
        <v>342.0</v>
      </c>
      <c r="AF209" s="3">
        <f t="shared" si="6"/>
        <v>9.8</v>
      </c>
      <c r="AG209" s="4">
        <f t="shared" si="7"/>
        <v>79.33333333</v>
      </c>
      <c r="AH209" s="2" t="s">
        <v>2</v>
      </c>
    </row>
    <row r="210">
      <c r="A210" s="1" t="s">
        <v>596</v>
      </c>
      <c r="B210" s="1" t="s">
        <v>597</v>
      </c>
      <c r="C210" s="2" t="s">
        <v>598</v>
      </c>
      <c r="D210" s="2">
        <f>VLOOKUP(B210, 'EE-Nitin'!$B$2:$F$57,5)</f>
        <v>44</v>
      </c>
      <c r="E210" s="2">
        <v>33.0</v>
      </c>
      <c r="F210" s="2">
        <f t="shared" si="1"/>
        <v>38.5</v>
      </c>
      <c r="G210" s="2">
        <v>8.0</v>
      </c>
      <c r="H210" s="2">
        <v>14.0</v>
      </c>
      <c r="I210" s="2">
        <v>32.0</v>
      </c>
      <c r="J210" s="3">
        <f t="shared" si="2"/>
        <v>9.055555556</v>
      </c>
      <c r="K210" s="2">
        <v>75.0</v>
      </c>
      <c r="L210" s="2">
        <v>185.0</v>
      </c>
      <c r="N210" s="3">
        <f t="shared" si="3"/>
        <v>185</v>
      </c>
      <c r="O210" s="2">
        <v>91.0</v>
      </c>
      <c r="P210" s="2">
        <f t="shared" si="4"/>
        <v>12.925</v>
      </c>
      <c r="Q210" s="2">
        <v>7.0</v>
      </c>
      <c r="R210" s="2">
        <v>8.0</v>
      </c>
      <c r="S210" s="2">
        <v>12.0</v>
      </c>
      <c r="T210" s="2">
        <v>1.0</v>
      </c>
      <c r="U210" s="2">
        <v>15.0</v>
      </c>
      <c r="V210" s="2">
        <v>15.0</v>
      </c>
      <c r="W210" s="2">
        <v>18.0</v>
      </c>
      <c r="X210" s="2">
        <v>30.0</v>
      </c>
      <c r="Y210" s="2">
        <v>30.0</v>
      </c>
      <c r="Z210" s="2">
        <v>29.0</v>
      </c>
      <c r="AA210" s="2">
        <v>28.0</v>
      </c>
      <c r="AB210" s="2">
        <f t="shared" si="5"/>
        <v>9.65</v>
      </c>
      <c r="AC210" s="2">
        <v>40.0</v>
      </c>
      <c r="AD210" s="2">
        <v>330.0</v>
      </c>
      <c r="AF210" s="3">
        <f t="shared" si="6"/>
        <v>9.25</v>
      </c>
      <c r="AG210" s="4">
        <f t="shared" si="7"/>
        <v>79.38055556</v>
      </c>
      <c r="AH210" s="2" t="s">
        <v>2</v>
      </c>
    </row>
    <row r="211">
      <c r="A211" s="1" t="s">
        <v>280</v>
      </c>
      <c r="B211" s="1" t="s">
        <v>281</v>
      </c>
      <c r="C211" s="2" t="s">
        <v>282</v>
      </c>
      <c r="D211" s="2">
        <f>VLOOKUP(B211,'DSAI-Vikrant'!$B$2:$F$44,5)</f>
        <v>48</v>
      </c>
      <c r="E211" s="2">
        <v>26.0</v>
      </c>
      <c r="F211" s="2">
        <f t="shared" si="1"/>
        <v>37</v>
      </c>
      <c r="G211" s="2">
        <v>11.0</v>
      </c>
      <c r="H211" s="2">
        <v>16.5</v>
      </c>
      <c r="I211" s="2">
        <v>33.0</v>
      </c>
      <c r="J211" s="3">
        <f t="shared" si="2"/>
        <v>10.54166667</v>
      </c>
      <c r="K211" s="2">
        <v>95.0</v>
      </c>
      <c r="L211" s="2">
        <v>196.0</v>
      </c>
      <c r="N211" s="3">
        <f t="shared" si="3"/>
        <v>196</v>
      </c>
      <c r="O211" s="2">
        <v>91.0</v>
      </c>
      <c r="P211" s="2">
        <f t="shared" si="4"/>
        <v>14.2</v>
      </c>
      <c r="Q211" s="2">
        <v>7.0</v>
      </c>
      <c r="R211" s="2">
        <v>7.0</v>
      </c>
      <c r="S211" s="2">
        <v>9.0</v>
      </c>
      <c r="T211" s="2">
        <v>8.0</v>
      </c>
      <c r="U211" s="2">
        <v>15.0</v>
      </c>
      <c r="V211" s="2">
        <v>15.0</v>
      </c>
      <c r="W211" s="2">
        <v>15.0</v>
      </c>
      <c r="X211" s="2">
        <v>29.0</v>
      </c>
      <c r="Y211" s="2">
        <v>22.0</v>
      </c>
      <c r="Z211" s="2">
        <v>29.0</v>
      </c>
      <c r="AA211" s="2">
        <v>28.0</v>
      </c>
      <c r="AB211" s="2">
        <f t="shared" si="5"/>
        <v>9.2</v>
      </c>
      <c r="AC211" s="2">
        <v>30.0</v>
      </c>
      <c r="AD211" s="2">
        <v>310.0</v>
      </c>
      <c r="AF211" s="3">
        <f t="shared" si="6"/>
        <v>8.5</v>
      </c>
      <c r="AG211" s="4">
        <f t="shared" si="7"/>
        <v>79.44166667</v>
      </c>
      <c r="AH211" s="2" t="s">
        <v>2</v>
      </c>
    </row>
    <row r="212">
      <c r="A212" s="1" t="s">
        <v>116</v>
      </c>
      <c r="B212" s="1" t="s">
        <v>117</v>
      </c>
      <c r="C212" s="2" t="s">
        <v>118</v>
      </c>
      <c r="D212" s="2">
        <f>VLOOKUP(B212, 'CSE-Sandeep'!$B$2:$G$61,5)</f>
        <v>44</v>
      </c>
      <c r="E212" s="2">
        <v>32.0</v>
      </c>
      <c r="F212" s="2">
        <f t="shared" si="1"/>
        <v>38</v>
      </c>
      <c r="G212" s="2">
        <v>12.0</v>
      </c>
      <c r="H212" s="2">
        <v>12.0</v>
      </c>
      <c r="I212" s="2">
        <v>21.0</v>
      </c>
      <c r="J212" s="3">
        <f t="shared" si="2"/>
        <v>8.333333333</v>
      </c>
      <c r="K212" s="2">
        <v>100.0</v>
      </c>
      <c r="L212" s="2">
        <v>180.0</v>
      </c>
      <c r="N212" s="3">
        <f t="shared" si="3"/>
        <v>180</v>
      </c>
      <c r="O212" s="2">
        <v>94.0</v>
      </c>
      <c r="P212" s="2">
        <f t="shared" si="4"/>
        <v>14.2</v>
      </c>
      <c r="Q212" s="2">
        <v>0.0</v>
      </c>
      <c r="R212" s="2">
        <v>6.0</v>
      </c>
      <c r="S212" s="2">
        <v>10.5</v>
      </c>
      <c r="T212" s="2">
        <v>9.0</v>
      </c>
      <c r="U212" s="2">
        <v>15.0</v>
      </c>
      <c r="V212" s="2">
        <v>15.0</v>
      </c>
      <c r="W212" s="2">
        <v>19.0</v>
      </c>
      <c r="X212" s="2">
        <v>26.0</v>
      </c>
      <c r="Y212" s="2">
        <v>27.0</v>
      </c>
      <c r="Z212" s="2">
        <v>29.0</v>
      </c>
      <c r="AA212" s="2">
        <v>27.0</v>
      </c>
      <c r="AB212" s="2">
        <f t="shared" si="5"/>
        <v>9.175</v>
      </c>
      <c r="AC212" s="2">
        <v>50.0</v>
      </c>
      <c r="AD212" s="2">
        <v>340.0</v>
      </c>
      <c r="AF212" s="3">
        <f t="shared" si="6"/>
        <v>9.75</v>
      </c>
      <c r="AG212" s="4">
        <f t="shared" si="7"/>
        <v>79.45833333</v>
      </c>
      <c r="AH212" s="2" t="s">
        <v>2</v>
      </c>
    </row>
    <row r="213">
      <c r="A213" s="1" t="s">
        <v>146</v>
      </c>
      <c r="B213" s="1" t="s">
        <v>147</v>
      </c>
      <c r="C213" s="2" t="s">
        <v>148</v>
      </c>
      <c r="D213" s="2">
        <f>VLOOKUP(B213, 'CSE-Sandeep'!$B$2:$G$61,5)</f>
        <v>50</v>
      </c>
      <c r="E213" s="2">
        <v>33.0</v>
      </c>
      <c r="F213" s="2">
        <f t="shared" si="1"/>
        <v>41.5</v>
      </c>
      <c r="G213" s="2">
        <v>7.0</v>
      </c>
      <c r="H213" s="2">
        <v>16.5</v>
      </c>
      <c r="J213" s="3">
        <f t="shared" si="2"/>
        <v>5.875</v>
      </c>
      <c r="K213" s="2">
        <v>100.0</v>
      </c>
      <c r="L213" s="2">
        <v>180.0</v>
      </c>
      <c r="M213" s="2">
        <v>195.0</v>
      </c>
      <c r="N213" s="3">
        <f t="shared" si="3"/>
        <v>195</v>
      </c>
      <c r="O213" s="2">
        <v>88.0</v>
      </c>
      <c r="P213" s="2">
        <f t="shared" si="4"/>
        <v>14.275</v>
      </c>
      <c r="Q213" s="2">
        <v>7.0</v>
      </c>
      <c r="R213" s="2">
        <v>8.0</v>
      </c>
      <c r="T213" s="2">
        <v>9.0</v>
      </c>
      <c r="U213" s="2">
        <v>15.0</v>
      </c>
      <c r="V213" s="2">
        <v>15.0</v>
      </c>
      <c r="W213" s="2">
        <v>18.0</v>
      </c>
      <c r="X213" s="2">
        <v>23.0</v>
      </c>
      <c r="Y213" s="2">
        <v>28.0</v>
      </c>
      <c r="Z213" s="2">
        <v>28.0</v>
      </c>
      <c r="AA213" s="2">
        <v>27.0</v>
      </c>
      <c r="AB213" s="2">
        <f t="shared" si="5"/>
        <v>8.9</v>
      </c>
      <c r="AC213" s="2">
        <v>50.0</v>
      </c>
      <c r="AD213" s="2">
        <v>310.0</v>
      </c>
      <c r="AF213" s="3">
        <f t="shared" si="6"/>
        <v>9</v>
      </c>
      <c r="AG213" s="4">
        <f t="shared" si="7"/>
        <v>79.55</v>
      </c>
      <c r="AH213" s="2" t="s">
        <v>6</v>
      </c>
    </row>
    <row r="214">
      <c r="A214" s="1" t="s">
        <v>210</v>
      </c>
      <c r="B214" s="1" t="s">
        <v>211</v>
      </c>
      <c r="C214" s="2" t="s">
        <v>212</v>
      </c>
      <c r="D214" s="2">
        <f>VLOOKUP(B214,'DSAI-Vikrant'!$B$2:$F$44,5)</f>
        <v>37</v>
      </c>
      <c r="E214" s="2">
        <v>32.0</v>
      </c>
      <c r="F214" s="2">
        <f t="shared" si="1"/>
        <v>34.5</v>
      </c>
      <c r="G214" s="2">
        <v>14.0</v>
      </c>
      <c r="H214" s="2">
        <v>16.0</v>
      </c>
      <c r="I214" s="2">
        <v>19.0</v>
      </c>
      <c r="J214" s="3">
        <f t="shared" si="2"/>
        <v>9.611111111</v>
      </c>
      <c r="K214" s="2">
        <v>100.0</v>
      </c>
      <c r="L214" s="2">
        <v>180.0</v>
      </c>
      <c r="N214" s="3">
        <f t="shared" si="3"/>
        <v>180</v>
      </c>
      <c r="O214" s="2">
        <v>180.0</v>
      </c>
      <c r="P214" s="2">
        <f t="shared" si="4"/>
        <v>18.5</v>
      </c>
      <c r="Q214" s="2">
        <v>0.0</v>
      </c>
      <c r="R214" s="2">
        <v>6.0</v>
      </c>
      <c r="S214" s="2">
        <v>11.0</v>
      </c>
      <c r="T214" s="2">
        <v>4.0</v>
      </c>
      <c r="U214" s="2">
        <v>14.0</v>
      </c>
      <c r="V214" s="2">
        <v>15.0</v>
      </c>
      <c r="W214" s="2">
        <v>14.0</v>
      </c>
      <c r="X214" s="2">
        <v>28.0</v>
      </c>
      <c r="Y214" s="2">
        <v>26.0</v>
      </c>
      <c r="Z214" s="2">
        <v>28.0</v>
      </c>
      <c r="AA214" s="2">
        <v>27.0</v>
      </c>
      <c r="AB214" s="2">
        <f t="shared" si="5"/>
        <v>8.65</v>
      </c>
      <c r="AC214" s="2">
        <v>35.0</v>
      </c>
      <c r="AD214" s="2">
        <v>300.0</v>
      </c>
      <c r="AF214" s="3">
        <f t="shared" si="6"/>
        <v>8.375</v>
      </c>
      <c r="AG214" s="4">
        <f t="shared" si="7"/>
        <v>79.63611111</v>
      </c>
      <c r="AH214" s="2" t="s">
        <v>6</v>
      </c>
    </row>
    <row r="215">
      <c r="A215" s="1" t="s">
        <v>680</v>
      </c>
      <c r="B215" s="1" t="s">
        <v>681</v>
      </c>
      <c r="C215" s="2" t="s">
        <v>682</v>
      </c>
      <c r="D215" s="2">
        <f>VLOOKUP(B215, 'ME-Subhashree'!$B$2:$F$56,5)</f>
        <v>41</v>
      </c>
      <c r="E215" s="2">
        <v>32.0</v>
      </c>
      <c r="F215" s="2">
        <f t="shared" si="1"/>
        <v>36.5</v>
      </c>
      <c r="G215" s="2">
        <v>9.0</v>
      </c>
      <c r="H215" s="2">
        <v>14.0</v>
      </c>
      <c r="I215" s="2">
        <v>36.0</v>
      </c>
      <c r="J215" s="3">
        <f t="shared" si="2"/>
        <v>9.75</v>
      </c>
      <c r="K215" s="2">
        <v>100.0</v>
      </c>
      <c r="L215" s="2">
        <v>190.0</v>
      </c>
      <c r="N215" s="3">
        <f t="shared" si="3"/>
        <v>190</v>
      </c>
      <c r="O215" s="2">
        <v>98.0</v>
      </c>
      <c r="P215" s="2">
        <f t="shared" si="4"/>
        <v>14.65</v>
      </c>
      <c r="Q215" s="2">
        <v>7.0</v>
      </c>
      <c r="R215" s="2">
        <v>8.0</v>
      </c>
      <c r="S215" s="2">
        <v>9.0</v>
      </c>
      <c r="T215" s="2">
        <v>15.0</v>
      </c>
      <c r="U215" s="2">
        <v>15.0</v>
      </c>
      <c r="V215" s="2">
        <v>14.0</v>
      </c>
      <c r="W215" s="2">
        <v>20.0</v>
      </c>
      <c r="X215" s="2">
        <v>29.0</v>
      </c>
      <c r="Y215" s="2">
        <v>27.0</v>
      </c>
      <c r="Z215" s="2">
        <v>29.0</v>
      </c>
      <c r="AA215" s="2">
        <v>28.0</v>
      </c>
      <c r="AB215" s="2">
        <f t="shared" si="5"/>
        <v>10.05</v>
      </c>
      <c r="AC215" s="2">
        <v>50.0</v>
      </c>
      <c r="AD215" s="2">
        <v>300.0</v>
      </c>
      <c r="AF215" s="3">
        <f t="shared" si="6"/>
        <v>8.75</v>
      </c>
      <c r="AG215" s="4">
        <f t="shared" si="7"/>
        <v>79.7</v>
      </c>
      <c r="AH215" s="2" t="s">
        <v>6</v>
      </c>
    </row>
    <row r="216">
      <c r="A216" s="1" t="s">
        <v>773</v>
      </c>
      <c r="B216" s="1" t="s">
        <v>774</v>
      </c>
      <c r="C216" s="2" t="s">
        <v>773</v>
      </c>
      <c r="D216" s="2">
        <f>VLOOKUP(B216, 'ME-Subhashree'!$B$2:$F$56,5)</f>
        <v>40</v>
      </c>
      <c r="E216" s="2">
        <v>34.0</v>
      </c>
      <c r="F216" s="2">
        <f t="shared" si="1"/>
        <v>37</v>
      </c>
      <c r="G216" s="2">
        <v>8.0</v>
      </c>
      <c r="H216" s="2">
        <v>17.0</v>
      </c>
      <c r="I216" s="2">
        <v>27.0</v>
      </c>
      <c r="J216" s="3">
        <f t="shared" si="2"/>
        <v>9.25</v>
      </c>
      <c r="K216" s="2">
        <v>95.0</v>
      </c>
      <c r="L216" s="2">
        <v>190.0</v>
      </c>
      <c r="N216" s="3">
        <f t="shared" si="3"/>
        <v>190</v>
      </c>
      <c r="O216" s="2">
        <v>92.0</v>
      </c>
      <c r="P216" s="2">
        <f t="shared" si="4"/>
        <v>14.1</v>
      </c>
      <c r="Q216" s="2">
        <v>7.0</v>
      </c>
      <c r="R216" s="2">
        <v>6.0</v>
      </c>
      <c r="S216" s="2">
        <v>14.0</v>
      </c>
      <c r="T216" s="2">
        <v>10.0</v>
      </c>
      <c r="U216" s="2">
        <v>14.0</v>
      </c>
      <c r="V216" s="2">
        <v>13.5</v>
      </c>
      <c r="W216" s="2">
        <v>20.0</v>
      </c>
      <c r="X216" s="2">
        <v>25.0</v>
      </c>
      <c r="Y216" s="2">
        <v>26.32</v>
      </c>
      <c r="Z216" s="2">
        <v>29.0</v>
      </c>
      <c r="AA216" s="2">
        <v>29.0</v>
      </c>
      <c r="AB216" s="2">
        <f t="shared" si="5"/>
        <v>9.691</v>
      </c>
      <c r="AC216" s="2">
        <v>43.0</v>
      </c>
      <c r="AD216" s="2">
        <v>345.0</v>
      </c>
      <c r="AF216" s="3">
        <f t="shared" si="6"/>
        <v>9.7</v>
      </c>
      <c r="AG216" s="4">
        <f t="shared" si="7"/>
        <v>79.741</v>
      </c>
      <c r="AH216" s="2" t="s">
        <v>6</v>
      </c>
    </row>
    <row r="217">
      <c r="A217" s="1" t="s">
        <v>378</v>
      </c>
      <c r="B217" s="1" t="s">
        <v>379</v>
      </c>
      <c r="C217" s="2" t="s">
        <v>380</v>
      </c>
      <c r="D217" s="2">
        <f>VLOOKUP(B217,'EC-Nitin'!$B$2:$F$46,5)</f>
        <v>41</v>
      </c>
      <c r="E217" s="2">
        <v>28.0</v>
      </c>
      <c r="F217" s="2">
        <f t="shared" si="1"/>
        <v>34.5</v>
      </c>
      <c r="G217" s="2">
        <v>16.0</v>
      </c>
      <c r="H217" s="2">
        <v>10.0</v>
      </c>
      <c r="I217" s="2">
        <v>32.0</v>
      </c>
      <c r="J217" s="3">
        <f t="shared" si="2"/>
        <v>10.05555556</v>
      </c>
      <c r="K217" s="2">
        <v>100.0</v>
      </c>
      <c r="L217" s="2">
        <v>190.0</v>
      </c>
      <c r="N217" s="3">
        <f t="shared" si="3"/>
        <v>190</v>
      </c>
      <c r="O217" s="2">
        <v>100.0</v>
      </c>
      <c r="P217" s="2">
        <f t="shared" si="4"/>
        <v>14.75</v>
      </c>
      <c r="Q217" s="2">
        <v>6.0</v>
      </c>
      <c r="R217" s="2">
        <v>8.0</v>
      </c>
      <c r="S217" s="2">
        <v>15.0</v>
      </c>
      <c r="T217" s="2">
        <v>12.0</v>
      </c>
      <c r="U217" s="2">
        <v>15.0</v>
      </c>
      <c r="V217" s="2">
        <v>14.0</v>
      </c>
      <c r="W217" s="2">
        <v>20.0</v>
      </c>
      <c r="X217" s="2">
        <v>30.0</v>
      </c>
      <c r="Y217" s="2">
        <v>30.0</v>
      </c>
      <c r="Z217" s="2">
        <v>30.0</v>
      </c>
      <c r="AA217" s="2">
        <v>30.0</v>
      </c>
      <c r="AB217" s="2">
        <f t="shared" si="5"/>
        <v>10.5</v>
      </c>
      <c r="AC217" s="2">
        <v>50.0</v>
      </c>
      <c r="AD217" s="2">
        <v>350.0</v>
      </c>
      <c r="AF217" s="3">
        <f t="shared" si="6"/>
        <v>10</v>
      </c>
      <c r="AG217" s="4">
        <f t="shared" si="7"/>
        <v>79.80555556</v>
      </c>
      <c r="AH217" s="2" t="s">
        <v>6</v>
      </c>
    </row>
    <row r="218">
      <c r="A218" s="1" t="s">
        <v>919</v>
      </c>
      <c r="B218" s="1" t="s">
        <v>920</v>
      </c>
      <c r="C218" s="2" t="s">
        <v>921</v>
      </c>
      <c r="D218" s="2">
        <f>VLOOKUP(B218,MT!$B$2:$F$30,5)</f>
        <v>47</v>
      </c>
      <c r="E218" s="2">
        <v>24.0</v>
      </c>
      <c r="F218" s="2">
        <f t="shared" si="1"/>
        <v>35.5</v>
      </c>
      <c r="G218" s="2">
        <v>8.0</v>
      </c>
      <c r="H218" s="2">
        <v>16.0</v>
      </c>
      <c r="I218" s="2">
        <v>35.0</v>
      </c>
      <c r="J218" s="3">
        <f t="shared" si="2"/>
        <v>9.888888889</v>
      </c>
      <c r="K218" s="2">
        <v>100.0</v>
      </c>
      <c r="L218" s="2">
        <v>200.0</v>
      </c>
      <c r="N218" s="3">
        <f t="shared" si="3"/>
        <v>200</v>
      </c>
      <c r="O218" s="2">
        <v>90.0</v>
      </c>
      <c r="P218" s="2">
        <f t="shared" si="4"/>
        <v>14.5</v>
      </c>
      <c r="Q218" s="2">
        <v>7.0</v>
      </c>
      <c r="R218" s="2">
        <v>5.0</v>
      </c>
      <c r="S218" s="2">
        <v>13.0</v>
      </c>
      <c r="T218" s="2">
        <v>14.0</v>
      </c>
      <c r="U218" s="2">
        <v>15.0</v>
      </c>
      <c r="V218" s="2">
        <v>14.0</v>
      </c>
      <c r="W218" s="2">
        <v>19.0</v>
      </c>
      <c r="X218" s="2">
        <v>28.0</v>
      </c>
      <c r="Y218" s="2">
        <v>30.0</v>
      </c>
      <c r="Z218" s="2">
        <v>29.0</v>
      </c>
      <c r="AA218" s="2">
        <v>30.0</v>
      </c>
      <c r="AB218" s="2">
        <f t="shared" si="5"/>
        <v>10.2</v>
      </c>
      <c r="AC218" s="2">
        <v>40.0</v>
      </c>
      <c r="AD218" s="2">
        <v>350.0</v>
      </c>
      <c r="AF218" s="3">
        <f t="shared" si="6"/>
        <v>9.75</v>
      </c>
      <c r="AG218" s="4">
        <f t="shared" si="7"/>
        <v>79.83888889</v>
      </c>
      <c r="AH218" s="2" t="s">
        <v>6</v>
      </c>
    </row>
    <row r="219">
      <c r="A219" s="1" t="s">
        <v>158</v>
      </c>
      <c r="B219" s="1" t="s">
        <v>159</v>
      </c>
      <c r="C219" s="2" t="s">
        <v>160</v>
      </c>
      <c r="D219" s="2">
        <f>VLOOKUP(B219, 'CSE-Sandeep'!$B$2:$G$61,5)</f>
        <v>46</v>
      </c>
      <c r="E219" s="2">
        <v>29.0</v>
      </c>
      <c r="F219" s="2">
        <f t="shared" si="1"/>
        <v>37.5</v>
      </c>
      <c r="G219" s="2">
        <v>16.0</v>
      </c>
      <c r="H219" s="2">
        <v>14.0</v>
      </c>
      <c r="I219" s="2">
        <v>25.0</v>
      </c>
      <c r="J219" s="3">
        <f t="shared" si="2"/>
        <v>10.27777778</v>
      </c>
      <c r="K219" s="2">
        <v>100.0</v>
      </c>
      <c r="L219" s="2">
        <v>170.0</v>
      </c>
      <c r="M219" s="2">
        <v>200.0</v>
      </c>
      <c r="N219" s="3">
        <f t="shared" si="3"/>
        <v>200</v>
      </c>
      <c r="O219" s="2">
        <v>90.0</v>
      </c>
      <c r="P219" s="2">
        <f t="shared" si="4"/>
        <v>14.5</v>
      </c>
      <c r="Q219" s="2">
        <v>6.0</v>
      </c>
      <c r="R219" s="2">
        <v>8.0</v>
      </c>
      <c r="T219" s="2">
        <v>11.0</v>
      </c>
      <c r="U219" s="2">
        <v>14.0</v>
      </c>
      <c r="W219" s="2">
        <v>18.0</v>
      </c>
      <c r="X219" s="2">
        <v>27.0</v>
      </c>
      <c r="Y219" s="2">
        <v>28.0</v>
      </c>
      <c r="Z219" s="2">
        <v>30.0</v>
      </c>
      <c r="AA219" s="2">
        <v>30.0</v>
      </c>
      <c r="AB219" s="2">
        <f t="shared" si="5"/>
        <v>8.6</v>
      </c>
      <c r="AC219" s="2">
        <v>50.0</v>
      </c>
      <c r="AD219" s="2">
        <v>315.0</v>
      </c>
      <c r="AF219" s="3">
        <f t="shared" si="6"/>
        <v>9.125</v>
      </c>
      <c r="AG219" s="4">
        <f t="shared" si="7"/>
        <v>80.00277778</v>
      </c>
      <c r="AH219" s="2" t="s">
        <v>6</v>
      </c>
    </row>
    <row r="220">
      <c r="A220" s="1" t="s">
        <v>767</v>
      </c>
      <c r="B220" s="1" t="s">
        <v>768</v>
      </c>
      <c r="C220" s="2" t="s">
        <v>769</v>
      </c>
      <c r="D220" s="2">
        <f>VLOOKUP(B220, 'ME-Subhashree'!$B$2:$F$56,5)</f>
        <v>47</v>
      </c>
      <c r="E220" s="2">
        <v>28.0</v>
      </c>
      <c r="F220" s="2">
        <f t="shared" si="1"/>
        <v>37.5</v>
      </c>
      <c r="G220" s="2">
        <v>11.0</v>
      </c>
      <c r="H220" s="2">
        <v>12.5</v>
      </c>
      <c r="I220" s="2">
        <v>25.0</v>
      </c>
      <c r="J220" s="3">
        <f t="shared" si="2"/>
        <v>8.652777778</v>
      </c>
      <c r="K220" s="2">
        <v>90.0</v>
      </c>
      <c r="L220" s="2">
        <v>195.0</v>
      </c>
      <c r="N220" s="3">
        <f t="shared" si="3"/>
        <v>195</v>
      </c>
      <c r="O220" s="2">
        <v>96.0</v>
      </c>
      <c r="P220" s="2">
        <f t="shared" si="4"/>
        <v>14.175</v>
      </c>
      <c r="Q220" s="2">
        <v>7.0</v>
      </c>
      <c r="R220" s="2">
        <v>7.0</v>
      </c>
      <c r="S220" s="2">
        <v>12.0</v>
      </c>
      <c r="T220" s="2">
        <v>15.0</v>
      </c>
      <c r="U220" s="2">
        <v>15.0</v>
      </c>
      <c r="V220" s="2">
        <v>13.5</v>
      </c>
      <c r="W220" s="2">
        <v>19.5</v>
      </c>
      <c r="X220" s="2">
        <v>25.62</v>
      </c>
      <c r="Y220" s="2">
        <v>26.84</v>
      </c>
      <c r="Z220" s="2">
        <v>30.0</v>
      </c>
      <c r="AA220" s="2">
        <v>30.0</v>
      </c>
      <c r="AB220" s="2">
        <f t="shared" si="5"/>
        <v>10.073</v>
      </c>
      <c r="AC220" s="2">
        <v>43.0</v>
      </c>
      <c r="AD220" s="2">
        <v>345.0</v>
      </c>
      <c r="AF220" s="3">
        <f t="shared" si="6"/>
        <v>9.7</v>
      </c>
      <c r="AG220" s="4">
        <f t="shared" si="7"/>
        <v>80.10077778</v>
      </c>
      <c r="AH220" s="2" t="s">
        <v>6</v>
      </c>
    </row>
    <row r="221">
      <c r="A221" s="1" t="s">
        <v>764</v>
      </c>
      <c r="B221" s="1" t="s">
        <v>765</v>
      </c>
      <c r="C221" s="2" t="s">
        <v>766</v>
      </c>
      <c r="D221" s="2">
        <f>VLOOKUP(B221, 'ME-Subhashree'!$B$2:$F$56,5)</f>
        <v>48</v>
      </c>
      <c r="E221" s="2">
        <v>32.0</v>
      </c>
      <c r="F221" s="2">
        <f t="shared" si="1"/>
        <v>40</v>
      </c>
      <c r="G221" s="2">
        <v>9.0</v>
      </c>
      <c r="H221" s="2">
        <v>11.0</v>
      </c>
      <c r="I221" s="2">
        <v>25.0</v>
      </c>
      <c r="J221" s="3">
        <f t="shared" si="2"/>
        <v>7.777777778</v>
      </c>
      <c r="K221" s="2">
        <v>100.0</v>
      </c>
      <c r="L221" s="2">
        <v>180.0</v>
      </c>
      <c r="N221" s="3">
        <f t="shared" si="3"/>
        <v>180</v>
      </c>
      <c r="O221" s="2">
        <v>70.0</v>
      </c>
      <c r="P221" s="2">
        <f t="shared" si="4"/>
        <v>13</v>
      </c>
      <c r="Q221" s="2">
        <v>7.0</v>
      </c>
      <c r="R221" s="2">
        <v>7.0</v>
      </c>
      <c r="S221" s="2">
        <v>10.0</v>
      </c>
      <c r="T221" s="2">
        <v>10.0</v>
      </c>
      <c r="U221" s="2">
        <v>15.0</v>
      </c>
      <c r="V221" s="2">
        <v>14.0</v>
      </c>
      <c r="W221" s="2">
        <v>20.0</v>
      </c>
      <c r="X221" s="2">
        <v>26.56</v>
      </c>
      <c r="Y221" s="2">
        <v>27.63</v>
      </c>
      <c r="Z221" s="2">
        <v>28.0</v>
      </c>
      <c r="AA221" s="2">
        <v>27.0</v>
      </c>
      <c r="AB221" s="2">
        <f t="shared" si="5"/>
        <v>9.6095</v>
      </c>
      <c r="AC221" s="2">
        <v>50.0</v>
      </c>
      <c r="AD221" s="2">
        <v>345.0</v>
      </c>
      <c r="AF221" s="3">
        <f t="shared" si="6"/>
        <v>9.875</v>
      </c>
      <c r="AG221" s="4">
        <f t="shared" si="7"/>
        <v>80.26227778</v>
      </c>
      <c r="AH221" s="2" t="s">
        <v>6</v>
      </c>
    </row>
    <row r="222">
      <c r="A222" s="1" t="s">
        <v>27</v>
      </c>
      <c r="B222" s="1" t="s">
        <v>28</v>
      </c>
      <c r="C222" s="2" t="s">
        <v>29</v>
      </c>
      <c r="D222" s="2">
        <f>VLOOKUP(B222, 'CSE-Sandeep'!$B$2:$G$61,5)</f>
        <v>46</v>
      </c>
      <c r="E222" s="2">
        <v>37.0</v>
      </c>
      <c r="F222" s="2">
        <f t="shared" si="1"/>
        <v>41.5</v>
      </c>
      <c r="G222" s="2">
        <v>17.0</v>
      </c>
      <c r="H222" s="2">
        <v>17.0</v>
      </c>
      <c r="I222" s="2">
        <v>37.0</v>
      </c>
      <c r="J222" s="3">
        <f t="shared" si="2"/>
        <v>12.61111111</v>
      </c>
      <c r="K222" s="2">
        <v>95.0</v>
      </c>
      <c r="L222" s="2">
        <v>200.0</v>
      </c>
      <c r="N222" s="3">
        <f t="shared" si="3"/>
        <v>200</v>
      </c>
      <c r="P222" s="2">
        <f t="shared" si="4"/>
        <v>9.75</v>
      </c>
      <c r="Q222" s="2">
        <v>6.0</v>
      </c>
      <c r="R222" s="2">
        <v>7.0</v>
      </c>
      <c r="S222" s="2">
        <v>15.0</v>
      </c>
      <c r="T222" s="2">
        <v>8.0</v>
      </c>
      <c r="U222" s="2">
        <v>15.0</v>
      </c>
      <c r="V222" s="2">
        <v>14.0</v>
      </c>
      <c r="W222" s="2">
        <v>20.0</v>
      </c>
      <c r="X222" s="2">
        <v>30.0</v>
      </c>
      <c r="Y222" s="2">
        <v>0.0</v>
      </c>
      <c r="Z222" s="2">
        <v>30.0</v>
      </c>
      <c r="AB222" s="2">
        <f t="shared" si="5"/>
        <v>7.25</v>
      </c>
      <c r="AC222" s="2">
        <v>30.0</v>
      </c>
      <c r="AD222" s="2">
        <v>340.0</v>
      </c>
      <c r="AF222" s="3">
        <f t="shared" si="6"/>
        <v>9.25</v>
      </c>
      <c r="AG222" s="4">
        <f t="shared" si="7"/>
        <v>80.36111111</v>
      </c>
      <c r="AH222" s="2" t="s">
        <v>6</v>
      </c>
    </row>
    <row r="223">
      <c r="A223" s="1" t="s">
        <v>755</v>
      </c>
      <c r="B223" s="1" t="s">
        <v>756</v>
      </c>
      <c r="C223" s="2" t="s">
        <v>757</v>
      </c>
      <c r="D223" s="2">
        <f>VLOOKUP(B223, 'ME-Subhashree'!$B$2:$F$56,5)</f>
        <v>44</v>
      </c>
      <c r="E223" s="2">
        <v>31.0</v>
      </c>
      <c r="F223" s="2">
        <f t="shared" si="1"/>
        <v>37.5</v>
      </c>
      <c r="G223" s="2">
        <v>7.0</v>
      </c>
      <c r="H223" s="2">
        <v>18.0</v>
      </c>
      <c r="I223" s="2">
        <v>28.0</v>
      </c>
      <c r="J223" s="3">
        <f t="shared" si="2"/>
        <v>9.361111111</v>
      </c>
      <c r="K223" s="2">
        <v>95.0</v>
      </c>
      <c r="L223" s="2">
        <v>185.0</v>
      </c>
      <c r="N223" s="3">
        <f t="shared" si="3"/>
        <v>185</v>
      </c>
      <c r="O223" s="2">
        <v>91.0</v>
      </c>
      <c r="P223" s="2">
        <f t="shared" si="4"/>
        <v>13.925</v>
      </c>
      <c r="Q223" s="2">
        <v>7.0</v>
      </c>
      <c r="R223" s="2">
        <v>10.0</v>
      </c>
      <c r="S223" s="2">
        <v>13.0</v>
      </c>
      <c r="T223" s="2">
        <v>13.0</v>
      </c>
      <c r="U223" s="2">
        <v>15.0</v>
      </c>
      <c r="V223" s="2">
        <v>12.5</v>
      </c>
      <c r="W223" s="2">
        <v>20.0</v>
      </c>
      <c r="X223" s="2">
        <v>28.12</v>
      </c>
      <c r="Y223" s="2">
        <v>28.42</v>
      </c>
      <c r="Z223" s="2">
        <v>29.0</v>
      </c>
      <c r="AA223" s="2">
        <v>28.0</v>
      </c>
      <c r="AB223" s="2">
        <f t="shared" si="5"/>
        <v>10.202</v>
      </c>
      <c r="AC223" s="2">
        <v>48.0</v>
      </c>
      <c r="AD223" s="2">
        <v>340.0</v>
      </c>
      <c r="AF223" s="3">
        <f t="shared" si="6"/>
        <v>9.7</v>
      </c>
      <c r="AG223" s="4">
        <f t="shared" si="7"/>
        <v>80.68811111</v>
      </c>
      <c r="AH223" s="2" t="s">
        <v>6</v>
      </c>
    </row>
    <row r="224">
      <c r="A224" s="1" t="s">
        <v>584</v>
      </c>
      <c r="B224" s="1" t="s">
        <v>585</v>
      </c>
      <c r="C224" s="2" t="s">
        <v>586</v>
      </c>
      <c r="D224" s="2">
        <f>VLOOKUP(B224, 'EE-Nitin'!$B$2:$F$57,5)</f>
        <v>48</v>
      </c>
      <c r="E224" s="2">
        <v>29.0</v>
      </c>
      <c r="F224" s="2">
        <f t="shared" si="1"/>
        <v>38.5</v>
      </c>
      <c r="G224" s="2">
        <v>6.0</v>
      </c>
      <c r="H224" s="2">
        <v>13.5</v>
      </c>
      <c r="I224" s="2">
        <v>35.0</v>
      </c>
      <c r="J224" s="3">
        <f t="shared" si="2"/>
        <v>8.763888889</v>
      </c>
      <c r="K224" s="2">
        <v>100.0</v>
      </c>
      <c r="L224" s="2">
        <v>145.0</v>
      </c>
      <c r="N224" s="3">
        <f t="shared" si="3"/>
        <v>145</v>
      </c>
      <c r="O224" s="2">
        <v>95.0</v>
      </c>
      <c r="P224" s="2">
        <f t="shared" si="4"/>
        <v>13.375</v>
      </c>
      <c r="Q224" s="2">
        <v>7.0</v>
      </c>
      <c r="R224" s="2">
        <v>8.0</v>
      </c>
      <c r="S224" s="2">
        <v>15.0</v>
      </c>
      <c r="T224" s="2">
        <v>8.0</v>
      </c>
      <c r="U224" s="2">
        <v>13.0</v>
      </c>
      <c r="V224" s="2">
        <v>15.0</v>
      </c>
      <c r="W224" s="2">
        <v>18.0</v>
      </c>
      <c r="X224" s="2">
        <v>30.0</v>
      </c>
      <c r="Y224" s="2">
        <v>30.0</v>
      </c>
      <c r="Z224" s="2">
        <v>29.0</v>
      </c>
      <c r="AA224" s="2">
        <v>29.0</v>
      </c>
      <c r="AB224" s="2">
        <f t="shared" si="5"/>
        <v>10.1</v>
      </c>
      <c r="AC224" s="2">
        <v>50.0</v>
      </c>
      <c r="AD224" s="2">
        <v>350.0</v>
      </c>
      <c r="AF224" s="3">
        <f t="shared" si="6"/>
        <v>10</v>
      </c>
      <c r="AG224" s="4">
        <f t="shared" si="7"/>
        <v>80.73888889</v>
      </c>
      <c r="AH224" s="2" t="s">
        <v>6</v>
      </c>
    </row>
    <row r="225">
      <c r="A225" s="1" t="s">
        <v>195</v>
      </c>
      <c r="B225" s="1" t="s">
        <v>196</v>
      </c>
      <c r="C225" s="2" t="s">
        <v>197</v>
      </c>
      <c r="D225" s="2">
        <f>VLOOKUP(B225, 'CSE-Sandeep'!$B$2:$G$61,5)</f>
        <v>37</v>
      </c>
      <c r="E225" s="2">
        <v>40.0</v>
      </c>
      <c r="F225" s="2">
        <f t="shared" si="1"/>
        <v>38.5</v>
      </c>
      <c r="G225" s="2">
        <v>15.0</v>
      </c>
      <c r="H225" s="2">
        <v>0.0</v>
      </c>
      <c r="I225" s="2">
        <v>41.0</v>
      </c>
      <c r="J225" s="3">
        <f t="shared" si="2"/>
        <v>8.305555556</v>
      </c>
      <c r="K225" s="2">
        <v>100.0</v>
      </c>
      <c r="L225" s="2">
        <v>195.0</v>
      </c>
      <c r="M225" s="2">
        <v>0.0</v>
      </c>
      <c r="N225" s="3">
        <f t="shared" si="3"/>
        <v>195</v>
      </c>
      <c r="O225" s="2">
        <v>98.0</v>
      </c>
      <c r="P225" s="2">
        <f t="shared" si="4"/>
        <v>14.775</v>
      </c>
      <c r="Q225" s="2">
        <v>6.0</v>
      </c>
      <c r="R225" s="2">
        <v>10.0</v>
      </c>
      <c r="T225" s="2">
        <v>13.0</v>
      </c>
      <c r="U225" s="2">
        <v>15.0</v>
      </c>
      <c r="V225" s="2">
        <v>15.0</v>
      </c>
      <c r="W225" s="2">
        <v>20.0</v>
      </c>
      <c r="X225" s="2">
        <v>28.0</v>
      </c>
      <c r="Y225" s="2">
        <v>30.0</v>
      </c>
      <c r="Z225" s="2">
        <v>28.0</v>
      </c>
      <c r="AA225" s="2">
        <v>29.0</v>
      </c>
      <c r="AB225" s="2">
        <f t="shared" si="5"/>
        <v>9.7</v>
      </c>
      <c r="AC225" s="2">
        <v>50.0</v>
      </c>
      <c r="AD225" s="2">
        <v>330.0</v>
      </c>
      <c r="AF225" s="3">
        <f t="shared" si="6"/>
        <v>9.5</v>
      </c>
      <c r="AG225" s="4">
        <f t="shared" si="7"/>
        <v>80.78055556</v>
      </c>
      <c r="AH225" s="2" t="s">
        <v>6</v>
      </c>
    </row>
    <row r="226">
      <c r="A226" s="1" t="s">
        <v>796</v>
      </c>
      <c r="B226" s="1" t="s">
        <v>797</v>
      </c>
      <c r="C226" s="2" t="s">
        <v>798</v>
      </c>
      <c r="D226" s="2">
        <f>VLOOKUP(B226, 'ME-Subhashree'!$B$2:$F$56,5)</f>
        <v>41</v>
      </c>
      <c r="E226" s="2">
        <v>31.0</v>
      </c>
      <c r="F226" s="2">
        <f t="shared" si="1"/>
        <v>36</v>
      </c>
      <c r="G226" s="2">
        <v>14.0</v>
      </c>
      <c r="H226" s="2">
        <v>16.0</v>
      </c>
      <c r="I226" s="2">
        <v>26.0</v>
      </c>
      <c r="J226" s="3">
        <f t="shared" si="2"/>
        <v>10.38888889</v>
      </c>
      <c r="K226" s="2">
        <v>95.0</v>
      </c>
      <c r="L226" s="2">
        <v>200.0</v>
      </c>
      <c r="N226" s="3">
        <f t="shared" si="3"/>
        <v>200</v>
      </c>
      <c r="O226" s="2">
        <v>94.0</v>
      </c>
      <c r="P226" s="2">
        <f t="shared" si="4"/>
        <v>14.45</v>
      </c>
      <c r="Q226" s="2">
        <v>6.0</v>
      </c>
      <c r="R226" s="2">
        <v>9.0</v>
      </c>
      <c r="S226" s="2">
        <v>15.0</v>
      </c>
      <c r="T226" s="2">
        <v>12.0</v>
      </c>
      <c r="U226" s="2">
        <v>15.0</v>
      </c>
      <c r="V226" s="2">
        <v>14.0</v>
      </c>
      <c r="W226" s="2">
        <v>20.0</v>
      </c>
      <c r="X226" s="2">
        <v>28.75</v>
      </c>
      <c r="Y226" s="2">
        <v>27.11</v>
      </c>
      <c r="Z226" s="2">
        <v>30.0</v>
      </c>
      <c r="AA226" s="2">
        <v>30.0</v>
      </c>
      <c r="AB226" s="2">
        <f t="shared" si="5"/>
        <v>10.343</v>
      </c>
      <c r="AC226" s="2">
        <v>42.0</v>
      </c>
      <c r="AD226" s="2">
        <v>342.0</v>
      </c>
      <c r="AF226" s="3">
        <f t="shared" si="6"/>
        <v>9.6</v>
      </c>
      <c r="AG226" s="4">
        <f t="shared" si="7"/>
        <v>80.78188889</v>
      </c>
      <c r="AH226" s="2" t="s">
        <v>6</v>
      </c>
    </row>
    <row r="227">
      <c r="A227" s="1" t="s">
        <v>79</v>
      </c>
      <c r="B227" s="1" t="s">
        <v>80</v>
      </c>
      <c r="C227" s="2" t="s">
        <v>81</v>
      </c>
      <c r="D227" s="2">
        <f>VLOOKUP(B227, 'CSE-Sandeep'!$B$2:$G$61,5)</f>
        <v>41</v>
      </c>
      <c r="E227" s="2">
        <v>30.0</v>
      </c>
      <c r="F227" s="2">
        <f t="shared" si="1"/>
        <v>35.5</v>
      </c>
      <c r="G227" s="2">
        <v>7.0</v>
      </c>
      <c r="H227" s="2">
        <v>16.5</v>
      </c>
      <c r="I227" s="2">
        <v>40.0</v>
      </c>
      <c r="J227" s="3">
        <f t="shared" si="2"/>
        <v>10.31944444</v>
      </c>
      <c r="K227" s="2">
        <v>100.0</v>
      </c>
      <c r="L227" s="2">
        <v>200.0</v>
      </c>
      <c r="N227" s="3">
        <f t="shared" si="3"/>
        <v>200</v>
      </c>
      <c r="O227" s="2">
        <v>100.0</v>
      </c>
      <c r="P227" s="2">
        <f t="shared" si="4"/>
        <v>15</v>
      </c>
      <c r="Q227" s="2">
        <v>7.0</v>
      </c>
      <c r="R227" s="2">
        <v>7.0</v>
      </c>
      <c r="S227" s="2">
        <v>15.0</v>
      </c>
      <c r="T227" s="2">
        <v>11.0</v>
      </c>
      <c r="U227" s="2">
        <v>15.0</v>
      </c>
      <c r="V227" s="2">
        <v>15.0</v>
      </c>
      <c r="W227" s="2">
        <v>18.0</v>
      </c>
      <c r="X227" s="2">
        <v>30.0</v>
      </c>
      <c r="Y227" s="2">
        <v>30.0</v>
      </c>
      <c r="Z227" s="2">
        <v>30.0</v>
      </c>
      <c r="AA227" s="2">
        <v>30.0</v>
      </c>
      <c r="AB227" s="2">
        <f t="shared" si="5"/>
        <v>10.4</v>
      </c>
      <c r="AC227" s="2">
        <v>50.0</v>
      </c>
      <c r="AD227" s="2">
        <v>340.0</v>
      </c>
      <c r="AF227" s="3">
        <f t="shared" si="6"/>
        <v>9.75</v>
      </c>
      <c r="AG227" s="4">
        <f t="shared" si="7"/>
        <v>80.96944444</v>
      </c>
      <c r="AH227" s="2" t="s">
        <v>6</v>
      </c>
    </row>
    <row r="228">
      <c r="A228" s="1" t="s">
        <v>286</v>
      </c>
      <c r="B228" s="1" t="s">
        <v>287</v>
      </c>
      <c r="C228" s="2" t="s">
        <v>288</v>
      </c>
      <c r="D228" s="2">
        <f>VLOOKUP(B228,'DSAI-Vikrant'!$B$2:$F$44,5)</f>
        <v>52</v>
      </c>
      <c r="E228" s="2">
        <v>27.0</v>
      </c>
      <c r="F228" s="2">
        <f t="shared" si="1"/>
        <v>39.5</v>
      </c>
      <c r="G228" s="2">
        <v>14.0</v>
      </c>
      <c r="H228" s="2">
        <v>14.0</v>
      </c>
      <c r="I228" s="2">
        <v>20.5</v>
      </c>
      <c r="J228" s="3">
        <f t="shared" si="2"/>
        <v>9.277777778</v>
      </c>
      <c r="K228" s="2">
        <v>95.0</v>
      </c>
      <c r="L228" s="2">
        <v>199.0</v>
      </c>
      <c r="N228" s="3">
        <f t="shared" si="3"/>
        <v>199</v>
      </c>
      <c r="O228" s="2">
        <v>95.0</v>
      </c>
      <c r="P228" s="2">
        <f t="shared" si="4"/>
        <v>14.475</v>
      </c>
      <c r="Q228" s="2">
        <v>7.0</v>
      </c>
      <c r="R228" s="2">
        <v>3.0</v>
      </c>
      <c r="S228" s="2">
        <v>8.0</v>
      </c>
      <c r="T228" s="2">
        <v>0.0</v>
      </c>
      <c r="U228" s="2">
        <v>15.0</v>
      </c>
      <c r="V228" s="2">
        <v>15.0</v>
      </c>
      <c r="W228" s="2">
        <v>20.0</v>
      </c>
      <c r="X228" s="2">
        <v>30.0</v>
      </c>
      <c r="Y228" s="2">
        <v>28.0</v>
      </c>
      <c r="Z228" s="2">
        <v>28.0</v>
      </c>
      <c r="AA228" s="2">
        <v>28.0</v>
      </c>
      <c r="AB228" s="2">
        <f t="shared" si="5"/>
        <v>9.1</v>
      </c>
      <c r="AC228" s="2">
        <v>10.0</v>
      </c>
      <c r="AD228" s="2">
        <v>335.0</v>
      </c>
      <c r="AF228" s="3">
        <f t="shared" si="6"/>
        <v>8.625</v>
      </c>
      <c r="AG228" s="4">
        <f t="shared" si="7"/>
        <v>80.97777778</v>
      </c>
      <c r="AH228" s="2" t="s">
        <v>6</v>
      </c>
    </row>
    <row r="229">
      <c r="A229" s="1" t="s">
        <v>70</v>
      </c>
      <c r="B229" s="1" t="s">
        <v>71</v>
      </c>
      <c r="C229" s="2" t="s">
        <v>72</v>
      </c>
      <c r="D229" s="2">
        <f>VLOOKUP(B229, 'CSE-Sandeep'!$B$2:$G$61,5)</f>
        <v>43</v>
      </c>
      <c r="E229" s="2">
        <v>37.0</v>
      </c>
      <c r="F229" s="2">
        <f t="shared" si="1"/>
        <v>40</v>
      </c>
      <c r="G229" s="2">
        <v>12.0</v>
      </c>
      <c r="H229" s="2">
        <v>12.0</v>
      </c>
      <c r="I229" s="2">
        <v>25.0</v>
      </c>
      <c r="J229" s="3">
        <f t="shared" si="2"/>
        <v>8.777777778</v>
      </c>
      <c r="K229" s="2">
        <v>90.0</v>
      </c>
      <c r="L229" s="2">
        <v>190.0</v>
      </c>
      <c r="N229" s="3">
        <f t="shared" si="3"/>
        <v>190</v>
      </c>
      <c r="O229" s="2">
        <v>90.0</v>
      </c>
      <c r="P229" s="2">
        <f t="shared" si="4"/>
        <v>13.75</v>
      </c>
      <c r="Q229" s="2">
        <v>7.0</v>
      </c>
      <c r="R229" s="2">
        <v>8.0</v>
      </c>
      <c r="S229" s="2">
        <v>14.0</v>
      </c>
      <c r="T229" s="2">
        <v>12.0</v>
      </c>
      <c r="U229" s="2">
        <v>15.0</v>
      </c>
      <c r="V229" s="2">
        <v>14.0</v>
      </c>
      <c r="W229" s="2">
        <v>20.0</v>
      </c>
      <c r="X229" s="2">
        <v>30.0</v>
      </c>
      <c r="Y229" s="2">
        <v>20.0</v>
      </c>
      <c r="Z229" s="2">
        <v>30.0</v>
      </c>
      <c r="AA229" s="2">
        <v>30.0</v>
      </c>
      <c r="AB229" s="2">
        <f t="shared" si="5"/>
        <v>10</v>
      </c>
      <c r="AD229" s="2">
        <v>340.0</v>
      </c>
      <c r="AF229" s="3">
        <f t="shared" si="6"/>
        <v>8.5</v>
      </c>
      <c r="AG229" s="4">
        <f t="shared" si="7"/>
        <v>81.02777778</v>
      </c>
      <c r="AH229" s="2" t="s">
        <v>6</v>
      </c>
    </row>
    <row r="230">
      <c r="A230" s="1" t="s">
        <v>778</v>
      </c>
      <c r="B230" s="1" t="s">
        <v>779</v>
      </c>
      <c r="C230" s="2" t="s">
        <v>780</v>
      </c>
      <c r="D230" s="2">
        <f>VLOOKUP(B230, 'ME-Subhashree'!$B$2:$F$56,5)</f>
        <v>47</v>
      </c>
      <c r="E230" s="2">
        <v>35.0</v>
      </c>
      <c r="F230" s="2">
        <f t="shared" si="1"/>
        <v>41</v>
      </c>
      <c r="G230" s="2">
        <v>12.0</v>
      </c>
      <c r="H230" s="2">
        <v>9.5</v>
      </c>
      <c r="I230" s="2">
        <v>20.0</v>
      </c>
      <c r="J230" s="3">
        <f t="shared" si="2"/>
        <v>7.597222222</v>
      </c>
      <c r="K230" s="2">
        <v>100.0</v>
      </c>
      <c r="L230" s="2">
        <v>198.0</v>
      </c>
      <c r="N230" s="3">
        <f t="shared" si="3"/>
        <v>198</v>
      </c>
      <c r="O230" s="2">
        <v>94.0</v>
      </c>
      <c r="P230" s="2">
        <f t="shared" si="4"/>
        <v>14.65</v>
      </c>
      <c r="R230" s="2">
        <v>8.0</v>
      </c>
      <c r="S230" s="2">
        <v>12.0</v>
      </c>
      <c r="T230" s="2">
        <v>14.0</v>
      </c>
      <c r="U230" s="2">
        <v>14.0</v>
      </c>
      <c r="V230" s="2">
        <v>14.0</v>
      </c>
      <c r="W230" s="2">
        <v>17.0</v>
      </c>
      <c r="X230" s="2">
        <v>28.0</v>
      </c>
      <c r="Y230" s="2">
        <v>27.37</v>
      </c>
      <c r="AA230" s="2">
        <v>30.0</v>
      </c>
      <c r="AB230" s="2">
        <f t="shared" si="5"/>
        <v>8.2185</v>
      </c>
      <c r="AC230" s="2">
        <v>43.0</v>
      </c>
      <c r="AD230" s="2">
        <v>343.0</v>
      </c>
      <c r="AF230" s="3">
        <f t="shared" si="6"/>
        <v>9.65</v>
      </c>
      <c r="AG230" s="4">
        <f t="shared" si="7"/>
        <v>81.11572222</v>
      </c>
      <c r="AH230" s="2" t="s">
        <v>6</v>
      </c>
    </row>
    <row r="231">
      <c r="A231" s="1" t="s">
        <v>432</v>
      </c>
      <c r="B231" s="1" t="s">
        <v>433</v>
      </c>
      <c r="C231" s="2" t="s">
        <v>434</v>
      </c>
      <c r="D231" s="2">
        <f>VLOOKUP(B231,'EC-Nitin'!$B$2:$F$46,5)</f>
        <v>46</v>
      </c>
      <c r="E231" s="2">
        <v>29.0</v>
      </c>
      <c r="F231" s="2">
        <f t="shared" si="1"/>
        <v>37.5</v>
      </c>
      <c r="G231" s="2">
        <v>10.0</v>
      </c>
      <c r="H231" s="2">
        <v>14.5</v>
      </c>
      <c r="I231" s="2">
        <v>43.0</v>
      </c>
      <c r="J231" s="3">
        <f t="shared" si="2"/>
        <v>10.90277778</v>
      </c>
      <c r="K231" s="2">
        <v>80.0</v>
      </c>
      <c r="L231" s="2">
        <v>180.0</v>
      </c>
      <c r="N231" s="3">
        <f t="shared" si="3"/>
        <v>180</v>
      </c>
      <c r="O231" s="2">
        <v>98.0</v>
      </c>
      <c r="P231" s="2">
        <f t="shared" si="4"/>
        <v>13.4</v>
      </c>
      <c r="Q231" s="2">
        <v>6.0</v>
      </c>
      <c r="R231" s="2">
        <v>5.0</v>
      </c>
      <c r="S231" s="2">
        <v>10.0</v>
      </c>
      <c r="T231" s="2">
        <v>10.0</v>
      </c>
      <c r="U231" s="2">
        <v>15.0</v>
      </c>
      <c r="V231" s="2">
        <v>14.0</v>
      </c>
      <c r="W231" s="2">
        <v>20.0</v>
      </c>
      <c r="X231" s="2">
        <v>30.0</v>
      </c>
      <c r="Y231" s="2">
        <v>24.0</v>
      </c>
      <c r="Z231" s="2">
        <v>29.0</v>
      </c>
      <c r="AA231" s="2">
        <v>30.0</v>
      </c>
      <c r="AB231" s="2">
        <f t="shared" si="5"/>
        <v>9.65</v>
      </c>
      <c r="AC231" s="2">
        <v>50.0</v>
      </c>
      <c r="AD231" s="2">
        <v>345.0</v>
      </c>
      <c r="AF231" s="3">
        <f t="shared" si="6"/>
        <v>9.875</v>
      </c>
      <c r="AG231" s="4">
        <f t="shared" si="7"/>
        <v>81.32777778</v>
      </c>
      <c r="AH231" s="2" t="s">
        <v>6</v>
      </c>
    </row>
    <row r="232">
      <c r="A232" s="1" t="s">
        <v>474</v>
      </c>
      <c r="B232" s="1" t="s">
        <v>475</v>
      </c>
      <c r="C232" s="2" t="s">
        <v>476</v>
      </c>
      <c r="D232" s="2">
        <f>VLOOKUP(B232, 'EE-Nitin'!$B$2:$F$57,5)</f>
        <v>43</v>
      </c>
      <c r="E232" s="2">
        <v>33.0</v>
      </c>
      <c r="F232" s="2">
        <f t="shared" si="1"/>
        <v>38</v>
      </c>
      <c r="G232" s="2">
        <v>13.0</v>
      </c>
      <c r="H232" s="2">
        <v>16.0</v>
      </c>
      <c r="I232" s="2">
        <v>28.0</v>
      </c>
      <c r="J232" s="3">
        <f t="shared" si="2"/>
        <v>10.36111111</v>
      </c>
      <c r="K232" s="2">
        <v>99.0</v>
      </c>
      <c r="L232" s="2">
        <v>195.0</v>
      </c>
      <c r="N232" s="3">
        <f t="shared" si="3"/>
        <v>195</v>
      </c>
      <c r="O232" s="2">
        <v>98.0</v>
      </c>
      <c r="P232" s="2">
        <f t="shared" si="4"/>
        <v>14.725</v>
      </c>
      <c r="Q232" s="2">
        <v>5.0</v>
      </c>
      <c r="R232" s="2">
        <v>10.0</v>
      </c>
      <c r="S232" s="2">
        <v>11.0</v>
      </c>
      <c r="T232" s="2">
        <v>10.0</v>
      </c>
      <c r="U232" s="2">
        <v>15.0</v>
      </c>
      <c r="V232" s="2">
        <v>14.0</v>
      </c>
      <c r="W232" s="2">
        <v>19.5</v>
      </c>
      <c r="X232" s="2">
        <v>29.0</v>
      </c>
      <c r="Y232" s="2">
        <v>27.0</v>
      </c>
      <c r="Z232" s="2">
        <v>28.0</v>
      </c>
      <c r="AA232" s="2">
        <v>27.0</v>
      </c>
      <c r="AB232" s="2">
        <f t="shared" si="5"/>
        <v>9.775</v>
      </c>
      <c r="AC232" s="2">
        <v>0.0</v>
      </c>
      <c r="AD232" s="2">
        <v>344.0</v>
      </c>
      <c r="AF232" s="3">
        <f t="shared" si="6"/>
        <v>8.6</v>
      </c>
      <c r="AG232" s="4">
        <f t="shared" si="7"/>
        <v>81.46111111</v>
      </c>
      <c r="AH232" s="2" t="s">
        <v>6</v>
      </c>
    </row>
    <row r="233">
      <c r="A233" s="1" t="s">
        <v>554</v>
      </c>
      <c r="B233" s="1" t="s">
        <v>555</v>
      </c>
      <c r="C233" s="2" t="s">
        <v>556</v>
      </c>
      <c r="D233" s="2">
        <f>VLOOKUP(B233, 'EE-Nitin'!$B$2:$F$57,5)</f>
        <v>43</v>
      </c>
      <c r="E233" s="2">
        <v>32.0</v>
      </c>
      <c r="F233" s="2">
        <f t="shared" si="1"/>
        <v>37.5</v>
      </c>
      <c r="G233" s="2">
        <v>11.0</v>
      </c>
      <c r="H233" s="2">
        <v>12.5</v>
      </c>
      <c r="I233" s="2">
        <v>37.0</v>
      </c>
      <c r="J233" s="3">
        <f t="shared" si="2"/>
        <v>9.986111111</v>
      </c>
      <c r="K233" s="2">
        <v>98.0</v>
      </c>
      <c r="L233" s="2">
        <v>187.0</v>
      </c>
      <c r="N233" s="3">
        <f t="shared" si="3"/>
        <v>187</v>
      </c>
      <c r="O233" s="2">
        <v>99.0</v>
      </c>
      <c r="P233" s="2">
        <f t="shared" si="4"/>
        <v>14.525</v>
      </c>
      <c r="Q233" s="2">
        <v>6.0</v>
      </c>
      <c r="R233" s="2">
        <v>4.0</v>
      </c>
      <c r="S233" s="2">
        <v>13.0</v>
      </c>
      <c r="T233" s="2">
        <v>11.0</v>
      </c>
      <c r="U233" s="2">
        <v>14.5</v>
      </c>
      <c r="V233" s="2">
        <v>15.0</v>
      </c>
      <c r="W233" s="2">
        <v>20.0</v>
      </c>
      <c r="X233" s="2">
        <v>29.0</v>
      </c>
      <c r="Y233" s="2">
        <v>28.0</v>
      </c>
      <c r="Z233" s="2">
        <v>30.0</v>
      </c>
      <c r="AA233" s="2">
        <v>30.0</v>
      </c>
      <c r="AB233" s="2">
        <f t="shared" si="5"/>
        <v>10.025</v>
      </c>
      <c r="AC233" s="2">
        <v>30.0</v>
      </c>
      <c r="AD233" s="2">
        <v>348.0</v>
      </c>
      <c r="AF233" s="3">
        <f t="shared" si="6"/>
        <v>9.45</v>
      </c>
      <c r="AG233" s="4">
        <f t="shared" si="7"/>
        <v>81.48611111</v>
      </c>
      <c r="AH233" s="2" t="s">
        <v>6</v>
      </c>
    </row>
    <row r="234">
      <c r="A234" s="1" t="s">
        <v>874</v>
      </c>
      <c r="B234" s="1" t="s">
        <v>875</v>
      </c>
      <c r="C234" s="2" t="s">
        <v>876</v>
      </c>
      <c r="D234" s="2">
        <f>VLOOKUP(B234,MT!$B$2:$F$30,5)</f>
        <v>48</v>
      </c>
      <c r="E234" s="2">
        <v>31.0</v>
      </c>
      <c r="F234" s="2">
        <f t="shared" si="1"/>
        <v>39.5</v>
      </c>
      <c r="G234" s="2">
        <v>16.0</v>
      </c>
      <c r="H234" s="2">
        <v>16.0</v>
      </c>
      <c r="I234" s="2">
        <v>34.0</v>
      </c>
      <c r="J234" s="3">
        <f t="shared" si="2"/>
        <v>11.77777778</v>
      </c>
      <c r="K234" s="2">
        <v>95.0</v>
      </c>
      <c r="L234" s="2">
        <v>160.0</v>
      </c>
      <c r="N234" s="3">
        <f t="shared" si="3"/>
        <v>160</v>
      </c>
      <c r="O234" s="2">
        <v>98.0</v>
      </c>
      <c r="P234" s="2">
        <f t="shared" si="4"/>
        <v>13.65</v>
      </c>
      <c r="Q234" s="2">
        <v>7.0</v>
      </c>
      <c r="R234" s="2">
        <v>5.0</v>
      </c>
      <c r="S234" s="2">
        <v>14.0</v>
      </c>
      <c r="T234" s="2">
        <v>15.0</v>
      </c>
      <c r="U234" s="2">
        <v>13.0</v>
      </c>
      <c r="V234" s="2">
        <v>12.0</v>
      </c>
      <c r="W234" s="2">
        <v>18.0</v>
      </c>
      <c r="Y234" s="2">
        <v>0.0</v>
      </c>
      <c r="Z234" s="2">
        <v>29.0</v>
      </c>
      <c r="AA234" s="2">
        <v>28.0</v>
      </c>
      <c r="AB234" s="2">
        <f t="shared" si="5"/>
        <v>7.05</v>
      </c>
      <c r="AC234" s="2">
        <v>45.0</v>
      </c>
      <c r="AD234" s="2">
        <v>340.0</v>
      </c>
      <c r="AF234" s="3">
        <f t="shared" si="6"/>
        <v>9.625</v>
      </c>
      <c r="AG234" s="4">
        <f t="shared" si="7"/>
        <v>81.60277778</v>
      </c>
      <c r="AH234" s="2" t="s">
        <v>6</v>
      </c>
    </row>
    <row r="235">
      <c r="A235" s="1" t="s">
        <v>387</v>
      </c>
      <c r="B235" s="1" t="s">
        <v>388</v>
      </c>
      <c r="C235" s="2" t="s">
        <v>389</v>
      </c>
      <c r="D235" s="2">
        <f>VLOOKUP(B235,'EC-Nitin'!$B$2:$F$46,5)</f>
        <v>41</v>
      </c>
      <c r="E235" s="2">
        <v>36.0</v>
      </c>
      <c r="F235" s="2">
        <f t="shared" si="1"/>
        <v>38.5</v>
      </c>
      <c r="G235" s="2">
        <v>7.0</v>
      </c>
      <c r="H235" s="2">
        <v>16.0</v>
      </c>
      <c r="I235" s="2">
        <v>34.0</v>
      </c>
      <c r="J235" s="3">
        <f t="shared" si="2"/>
        <v>9.527777778</v>
      </c>
      <c r="K235" s="2">
        <v>90.0</v>
      </c>
      <c r="L235" s="2">
        <v>185.0</v>
      </c>
      <c r="N235" s="3">
        <f t="shared" si="3"/>
        <v>185</v>
      </c>
      <c r="O235" s="2">
        <v>95.0</v>
      </c>
      <c r="P235" s="2">
        <f t="shared" si="4"/>
        <v>13.875</v>
      </c>
      <c r="Q235" s="2">
        <v>7.0</v>
      </c>
      <c r="R235" s="2">
        <v>9.0</v>
      </c>
      <c r="S235" s="2">
        <v>13.0</v>
      </c>
      <c r="T235" s="2">
        <v>15.0</v>
      </c>
      <c r="U235" s="2">
        <v>11.0</v>
      </c>
      <c r="V235" s="2">
        <v>10.0</v>
      </c>
      <c r="W235" s="2">
        <v>20.0</v>
      </c>
      <c r="X235" s="2">
        <v>30.0</v>
      </c>
      <c r="Y235" s="2">
        <v>30.0</v>
      </c>
      <c r="Z235" s="2">
        <v>30.0</v>
      </c>
      <c r="AA235" s="2">
        <v>30.0</v>
      </c>
      <c r="AB235" s="2">
        <f t="shared" si="5"/>
        <v>10.25</v>
      </c>
      <c r="AC235" s="2">
        <v>30.0</v>
      </c>
      <c r="AD235" s="2">
        <v>350.0</v>
      </c>
      <c r="AF235" s="3">
        <f t="shared" si="6"/>
        <v>9.5</v>
      </c>
      <c r="AG235" s="4">
        <f t="shared" si="7"/>
        <v>81.65277778</v>
      </c>
      <c r="AH235" s="2" t="s">
        <v>6</v>
      </c>
    </row>
    <row r="236">
      <c r="A236" s="1" t="s">
        <v>1032</v>
      </c>
      <c r="B236" s="1" t="s">
        <v>9</v>
      </c>
      <c r="C236" s="2" t="s">
        <v>10</v>
      </c>
      <c r="D236" s="2">
        <v>47.0</v>
      </c>
      <c r="E236" s="2">
        <v>34.0</v>
      </c>
      <c r="F236" s="2">
        <f t="shared" si="1"/>
        <v>40.5</v>
      </c>
      <c r="G236" s="2">
        <v>15.0</v>
      </c>
      <c r="H236" s="2">
        <v>19.0</v>
      </c>
      <c r="I236" s="2">
        <v>26.0</v>
      </c>
      <c r="J236" s="3">
        <f t="shared" si="2"/>
        <v>11.38888889</v>
      </c>
      <c r="K236" s="2">
        <v>95.0</v>
      </c>
      <c r="L236" s="2">
        <v>190.0</v>
      </c>
      <c r="M236" s="2">
        <v>200.0</v>
      </c>
      <c r="N236" s="3">
        <f t="shared" si="3"/>
        <v>200</v>
      </c>
      <c r="O236" s="2">
        <v>95.0</v>
      </c>
      <c r="P236" s="2">
        <f t="shared" si="4"/>
        <v>14.5</v>
      </c>
      <c r="Q236" s="2">
        <v>7.0</v>
      </c>
      <c r="R236" s="2">
        <v>7.0</v>
      </c>
      <c r="S236" s="2">
        <v>9.0</v>
      </c>
      <c r="T236" s="2">
        <v>13.0</v>
      </c>
      <c r="U236" s="2">
        <v>15.0</v>
      </c>
      <c r="V236" s="2">
        <v>15.0</v>
      </c>
      <c r="W236" s="2">
        <v>20.0</v>
      </c>
      <c r="Z236" s="2">
        <v>30.0</v>
      </c>
      <c r="AB236" s="2">
        <f t="shared" si="5"/>
        <v>5.8</v>
      </c>
      <c r="AC236" s="2">
        <v>50.0</v>
      </c>
      <c r="AD236" s="2">
        <v>330.0</v>
      </c>
      <c r="AF236" s="3">
        <f t="shared" si="6"/>
        <v>9.5</v>
      </c>
      <c r="AG236" s="4">
        <f t="shared" si="7"/>
        <v>81.68888889</v>
      </c>
      <c r="AH236" s="2" t="s">
        <v>6</v>
      </c>
    </row>
    <row r="237">
      <c r="A237" s="1" t="s">
        <v>104</v>
      </c>
      <c r="B237" s="1" t="s">
        <v>105</v>
      </c>
      <c r="C237" s="2" t="s">
        <v>106</v>
      </c>
      <c r="D237" s="2">
        <f>VLOOKUP(B237, 'CSE-Sandeep'!$B$2:$G$61,5)</f>
        <v>44</v>
      </c>
      <c r="E237" s="2">
        <v>29.0</v>
      </c>
      <c r="F237" s="2">
        <f t="shared" si="1"/>
        <v>36.5</v>
      </c>
      <c r="G237" s="2">
        <v>15.0</v>
      </c>
      <c r="H237" s="2">
        <v>11.0</v>
      </c>
      <c r="I237" s="2">
        <v>34.0</v>
      </c>
      <c r="J237" s="3">
        <f t="shared" si="2"/>
        <v>10.27777778</v>
      </c>
      <c r="K237" s="2">
        <v>100.0</v>
      </c>
      <c r="L237" s="2">
        <v>184.0</v>
      </c>
      <c r="N237" s="3">
        <f t="shared" si="3"/>
        <v>184</v>
      </c>
      <c r="O237" s="2">
        <v>100.0</v>
      </c>
      <c r="P237" s="2">
        <f t="shared" si="4"/>
        <v>14.6</v>
      </c>
      <c r="Q237" s="2">
        <v>6.0</v>
      </c>
      <c r="R237" s="2">
        <v>8.0</v>
      </c>
      <c r="S237" s="2">
        <v>14.0</v>
      </c>
      <c r="T237" s="2">
        <v>12.0</v>
      </c>
      <c r="U237" s="2">
        <v>15.0</v>
      </c>
      <c r="V237" s="2">
        <v>15.0</v>
      </c>
      <c r="W237" s="2">
        <v>20.0</v>
      </c>
      <c r="X237" s="2">
        <v>30.0</v>
      </c>
      <c r="Y237" s="2">
        <v>30.0</v>
      </c>
      <c r="Z237" s="2">
        <v>30.0</v>
      </c>
      <c r="AA237" s="2">
        <v>29.0</v>
      </c>
      <c r="AB237" s="2">
        <f t="shared" si="5"/>
        <v>10.45</v>
      </c>
      <c r="AC237" s="2">
        <v>50.0</v>
      </c>
      <c r="AD237" s="2">
        <v>350.0</v>
      </c>
      <c r="AF237" s="3">
        <f t="shared" si="6"/>
        <v>10</v>
      </c>
      <c r="AG237" s="4">
        <f t="shared" si="7"/>
        <v>81.82777778</v>
      </c>
      <c r="AH237" s="2" t="s">
        <v>6</v>
      </c>
    </row>
    <row r="238">
      <c r="A238" s="1" t="s">
        <v>34</v>
      </c>
      <c r="B238" s="1" t="s">
        <v>35</v>
      </c>
      <c r="C238" s="2" t="s">
        <v>36</v>
      </c>
      <c r="D238" s="2">
        <f>VLOOKUP(B238, 'CSE-Sandeep'!$B$2:$G$61,5)</f>
        <v>47</v>
      </c>
      <c r="E238" s="2">
        <v>33.0</v>
      </c>
      <c r="F238" s="2">
        <f t="shared" si="1"/>
        <v>40</v>
      </c>
      <c r="G238" s="2">
        <v>11.0</v>
      </c>
      <c r="H238" s="2">
        <v>11.0</v>
      </c>
      <c r="I238" s="2">
        <v>35.5</v>
      </c>
      <c r="J238" s="3">
        <f t="shared" si="2"/>
        <v>9.444444444</v>
      </c>
      <c r="K238" s="2">
        <v>95.0</v>
      </c>
      <c r="L238" s="2">
        <v>190.0</v>
      </c>
      <c r="N238" s="3">
        <f t="shared" si="3"/>
        <v>190</v>
      </c>
      <c r="O238" s="2">
        <v>92.0</v>
      </c>
      <c r="P238" s="2">
        <f t="shared" si="4"/>
        <v>14.1</v>
      </c>
      <c r="Q238" s="2">
        <v>6.0</v>
      </c>
      <c r="R238" s="2">
        <v>8.0</v>
      </c>
      <c r="S238" s="2">
        <v>14.0</v>
      </c>
      <c r="T238" s="2">
        <v>10.0</v>
      </c>
      <c r="U238" s="2">
        <v>15.0</v>
      </c>
      <c r="V238" s="2">
        <v>14.0</v>
      </c>
      <c r="W238" s="2">
        <v>20.0</v>
      </c>
      <c r="X238" s="2">
        <v>30.0</v>
      </c>
      <c r="Y238" s="2">
        <v>30.0</v>
      </c>
      <c r="Z238" s="2">
        <v>30.0</v>
      </c>
      <c r="AB238" s="2">
        <f t="shared" si="5"/>
        <v>8.85</v>
      </c>
      <c r="AC238" s="2">
        <v>50.0</v>
      </c>
      <c r="AD238" s="2">
        <v>330.0</v>
      </c>
      <c r="AF238" s="3">
        <f t="shared" si="6"/>
        <v>9.5</v>
      </c>
      <c r="AG238" s="4">
        <f t="shared" si="7"/>
        <v>81.89444444</v>
      </c>
      <c r="AH238" s="2" t="s">
        <v>6</v>
      </c>
    </row>
    <row r="239">
      <c r="A239" s="1" t="s">
        <v>14</v>
      </c>
      <c r="B239" s="1" t="s">
        <v>15</v>
      </c>
      <c r="C239" s="2" t="s">
        <v>16</v>
      </c>
      <c r="D239" s="2">
        <f>VLOOKUP(B239, 'CSE-Sandeep'!$B$2:$G$61,5)</f>
        <v>45</v>
      </c>
      <c r="E239" s="2">
        <v>32.0</v>
      </c>
      <c r="F239" s="2">
        <f t="shared" si="1"/>
        <v>38.5</v>
      </c>
      <c r="G239" s="2">
        <v>13.0</v>
      </c>
      <c r="H239" s="2">
        <v>13.0</v>
      </c>
      <c r="I239" s="2">
        <v>43.0</v>
      </c>
      <c r="J239" s="3">
        <f t="shared" si="2"/>
        <v>11.27777778</v>
      </c>
      <c r="K239" s="2">
        <v>100.0</v>
      </c>
      <c r="L239" s="2">
        <v>200.0</v>
      </c>
      <c r="N239" s="3">
        <f t="shared" si="3"/>
        <v>200</v>
      </c>
      <c r="O239" s="2">
        <v>98.0</v>
      </c>
      <c r="P239" s="2">
        <f t="shared" si="4"/>
        <v>14.9</v>
      </c>
      <c r="Q239" s="2">
        <v>7.0</v>
      </c>
      <c r="R239" s="2">
        <v>8.0</v>
      </c>
      <c r="S239" s="2">
        <v>15.0</v>
      </c>
      <c r="T239" s="2">
        <v>15.0</v>
      </c>
      <c r="U239" s="2">
        <v>14.0</v>
      </c>
      <c r="V239" s="2">
        <v>15.0</v>
      </c>
      <c r="W239" s="2">
        <v>20.0</v>
      </c>
      <c r="X239" s="2">
        <v>30.0</v>
      </c>
      <c r="Y239" s="2">
        <v>30.0</v>
      </c>
      <c r="Z239" s="2">
        <v>3.0</v>
      </c>
      <c r="AB239" s="2">
        <f t="shared" si="5"/>
        <v>7.85</v>
      </c>
      <c r="AC239" s="2">
        <v>40.0</v>
      </c>
      <c r="AD239" s="2">
        <v>335.0</v>
      </c>
      <c r="AF239" s="3">
        <f t="shared" si="6"/>
        <v>9.375</v>
      </c>
      <c r="AG239" s="4">
        <f t="shared" si="7"/>
        <v>81.90277778</v>
      </c>
      <c r="AH239" s="2" t="s">
        <v>6</v>
      </c>
    </row>
    <row r="240">
      <c r="A240" s="1" t="s">
        <v>333</v>
      </c>
      <c r="B240" s="1" t="s">
        <v>334</v>
      </c>
      <c r="C240" s="2" t="s">
        <v>335</v>
      </c>
      <c r="D240" s="2">
        <f>VLOOKUP(B240,'EC-Nitin'!$B$2:$F$46,5)</f>
        <v>45</v>
      </c>
      <c r="E240" s="2">
        <v>27.0</v>
      </c>
      <c r="F240" s="2">
        <f t="shared" si="1"/>
        <v>36</v>
      </c>
      <c r="G240" s="2">
        <v>13.0</v>
      </c>
      <c r="H240" s="2">
        <v>15.0</v>
      </c>
      <c r="I240" s="2">
        <v>33.0</v>
      </c>
      <c r="J240" s="3">
        <f t="shared" si="2"/>
        <v>10.66666667</v>
      </c>
      <c r="K240" s="2">
        <v>100.0</v>
      </c>
      <c r="L240" s="2">
        <v>165.0</v>
      </c>
      <c r="M240" s="2">
        <v>200.0</v>
      </c>
      <c r="N240" s="3">
        <f t="shared" si="3"/>
        <v>200</v>
      </c>
      <c r="O240" s="2">
        <v>100.0</v>
      </c>
      <c r="P240" s="2">
        <f t="shared" si="4"/>
        <v>15</v>
      </c>
      <c r="Q240" s="2">
        <v>7.0</v>
      </c>
      <c r="R240" s="2">
        <v>5.0</v>
      </c>
      <c r="S240" s="2">
        <v>15.0</v>
      </c>
      <c r="T240" s="2">
        <v>15.0</v>
      </c>
      <c r="U240" s="2">
        <v>12.0</v>
      </c>
      <c r="V240" s="2">
        <v>14.0</v>
      </c>
      <c r="W240" s="2">
        <v>20.0</v>
      </c>
      <c r="X240" s="2">
        <v>30.0</v>
      </c>
      <c r="Y240" s="2">
        <v>30.0</v>
      </c>
      <c r="Z240" s="2">
        <v>30.0</v>
      </c>
      <c r="AA240" s="2">
        <v>30.0</v>
      </c>
      <c r="AB240" s="2">
        <f t="shared" si="5"/>
        <v>10.4</v>
      </c>
      <c r="AC240" s="2">
        <v>50.0</v>
      </c>
      <c r="AD240" s="2">
        <v>350.0</v>
      </c>
      <c r="AF240" s="3">
        <f t="shared" si="6"/>
        <v>10</v>
      </c>
      <c r="AG240" s="4">
        <f t="shared" si="7"/>
        <v>82.06666667</v>
      </c>
      <c r="AH240" s="2" t="s">
        <v>6</v>
      </c>
    </row>
    <row r="241">
      <c r="A241" s="1" t="s">
        <v>943</v>
      </c>
      <c r="B241" s="1" t="s">
        <v>944</v>
      </c>
      <c r="C241" s="2" t="s">
        <v>945</v>
      </c>
      <c r="D241" s="2">
        <f>VLOOKUP(B241,MT!$B$2:$F$30,5)</f>
        <v>32</v>
      </c>
      <c r="E241" s="2">
        <v>38.0</v>
      </c>
      <c r="F241" s="2">
        <f t="shared" si="1"/>
        <v>35</v>
      </c>
      <c r="G241" s="2">
        <v>14.0</v>
      </c>
      <c r="H241" s="2">
        <v>19.0</v>
      </c>
      <c r="I241" s="2">
        <v>32.0</v>
      </c>
      <c r="J241" s="3">
        <f t="shared" si="2"/>
        <v>11.80555556</v>
      </c>
      <c r="K241" s="2">
        <v>100.0</v>
      </c>
      <c r="L241" s="2">
        <v>200.0</v>
      </c>
      <c r="N241" s="3">
        <f t="shared" si="3"/>
        <v>200</v>
      </c>
      <c r="O241" s="2">
        <v>100.0</v>
      </c>
      <c r="P241" s="2">
        <f t="shared" si="4"/>
        <v>15</v>
      </c>
      <c r="Q241" s="2">
        <v>7.0</v>
      </c>
      <c r="R241" s="2">
        <v>8.0</v>
      </c>
      <c r="S241" s="2">
        <v>11.0</v>
      </c>
      <c r="T241" s="2">
        <v>15.0</v>
      </c>
      <c r="U241" s="2">
        <v>13.0</v>
      </c>
      <c r="V241" s="2">
        <v>15.0</v>
      </c>
      <c r="W241" s="2">
        <v>20.0</v>
      </c>
      <c r="X241" s="2">
        <v>30.0</v>
      </c>
      <c r="Y241" s="2">
        <v>30.0</v>
      </c>
      <c r="Z241" s="2">
        <v>30.0</v>
      </c>
      <c r="AA241" s="2">
        <v>29.0</v>
      </c>
      <c r="AB241" s="2">
        <f t="shared" si="5"/>
        <v>10.4</v>
      </c>
      <c r="AC241" s="2">
        <v>46.0</v>
      </c>
      <c r="AD241" s="2">
        <v>350.0</v>
      </c>
      <c r="AF241" s="3">
        <f t="shared" si="6"/>
        <v>9.9</v>
      </c>
      <c r="AG241" s="4">
        <f t="shared" si="7"/>
        <v>82.10555556</v>
      </c>
      <c r="AH241" s="2" t="s">
        <v>6</v>
      </c>
    </row>
    <row r="242">
      <c r="A242" s="1" t="s">
        <v>268</v>
      </c>
      <c r="B242" s="1" t="s">
        <v>269</v>
      </c>
      <c r="C242" s="2" t="s">
        <v>270</v>
      </c>
      <c r="D242" s="2">
        <f>VLOOKUP(B242,'DSAI-Vikrant'!$B$2:$F$44,5)</f>
        <v>48</v>
      </c>
      <c r="E242" s="2">
        <v>29.0</v>
      </c>
      <c r="F242" s="2">
        <f t="shared" si="1"/>
        <v>38.5</v>
      </c>
      <c r="G242" s="2">
        <v>15.0</v>
      </c>
      <c r="H242" s="2">
        <v>13.0</v>
      </c>
      <c r="I242" s="2">
        <v>35.5</v>
      </c>
      <c r="J242" s="3">
        <f t="shared" si="2"/>
        <v>10.94444444</v>
      </c>
      <c r="K242" s="2">
        <v>90.0</v>
      </c>
      <c r="L242" s="2">
        <v>200.0</v>
      </c>
      <c r="N242" s="3">
        <f t="shared" si="3"/>
        <v>200</v>
      </c>
      <c r="O242" s="2">
        <v>92.0</v>
      </c>
      <c r="P242" s="2">
        <f t="shared" si="4"/>
        <v>14.1</v>
      </c>
      <c r="Q242" s="2">
        <v>7.0</v>
      </c>
      <c r="R242" s="2">
        <v>9.0</v>
      </c>
      <c r="S242" s="2">
        <v>11.0</v>
      </c>
      <c r="T242" s="2">
        <v>7.0</v>
      </c>
      <c r="U242" s="2">
        <v>15.0</v>
      </c>
      <c r="V242" s="2">
        <v>15.0</v>
      </c>
      <c r="W242" s="2">
        <v>20.0</v>
      </c>
      <c r="X242" s="2">
        <v>30.0</v>
      </c>
      <c r="Y242" s="2">
        <v>30.0</v>
      </c>
      <c r="Z242" s="2">
        <v>29.0</v>
      </c>
      <c r="AA242" s="2">
        <v>27.0</v>
      </c>
      <c r="AB242" s="2">
        <f t="shared" si="5"/>
        <v>10</v>
      </c>
      <c r="AC242" s="2">
        <v>10.0</v>
      </c>
      <c r="AD242" s="2">
        <v>335.0</v>
      </c>
      <c r="AF242" s="3">
        <f t="shared" si="6"/>
        <v>8.625</v>
      </c>
      <c r="AG242" s="4">
        <f t="shared" si="7"/>
        <v>82.16944444</v>
      </c>
      <c r="AH242" s="2" t="s">
        <v>6</v>
      </c>
    </row>
    <row r="243">
      <c r="A243" s="1" t="s">
        <v>426</v>
      </c>
      <c r="B243" s="1" t="s">
        <v>427</v>
      </c>
      <c r="C243" s="2" t="s">
        <v>428</v>
      </c>
      <c r="D243" s="2">
        <f>VLOOKUP(B243,'EC-Nitin'!$B$2:$F$46,5)</f>
        <v>47</v>
      </c>
      <c r="E243" s="2">
        <v>36.0</v>
      </c>
      <c r="F243" s="2">
        <f t="shared" si="1"/>
        <v>41.5</v>
      </c>
      <c r="G243" s="2">
        <v>9.0</v>
      </c>
      <c r="I243" s="2">
        <v>37.0</v>
      </c>
      <c r="J243" s="3">
        <f t="shared" si="2"/>
        <v>6.361111111</v>
      </c>
      <c r="K243" s="2">
        <v>85.0</v>
      </c>
      <c r="L243" s="2">
        <v>200.0</v>
      </c>
      <c r="N243" s="3">
        <f t="shared" si="3"/>
        <v>200</v>
      </c>
      <c r="O243" s="2">
        <v>96.0</v>
      </c>
      <c r="P243" s="2">
        <f t="shared" si="4"/>
        <v>14.05</v>
      </c>
      <c r="Q243" s="2">
        <v>7.0</v>
      </c>
      <c r="R243" s="2">
        <v>7.0</v>
      </c>
      <c r="S243" s="2">
        <v>15.0</v>
      </c>
      <c r="T243" s="2">
        <v>12.0</v>
      </c>
      <c r="U243" s="2">
        <v>15.0</v>
      </c>
      <c r="V243" s="2">
        <v>14.0</v>
      </c>
      <c r="W243" s="2">
        <v>20.0</v>
      </c>
      <c r="X243" s="2">
        <v>30.0</v>
      </c>
      <c r="Y243" s="2">
        <v>30.0</v>
      </c>
      <c r="Z243" s="2">
        <v>30.0</v>
      </c>
      <c r="AA243" s="2">
        <v>30.0</v>
      </c>
      <c r="AB243" s="2">
        <f t="shared" si="5"/>
        <v>10.5</v>
      </c>
      <c r="AC243" s="2">
        <v>48.0</v>
      </c>
      <c r="AD243" s="2">
        <v>343.0</v>
      </c>
      <c r="AF243" s="3">
        <f t="shared" si="6"/>
        <v>9.775</v>
      </c>
      <c r="AG243" s="4">
        <f t="shared" si="7"/>
        <v>82.18611111</v>
      </c>
      <c r="AH243" s="2" t="s">
        <v>6</v>
      </c>
    </row>
    <row r="244">
      <c r="A244" s="1" t="s">
        <v>351</v>
      </c>
      <c r="B244" s="1" t="s">
        <v>352</v>
      </c>
      <c r="C244" s="2" t="s">
        <v>353</v>
      </c>
      <c r="D244" s="2">
        <f>VLOOKUP(B244,'EC-Nitin'!$B$2:$F$46,5)</f>
        <v>44</v>
      </c>
      <c r="E244" s="2">
        <v>32.0</v>
      </c>
      <c r="F244" s="2">
        <f t="shared" si="1"/>
        <v>38</v>
      </c>
      <c r="G244" s="2">
        <v>3.0</v>
      </c>
      <c r="H244" s="2">
        <v>18.0</v>
      </c>
      <c r="I244" s="2">
        <v>34.0</v>
      </c>
      <c r="J244" s="3">
        <f t="shared" si="2"/>
        <v>9.027777778</v>
      </c>
      <c r="K244" s="2">
        <v>100.0</v>
      </c>
      <c r="L244" s="2">
        <v>200.0</v>
      </c>
      <c r="N244" s="3">
        <f t="shared" si="3"/>
        <v>200</v>
      </c>
      <c r="O244" s="2">
        <v>100.0</v>
      </c>
      <c r="P244" s="2">
        <f t="shared" si="4"/>
        <v>15</v>
      </c>
      <c r="Q244" s="2">
        <v>7.0</v>
      </c>
      <c r="R244" s="2">
        <v>4.0</v>
      </c>
      <c r="S244" s="2">
        <v>15.0</v>
      </c>
      <c r="T244" s="2">
        <v>13.0</v>
      </c>
      <c r="U244" s="2">
        <v>14.0</v>
      </c>
      <c r="V244" s="2">
        <v>14.0</v>
      </c>
      <c r="W244" s="2">
        <v>20.0</v>
      </c>
      <c r="X244" s="2">
        <v>30.0</v>
      </c>
      <c r="Y244" s="2">
        <v>30.0</v>
      </c>
      <c r="Z244" s="2">
        <v>30.0</v>
      </c>
      <c r="AA244" s="2">
        <v>30.0</v>
      </c>
      <c r="AB244" s="2">
        <f t="shared" si="5"/>
        <v>10.35</v>
      </c>
      <c r="AC244" s="2">
        <v>50.0</v>
      </c>
      <c r="AD244" s="2">
        <v>350.0</v>
      </c>
      <c r="AF244" s="3">
        <f t="shared" si="6"/>
        <v>10</v>
      </c>
      <c r="AG244" s="4">
        <f t="shared" si="7"/>
        <v>82.37777778</v>
      </c>
      <c r="AH244" s="2" t="s">
        <v>6</v>
      </c>
    </row>
    <row r="245">
      <c r="A245" s="1" t="s">
        <v>722</v>
      </c>
      <c r="B245" s="1" t="s">
        <v>723</v>
      </c>
      <c r="C245" s="2" t="s">
        <v>724</v>
      </c>
      <c r="D245" s="2">
        <f>VLOOKUP(B245, 'ME-Subhashree'!$B$2:$F$56,5)</f>
        <v>39</v>
      </c>
      <c r="E245" s="2">
        <v>31.0</v>
      </c>
      <c r="F245" s="2">
        <f t="shared" si="1"/>
        <v>35</v>
      </c>
      <c r="G245" s="2">
        <v>11.0</v>
      </c>
      <c r="H245" s="2">
        <v>20.0</v>
      </c>
      <c r="I245" s="2">
        <v>45.0</v>
      </c>
      <c r="J245" s="3">
        <f t="shared" si="2"/>
        <v>12.75</v>
      </c>
      <c r="K245" s="2">
        <v>100.0</v>
      </c>
      <c r="L245" s="2">
        <v>200.0</v>
      </c>
      <c r="N245" s="3">
        <f t="shared" si="3"/>
        <v>200</v>
      </c>
      <c r="O245" s="2">
        <v>100.0</v>
      </c>
      <c r="P245" s="2">
        <f t="shared" si="4"/>
        <v>15</v>
      </c>
      <c r="Q245" s="2">
        <v>7.0</v>
      </c>
      <c r="R245" s="2">
        <v>8.0</v>
      </c>
      <c r="S245" s="2">
        <v>12.0</v>
      </c>
      <c r="T245" s="2">
        <v>15.0</v>
      </c>
      <c r="U245" s="2">
        <v>15.0</v>
      </c>
      <c r="V245" s="2">
        <v>15.0</v>
      </c>
      <c r="W245" s="2">
        <v>20.0</v>
      </c>
      <c r="X245" s="2">
        <v>25.0</v>
      </c>
      <c r="Y245" s="2">
        <v>30.0</v>
      </c>
      <c r="Z245" s="2">
        <v>30.0</v>
      </c>
      <c r="AA245" s="2">
        <v>30.0</v>
      </c>
      <c r="AB245" s="2">
        <f t="shared" si="5"/>
        <v>10.35</v>
      </c>
      <c r="AC245" s="2">
        <v>50.0</v>
      </c>
      <c r="AD245" s="2">
        <v>330.0</v>
      </c>
      <c r="AF245" s="3">
        <f t="shared" si="6"/>
        <v>9.5</v>
      </c>
      <c r="AG245" s="4">
        <f t="shared" si="7"/>
        <v>82.6</v>
      </c>
      <c r="AH245" s="2" t="s">
        <v>6</v>
      </c>
    </row>
    <row r="246">
      <c r="A246" s="1" t="s">
        <v>336</v>
      </c>
      <c r="B246" s="1" t="s">
        <v>337</v>
      </c>
      <c r="C246" s="2" t="s">
        <v>338</v>
      </c>
      <c r="D246" s="2">
        <f>VLOOKUP(B246,'EC-Nitin'!$B$2:$F$46,5)</f>
        <v>47</v>
      </c>
      <c r="E246" s="2">
        <v>27.0</v>
      </c>
      <c r="F246" s="2">
        <f t="shared" si="1"/>
        <v>37</v>
      </c>
      <c r="G246" s="2">
        <v>11.0</v>
      </c>
      <c r="H246" s="2">
        <v>17.0</v>
      </c>
      <c r="I246" s="2">
        <v>37.0</v>
      </c>
      <c r="J246" s="3">
        <f t="shared" si="2"/>
        <v>11.11111111</v>
      </c>
      <c r="K246" s="2">
        <v>100.0</v>
      </c>
      <c r="L246" s="2">
        <v>170.0</v>
      </c>
      <c r="M246" s="2">
        <v>195.0</v>
      </c>
      <c r="N246" s="3">
        <f t="shared" si="3"/>
        <v>195</v>
      </c>
      <c r="O246" s="2">
        <v>100.0</v>
      </c>
      <c r="P246" s="2">
        <f t="shared" si="4"/>
        <v>14.875</v>
      </c>
      <c r="Q246" s="2">
        <v>7.0</v>
      </c>
      <c r="R246" s="2">
        <v>3.0</v>
      </c>
      <c r="S246" s="2">
        <v>15.0</v>
      </c>
      <c r="T246" s="2">
        <v>14.0</v>
      </c>
      <c r="U246" s="2">
        <v>12.0</v>
      </c>
      <c r="V246" s="2">
        <v>13.0</v>
      </c>
      <c r="W246" s="2">
        <v>16.0</v>
      </c>
      <c r="X246" s="2">
        <v>30.0</v>
      </c>
      <c r="Y246" s="2">
        <v>30.0</v>
      </c>
      <c r="Z246" s="2">
        <v>30.0</v>
      </c>
      <c r="AA246" s="2">
        <v>30.0</v>
      </c>
      <c r="AB246" s="2">
        <f t="shared" si="5"/>
        <v>10</v>
      </c>
      <c r="AC246" s="2">
        <v>35.0</v>
      </c>
      <c r="AD246" s="2">
        <v>350.0</v>
      </c>
      <c r="AF246" s="3">
        <f t="shared" si="6"/>
        <v>9.625</v>
      </c>
      <c r="AG246" s="4">
        <f t="shared" si="7"/>
        <v>82.61111111</v>
      </c>
      <c r="AH246" s="2" t="s">
        <v>6</v>
      </c>
    </row>
    <row r="247">
      <c r="A247" s="1" t="s">
        <v>213</v>
      </c>
      <c r="B247" s="1" t="s">
        <v>214</v>
      </c>
      <c r="C247" s="2" t="s">
        <v>215</v>
      </c>
      <c r="D247" s="2">
        <f>VLOOKUP(B247,'DSAI-Vikrant'!$B$2:$F$44,5)</f>
        <v>47</v>
      </c>
      <c r="E247" s="2">
        <v>24.0</v>
      </c>
      <c r="F247" s="2">
        <f t="shared" si="1"/>
        <v>35.5</v>
      </c>
      <c r="G247" s="2">
        <v>19.0</v>
      </c>
      <c r="H247" s="2">
        <v>13.5</v>
      </c>
      <c r="I247" s="2">
        <v>26.0</v>
      </c>
      <c r="J247" s="3">
        <f t="shared" si="2"/>
        <v>11.01388889</v>
      </c>
      <c r="K247" s="2">
        <v>95.0</v>
      </c>
      <c r="L247" s="2">
        <v>160.0</v>
      </c>
      <c r="N247" s="3">
        <f t="shared" si="3"/>
        <v>160</v>
      </c>
      <c r="O247" s="2">
        <v>180.0</v>
      </c>
      <c r="P247" s="2">
        <f t="shared" si="4"/>
        <v>17.75</v>
      </c>
      <c r="Q247" s="2">
        <v>7.0</v>
      </c>
      <c r="R247" s="2">
        <v>7.0</v>
      </c>
      <c r="S247" s="2">
        <v>9.0</v>
      </c>
      <c r="T247" s="2">
        <v>9.0</v>
      </c>
      <c r="U247" s="2">
        <v>13.0</v>
      </c>
      <c r="V247" s="2">
        <v>15.0</v>
      </c>
      <c r="W247" s="2">
        <v>18.0</v>
      </c>
      <c r="X247" s="2">
        <v>24.0</v>
      </c>
      <c r="Y247" s="2">
        <v>27.0</v>
      </c>
      <c r="Z247" s="2">
        <v>30.0</v>
      </c>
      <c r="AA247" s="2">
        <v>28.0</v>
      </c>
      <c r="AB247" s="2">
        <f t="shared" si="5"/>
        <v>9.35</v>
      </c>
      <c r="AC247" s="2">
        <v>30.0</v>
      </c>
      <c r="AD247" s="2">
        <v>330.0</v>
      </c>
      <c r="AF247" s="3">
        <f t="shared" si="6"/>
        <v>9</v>
      </c>
      <c r="AG247" s="4">
        <f t="shared" si="7"/>
        <v>82.61388889</v>
      </c>
      <c r="AH247" s="2" t="s">
        <v>6</v>
      </c>
    </row>
    <row r="248">
      <c r="A248" s="1" t="s">
        <v>91</v>
      </c>
      <c r="B248" s="1" t="s">
        <v>92</v>
      </c>
      <c r="C248" s="2" t="s">
        <v>93</v>
      </c>
      <c r="D248" s="2">
        <f>VLOOKUP(B248, 'CSE-Sandeep'!$B$2:$G$61,5)</f>
        <v>47</v>
      </c>
      <c r="E248" s="2">
        <v>27.0</v>
      </c>
      <c r="F248" s="2">
        <f t="shared" si="1"/>
        <v>37</v>
      </c>
      <c r="G248" s="2">
        <v>15.0</v>
      </c>
      <c r="H248" s="2">
        <v>15.0</v>
      </c>
      <c r="I248" s="2">
        <v>35.0</v>
      </c>
      <c r="J248" s="3">
        <f t="shared" si="2"/>
        <v>11.38888889</v>
      </c>
      <c r="K248" s="2">
        <v>100.0</v>
      </c>
      <c r="L248" s="2">
        <v>195.0</v>
      </c>
      <c r="N248" s="3">
        <f t="shared" si="3"/>
        <v>195</v>
      </c>
      <c r="O248" s="2">
        <v>98.0</v>
      </c>
      <c r="P248" s="2">
        <f t="shared" si="4"/>
        <v>14.775</v>
      </c>
      <c r="Q248" s="2">
        <v>6.0</v>
      </c>
      <c r="R248" s="2">
        <v>6.0</v>
      </c>
      <c r="S248" s="2">
        <v>11.5</v>
      </c>
      <c r="T248" s="2">
        <v>8.0</v>
      </c>
      <c r="U248" s="2">
        <v>15.0</v>
      </c>
      <c r="V248" s="2">
        <v>14.0</v>
      </c>
      <c r="W248" s="2">
        <v>20.0</v>
      </c>
      <c r="X248" s="2">
        <v>29.0</v>
      </c>
      <c r="Y248" s="2">
        <v>30.0</v>
      </c>
      <c r="Z248" s="2">
        <v>30.0</v>
      </c>
      <c r="AA248" s="2">
        <v>30.0</v>
      </c>
      <c r="AB248" s="2">
        <f t="shared" si="5"/>
        <v>9.975</v>
      </c>
      <c r="AC248" s="2">
        <v>50.0</v>
      </c>
      <c r="AD248" s="2">
        <v>330.0</v>
      </c>
      <c r="AF248" s="3">
        <f t="shared" si="6"/>
        <v>9.5</v>
      </c>
      <c r="AG248" s="4">
        <f t="shared" si="7"/>
        <v>82.63888889</v>
      </c>
      <c r="AH248" s="2" t="s">
        <v>6</v>
      </c>
    </row>
    <row r="249">
      <c r="A249" s="1" t="s">
        <v>289</v>
      </c>
      <c r="B249" s="1" t="s">
        <v>290</v>
      </c>
      <c r="C249" s="2" t="s">
        <v>291</v>
      </c>
      <c r="D249" s="2">
        <f>VLOOKUP(B249,'DSAI-Vikrant'!$B$2:$F$44,5)</f>
        <v>43</v>
      </c>
      <c r="E249" s="2">
        <v>35.0</v>
      </c>
      <c r="F249" s="2">
        <f t="shared" si="1"/>
        <v>39</v>
      </c>
      <c r="G249" s="2">
        <v>14.5</v>
      </c>
      <c r="H249" s="2">
        <v>19.0</v>
      </c>
      <c r="I249" s="2">
        <v>34.0</v>
      </c>
      <c r="J249" s="3">
        <f t="shared" si="2"/>
        <v>12.15277778</v>
      </c>
      <c r="K249" s="2">
        <v>80.0</v>
      </c>
      <c r="L249" s="2">
        <v>192.0</v>
      </c>
      <c r="N249" s="3">
        <f t="shared" si="3"/>
        <v>192</v>
      </c>
      <c r="O249" s="2">
        <v>86.0</v>
      </c>
      <c r="P249" s="2">
        <f t="shared" si="4"/>
        <v>13.1</v>
      </c>
      <c r="Q249" s="2">
        <v>6.0</v>
      </c>
      <c r="R249" s="2">
        <v>6.0</v>
      </c>
      <c r="S249" s="2">
        <v>12.0</v>
      </c>
      <c r="T249" s="2">
        <v>8.0</v>
      </c>
      <c r="U249" s="2">
        <v>13.0</v>
      </c>
      <c r="V249" s="2">
        <v>13.0</v>
      </c>
      <c r="W249" s="2">
        <v>20.0</v>
      </c>
      <c r="X249" s="2">
        <v>26.0</v>
      </c>
      <c r="Y249" s="2">
        <v>23.0</v>
      </c>
      <c r="Z249" s="2">
        <v>29.0</v>
      </c>
      <c r="AA249" s="2">
        <v>28.0</v>
      </c>
      <c r="AB249" s="2">
        <f t="shared" si="5"/>
        <v>9.2</v>
      </c>
      <c r="AC249" s="2">
        <v>40.0</v>
      </c>
      <c r="AD249" s="2">
        <v>330.0</v>
      </c>
      <c r="AF249" s="3">
        <f t="shared" si="6"/>
        <v>9.25</v>
      </c>
      <c r="AG249" s="4">
        <f t="shared" si="7"/>
        <v>82.70277778</v>
      </c>
      <c r="AH249" s="2" t="s">
        <v>6</v>
      </c>
    </row>
    <row r="250">
      <c r="A250" s="1" t="s">
        <v>423</v>
      </c>
      <c r="B250" s="1" t="s">
        <v>424</v>
      </c>
      <c r="C250" s="2" t="s">
        <v>425</v>
      </c>
      <c r="D250" s="2">
        <f>VLOOKUP(B250,'EC-Nitin'!$B$2:$F$46,5)</f>
        <v>48</v>
      </c>
      <c r="E250" s="2">
        <v>33.0</v>
      </c>
      <c r="F250" s="2">
        <f t="shared" si="1"/>
        <v>40.5</v>
      </c>
      <c r="G250" s="2">
        <v>7.0</v>
      </c>
      <c r="H250" s="2">
        <v>18.0</v>
      </c>
      <c r="I250" s="2">
        <v>36.0</v>
      </c>
      <c r="J250" s="3">
        <f t="shared" si="2"/>
        <v>10.25</v>
      </c>
      <c r="K250" s="2">
        <v>100.0</v>
      </c>
      <c r="L250" s="2">
        <v>185.0</v>
      </c>
      <c r="N250" s="3">
        <f t="shared" si="3"/>
        <v>185</v>
      </c>
      <c r="O250" s="2">
        <v>95.0</v>
      </c>
      <c r="P250" s="2">
        <f t="shared" si="4"/>
        <v>14.375</v>
      </c>
      <c r="Q250" s="2">
        <v>7.0</v>
      </c>
      <c r="S250" s="2">
        <v>9.0</v>
      </c>
      <c r="T250" s="2">
        <v>10.0</v>
      </c>
      <c r="U250" s="2">
        <v>7.0</v>
      </c>
      <c r="V250" s="2">
        <v>14.0</v>
      </c>
      <c r="W250" s="2">
        <v>7.0</v>
      </c>
      <c r="X250" s="2">
        <v>30.0</v>
      </c>
      <c r="Y250" s="2">
        <v>27.0</v>
      </c>
      <c r="Z250" s="2">
        <v>29.0</v>
      </c>
      <c r="AA250" s="2">
        <v>27.0</v>
      </c>
      <c r="AB250" s="2">
        <f t="shared" si="5"/>
        <v>8.35</v>
      </c>
      <c r="AC250" s="2">
        <v>25.0</v>
      </c>
      <c r="AD250" s="2">
        <v>345.0</v>
      </c>
      <c r="AF250" s="3">
        <f t="shared" si="6"/>
        <v>9.25</v>
      </c>
      <c r="AG250" s="4">
        <f t="shared" si="7"/>
        <v>82.725</v>
      </c>
      <c r="AH250" s="2" t="s">
        <v>6</v>
      </c>
    </row>
    <row r="251">
      <c r="A251" s="1" t="s">
        <v>444</v>
      </c>
      <c r="B251" s="1" t="s">
        <v>445</v>
      </c>
      <c r="C251" s="2" t="s">
        <v>446</v>
      </c>
      <c r="D251" s="2">
        <f>VLOOKUP(B251,'EC-Nitin'!$B$2:$F$46,5)</f>
        <v>41</v>
      </c>
      <c r="E251" s="2">
        <v>33.0</v>
      </c>
      <c r="F251" s="2">
        <f t="shared" si="1"/>
        <v>37</v>
      </c>
      <c r="G251" s="2">
        <v>14.0</v>
      </c>
      <c r="H251" s="2">
        <v>20.0</v>
      </c>
      <c r="I251" s="2">
        <v>40.0</v>
      </c>
      <c r="J251" s="3">
        <f t="shared" si="2"/>
        <v>12.94444444</v>
      </c>
      <c r="K251" s="2">
        <v>90.0</v>
      </c>
      <c r="L251" s="2">
        <v>200.0</v>
      </c>
      <c r="N251" s="3">
        <f t="shared" si="3"/>
        <v>200</v>
      </c>
      <c r="O251" s="2">
        <v>96.0</v>
      </c>
      <c r="P251" s="2">
        <f t="shared" si="4"/>
        <v>14.3</v>
      </c>
      <c r="Q251" s="2">
        <v>6.0</v>
      </c>
      <c r="R251" s="2">
        <v>7.0</v>
      </c>
      <c r="S251" s="2">
        <v>12.0</v>
      </c>
      <c r="U251" s="2">
        <v>0.0</v>
      </c>
      <c r="V251" s="2">
        <v>14.0</v>
      </c>
      <c r="W251" s="2">
        <v>20.0</v>
      </c>
      <c r="X251" s="2">
        <v>30.0</v>
      </c>
      <c r="Y251" s="2">
        <v>27.0</v>
      </c>
      <c r="Z251" s="2">
        <v>30.0</v>
      </c>
      <c r="AA251" s="2">
        <v>30.0</v>
      </c>
      <c r="AB251" s="2">
        <f t="shared" si="5"/>
        <v>8.8</v>
      </c>
      <c r="AC251" s="2">
        <v>45.0</v>
      </c>
      <c r="AD251" s="2">
        <v>343.0</v>
      </c>
      <c r="AF251" s="3">
        <f t="shared" si="6"/>
        <v>9.7</v>
      </c>
      <c r="AG251" s="4">
        <f t="shared" si="7"/>
        <v>82.74444444</v>
      </c>
      <c r="AH251" s="2" t="s">
        <v>6</v>
      </c>
    </row>
    <row r="252">
      <c r="A252" s="1" t="s">
        <v>223</v>
      </c>
      <c r="B252" s="1" t="s">
        <v>224</v>
      </c>
      <c r="C252" s="2" t="s">
        <v>225</v>
      </c>
      <c r="D252" s="2">
        <f>VLOOKUP(B252,'DSAI-Vikrant'!$B$2:$F$44,5)</f>
        <v>45</v>
      </c>
      <c r="E252" s="2">
        <v>33.0</v>
      </c>
      <c r="F252" s="2">
        <f t="shared" si="1"/>
        <v>39</v>
      </c>
      <c r="G252" s="2">
        <v>16.0</v>
      </c>
      <c r="H252" s="2">
        <v>15.0</v>
      </c>
      <c r="I252" s="2">
        <v>30.0</v>
      </c>
      <c r="J252" s="3">
        <f t="shared" si="2"/>
        <v>11.08333333</v>
      </c>
      <c r="K252" s="2">
        <v>95.0</v>
      </c>
      <c r="L252" s="2">
        <v>188.0</v>
      </c>
      <c r="N252" s="3">
        <f t="shared" si="3"/>
        <v>188</v>
      </c>
      <c r="O252" s="2">
        <v>100.0</v>
      </c>
      <c r="P252" s="2">
        <f t="shared" si="4"/>
        <v>14.45</v>
      </c>
      <c r="Q252" s="2">
        <v>6.0</v>
      </c>
      <c r="R252" s="2">
        <v>9.0</v>
      </c>
      <c r="S252" s="2">
        <v>12.0</v>
      </c>
      <c r="T252" s="2">
        <v>9.0</v>
      </c>
      <c r="U252" s="2">
        <v>14.0</v>
      </c>
      <c r="V252" s="2">
        <v>15.0</v>
      </c>
      <c r="W252" s="2">
        <v>20.0</v>
      </c>
      <c r="X252" s="2">
        <v>30.0</v>
      </c>
      <c r="Y252" s="2">
        <v>30.0</v>
      </c>
      <c r="Z252" s="2">
        <v>29.0</v>
      </c>
      <c r="AA252" s="2">
        <v>28.0</v>
      </c>
      <c r="AB252" s="2">
        <f t="shared" si="5"/>
        <v>10.1</v>
      </c>
      <c r="AC252" s="2">
        <v>35.0</v>
      </c>
      <c r="AD252" s="2">
        <v>300.0</v>
      </c>
      <c r="AF252" s="3">
        <f t="shared" si="6"/>
        <v>8.375</v>
      </c>
      <c r="AG252" s="4">
        <f t="shared" si="7"/>
        <v>83.00833333</v>
      </c>
      <c r="AH252" s="2" t="s">
        <v>6</v>
      </c>
    </row>
    <row r="253">
      <c r="A253" s="1" t="s">
        <v>488</v>
      </c>
      <c r="B253" s="1" t="s">
        <v>489</v>
      </c>
      <c r="C253" s="2" t="s">
        <v>490</v>
      </c>
      <c r="D253" s="2">
        <f>VLOOKUP(B253, 'EE-Nitin'!$B$2:$F$57,5)</f>
        <v>47</v>
      </c>
      <c r="E253" s="2">
        <v>31.0</v>
      </c>
      <c r="F253" s="2">
        <f t="shared" si="1"/>
        <v>39</v>
      </c>
      <c r="G253" s="2">
        <v>9.0</v>
      </c>
      <c r="H253" s="2">
        <v>15.0</v>
      </c>
      <c r="I253" s="2">
        <v>32.0</v>
      </c>
      <c r="J253" s="3">
        <f t="shared" si="2"/>
        <v>9.555555556</v>
      </c>
      <c r="K253" s="2">
        <v>92.0</v>
      </c>
      <c r="L253" s="2">
        <v>200.0</v>
      </c>
      <c r="N253" s="3">
        <f t="shared" si="3"/>
        <v>200</v>
      </c>
      <c r="O253" s="2">
        <v>99.0</v>
      </c>
      <c r="P253" s="2">
        <f t="shared" si="4"/>
        <v>14.55</v>
      </c>
      <c r="Q253" s="2">
        <v>7.0</v>
      </c>
      <c r="R253" s="2">
        <v>7.0</v>
      </c>
      <c r="S253" s="2">
        <v>11.0</v>
      </c>
      <c r="T253" s="2">
        <v>14.0</v>
      </c>
      <c r="U253" s="2">
        <v>14.5</v>
      </c>
      <c r="V253" s="2">
        <v>13.0</v>
      </c>
      <c r="W253" s="2">
        <v>19.5</v>
      </c>
      <c r="X253" s="2">
        <v>28.0</v>
      </c>
      <c r="Y253" s="2">
        <v>27.0</v>
      </c>
      <c r="Z253" s="2">
        <v>30.0</v>
      </c>
      <c r="AA253" s="2">
        <v>30.0</v>
      </c>
      <c r="AB253" s="2">
        <f t="shared" si="5"/>
        <v>10.05</v>
      </c>
      <c r="AC253" s="2">
        <v>50.0</v>
      </c>
      <c r="AD253" s="2">
        <v>350.0</v>
      </c>
      <c r="AF253" s="3">
        <f t="shared" si="6"/>
        <v>10</v>
      </c>
      <c r="AG253" s="4">
        <f t="shared" si="7"/>
        <v>83.15555556</v>
      </c>
      <c r="AH253" s="2" t="s">
        <v>6</v>
      </c>
    </row>
    <row r="254">
      <c r="A254" s="1" t="s">
        <v>122</v>
      </c>
      <c r="B254" s="1" t="s">
        <v>123</v>
      </c>
      <c r="C254" s="2" t="s">
        <v>124</v>
      </c>
      <c r="D254" s="2">
        <f>VLOOKUP(B254, 'CSE-Sandeep'!$B$2:$G$61,5)</f>
        <v>50</v>
      </c>
      <c r="E254" s="2">
        <v>29.0</v>
      </c>
      <c r="F254" s="2">
        <f t="shared" si="1"/>
        <v>39.5</v>
      </c>
      <c r="G254" s="2">
        <v>15.0</v>
      </c>
      <c r="H254" s="2">
        <v>10.0</v>
      </c>
      <c r="I254" s="2">
        <v>36.0</v>
      </c>
      <c r="J254" s="3">
        <f t="shared" si="2"/>
        <v>10.25</v>
      </c>
      <c r="K254" s="2">
        <v>85.0</v>
      </c>
      <c r="L254" s="2">
        <v>195.0</v>
      </c>
      <c r="N254" s="3">
        <f t="shared" si="3"/>
        <v>195</v>
      </c>
      <c r="O254" s="2">
        <v>100.0</v>
      </c>
      <c r="P254" s="2">
        <f t="shared" si="4"/>
        <v>14.125</v>
      </c>
      <c r="Q254" s="2">
        <v>7.0</v>
      </c>
      <c r="R254" s="2">
        <v>9.0</v>
      </c>
      <c r="S254" s="2">
        <v>12.0</v>
      </c>
      <c r="T254" s="2">
        <v>11.0</v>
      </c>
      <c r="U254" s="2">
        <v>15.0</v>
      </c>
      <c r="V254" s="2">
        <v>15.0</v>
      </c>
      <c r="W254" s="2">
        <v>20.0</v>
      </c>
      <c r="X254" s="2">
        <v>30.0</v>
      </c>
      <c r="Y254" s="2">
        <v>28.0</v>
      </c>
      <c r="Z254" s="2">
        <v>30.0</v>
      </c>
      <c r="AA254" s="2">
        <v>30.0</v>
      </c>
      <c r="AB254" s="2">
        <f t="shared" si="5"/>
        <v>10.35</v>
      </c>
      <c r="AC254" s="2">
        <v>30.0</v>
      </c>
      <c r="AD254" s="2">
        <v>330.0</v>
      </c>
      <c r="AF254" s="3">
        <f t="shared" si="6"/>
        <v>9</v>
      </c>
      <c r="AG254" s="4">
        <f t="shared" si="7"/>
        <v>83.225</v>
      </c>
      <c r="AH254" s="2" t="s">
        <v>6</v>
      </c>
    </row>
    <row r="255">
      <c r="A255" s="1" t="s">
        <v>192</v>
      </c>
      <c r="B255" s="1" t="s">
        <v>193</v>
      </c>
      <c r="C255" s="2" t="s">
        <v>194</v>
      </c>
      <c r="D255" s="2">
        <f>VLOOKUP(B255, 'CSE-Sandeep'!$B$2:$G$61,5)</f>
        <v>47</v>
      </c>
      <c r="E255" s="2">
        <v>33.0</v>
      </c>
      <c r="F255" s="2">
        <f t="shared" si="1"/>
        <v>40</v>
      </c>
      <c r="G255" s="2">
        <v>14.0</v>
      </c>
      <c r="H255" s="2">
        <v>16.0</v>
      </c>
      <c r="I255" s="2">
        <v>34.0</v>
      </c>
      <c r="J255" s="3">
        <f t="shared" si="2"/>
        <v>11.27777778</v>
      </c>
      <c r="K255" s="2">
        <v>100.0</v>
      </c>
      <c r="L255" s="2">
        <v>150.0</v>
      </c>
      <c r="M255" s="2">
        <v>190.0</v>
      </c>
      <c r="N255" s="3">
        <f t="shared" si="3"/>
        <v>190</v>
      </c>
      <c r="O255" s="2">
        <v>90.0</v>
      </c>
      <c r="P255" s="2">
        <f t="shared" si="4"/>
        <v>14.25</v>
      </c>
      <c r="Q255" s="2">
        <v>7.0</v>
      </c>
      <c r="R255" s="2">
        <v>5.0</v>
      </c>
      <c r="T255" s="2">
        <v>11.0</v>
      </c>
      <c r="U255" s="2">
        <v>15.0</v>
      </c>
      <c r="V255" s="2">
        <v>15.0</v>
      </c>
      <c r="W255" s="2">
        <v>18.0</v>
      </c>
      <c r="X255" s="2">
        <v>26.0</v>
      </c>
      <c r="Y255" s="2">
        <v>28.0</v>
      </c>
      <c r="Z255" s="2">
        <v>29.0</v>
      </c>
      <c r="AA255" s="2">
        <v>28.0</v>
      </c>
      <c r="AB255" s="2">
        <f t="shared" si="5"/>
        <v>9.1</v>
      </c>
      <c r="AC255" s="2">
        <v>50.0</v>
      </c>
      <c r="AD255" s="2">
        <v>300.0</v>
      </c>
      <c r="AF255" s="3">
        <f t="shared" si="6"/>
        <v>8.75</v>
      </c>
      <c r="AG255" s="4">
        <f t="shared" si="7"/>
        <v>83.37777778</v>
      </c>
      <c r="AH255" s="2" t="s">
        <v>6</v>
      </c>
    </row>
    <row r="256">
      <c r="A256" s="1" t="s">
        <v>491</v>
      </c>
      <c r="B256" s="1" t="s">
        <v>492</v>
      </c>
      <c r="C256" s="2" t="s">
        <v>493</v>
      </c>
      <c r="D256" s="2">
        <f>VLOOKUP(B256, 'EE-Nitin'!$B$2:$F$57,5)</f>
        <v>48</v>
      </c>
      <c r="E256" s="2">
        <v>28.0</v>
      </c>
      <c r="F256" s="2">
        <f t="shared" si="1"/>
        <v>38</v>
      </c>
      <c r="G256" s="2">
        <v>12.0</v>
      </c>
      <c r="H256" s="2">
        <v>13.0</v>
      </c>
      <c r="I256" s="2">
        <v>40.0</v>
      </c>
      <c r="J256" s="3">
        <f t="shared" si="2"/>
        <v>10.69444444</v>
      </c>
      <c r="K256" s="2">
        <v>95.0</v>
      </c>
      <c r="L256" s="2">
        <v>190.0</v>
      </c>
      <c r="N256" s="3">
        <f t="shared" si="3"/>
        <v>190</v>
      </c>
      <c r="O256" s="2">
        <v>99.0</v>
      </c>
      <c r="P256" s="2">
        <f t="shared" si="4"/>
        <v>14.45</v>
      </c>
      <c r="Q256" s="2">
        <v>7.0</v>
      </c>
      <c r="R256" s="2">
        <v>10.0</v>
      </c>
      <c r="S256" s="2">
        <v>12.0</v>
      </c>
      <c r="T256" s="2">
        <v>10.0</v>
      </c>
      <c r="U256" s="2">
        <v>14.5</v>
      </c>
      <c r="V256" s="2">
        <v>15.0</v>
      </c>
      <c r="W256" s="2">
        <v>19.5</v>
      </c>
      <c r="X256" s="2">
        <v>29.0</v>
      </c>
      <c r="Y256" s="2">
        <v>29.0</v>
      </c>
      <c r="Z256" s="2">
        <v>30.0</v>
      </c>
      <c r="AA256" s="2">
        <v>30.0</v>
      </c>
      <c r="AB256" s="2">
        <f t="shared" si="5"/>
        <v>10.3</v>
      </c>
      <c r="AC256" s="2">
        <v>50.0</v>
      </c>
      <c r="AD256" s="2">
        <v>348.0</v>
      </c>
      <c r="AF256" s="3">
        <f t="shared" si="6"/>
        <v>9.95</v>
      </c>
      <c r="AG256" s="4">
        <f t="shared" si="7"/>
        <v>83.39444444</v>
      </c>
      <c r="AH256" s="2" t="s">
        <v>6</v>
      </c>
    </row>
    <row r="257">
      <c r="A257" s="1" t="s">
        <v>707</v>
      </c>
      <c r="B257" s="1" t="s">
        <v>708</v>
      </c>
      <c r="C257" s="2" t="s">
        <v>709</v>
      </c>
      <c r="D257" s="2">
        <f>VLOOKUP(B257, 'ME-Subhashree'!$B$2:$F$56,5)</f>
        <v>40</v>
      </c>
      <c r="E257" s="2">
        <v>34.0</v>
      </c>
      <c r="F257" s="2">
        <f t="shared" si="1"/>
        <v>37</v>
      </c>
      <c r="G257" s="2">
        <v>9.0</v>
      </c>
      <c r="H257" s="2">
        <v>18.5</v>
      </c>
      <c r="I257" s="2">
        <v>45.0</v>
      </c>
      <c r="J257" s="3">
        <f t="shared" si="2"/>
        <v>11.875</v>
      </c>
      <c r="K257" s="2">
        <v>100.0</v>
      </c>
      <c r="L257" s="2">
        <v>200.0</v>
      </c>
      <c r="N257" s="3">
        <f t="shared" si="3"/>
        <v>200</v>
      </c>
      <c r="O257" s="2">
        <v>100.0</v>
      </c>
      <c r="P257" s="2">
        <f t="shared" si="4"/>
        <v>15</v>
      </c>
      <c r="Q257" s="2">
        <v>7.0</v>
      </c>
      <c r="R257" s="2">
        <v>10.0</v>
      </c>
      <c r="S257" s="2">
        <v>15.0</v>
      </c>
      <c r="T257" s="2">
        <v>15.0</v>
      </c>
      <c r="U257" s="2">
        <v>15.0</v>
      </c>
      <c r="V257" s="2">
        <v>15.0</v>
      </c>
      <c r="W257" s="2">
        <v>20.0</v>
      </c>
      <c r="X257" s="2">
        <v>30.0</v>
      </c>
      <c r="Y257" s="2">
        <v>30.0</v>
      </c>
      <c r="Z257" s="2">
        <v>30.0</v>
      </c>
      <c r="AA257" s="2">
        <v>30.0</v>
      </c>
      <c r="AB257" s="2">
        <f t="shared" si="5"/>
        <v>10.85</v>
      </c>
      <c r="AC257" s="2">
        <v>20.0</v>
      </c>
      <c r="AD257" s="2">
        <v>330.0</v>
      </c>
      <c r="AF257" s="3">
        <f t="shared" si="6"/>
        <v>8.75</v>
      </c>
      <c r="AG257" s="4">
        <f t="shared" si="7"/>
        <v>83.475</v>
      </c>
      <c r="AH257" s="2" t="s">
        <v>6</v>
      </c>
    </row>
    <row r="258">
      <c r="A258" s="1" t="s">
        <v>408</v>
      </c>
      <c r="B258" s="1" t="s">
        <v>409</v>
      </c>
      <c r="C258" s="2" t="s">
        <v>410</v>
      </c>
      <c r="D258" s="2">
        <f>VLOOKUP(B258,'EC-Nitin'!$B$2:$F$46,5)</f>
        <v>48</v>
      </c>
      <c r="E258" s="2">
        <v>30.0</v>
      </c>
      <c r="F258" s="2">
        <f t="shared" si="1"/>
        <v>39</v>
      </c>
      <c r="G258" s="2">
        <v>9.0</v>
      </c>
      <c r="H258" s="2">
        <v>19.0</v>
      </c>
      <c r="I258" s="2">
        <v>33.0</v>
      </c>
      <c r="J258" s="3">
        <f t="shared" si="2"/>
        <v>10.66666667</v>
      </c>
      <c r="K258" s="2">
        <v>90.0</v>
      </c>
      <c r="L258" s="2">
        <v>200.0</v>
      </c>
      <c r="N258" s="3">
        <f t="shared" si="3"/>
        <v>200</v>
      </c>
      <c r="O258" s="2">
        <v>98.0</v>
      </c>
      <c r="P258" s="2">
        <f t="shared" si="4"/>
        <v>14.4</v>
      </c>
      <c r="Q258" s="2">
        <v>7.0</v>
      </c>
      <c r="R258" s="2">
        <v>9.0</v>
      </c>
      <c r="S258" s="2">
        <v>5.0</v>
      </c>
      <c r="T258" s="2">
        <v>14.0</v>
      </c>
      <c r="U258" s="2">
        <v>12.0</v>
      </c>
      <c r="V258" s="2">
        <v>14.0</v>
      </c>
      <c r="W258" s="2">
        <v>20.0</v>
      </c>
      <c r="X258" s="2">
        <v>30.0</v>
      </c>
      <c r="Y258" s="2">
        <v>21.0</v>
      </c>
      <c r="Z258" s="2">
        <v>30.0</v>
      </c>
      <c r="AA258" s="2">
        <v>30.0</v>
      </c>
      <c r="AB258" s="2">
        <f t="shared" si="5"/>
        <v>9.6</v>
      </c>
      <c r="AC258" s="2">
        <v>50.0</v>
      </c>
      <c r="AD258" s="2">
        <v>346.0</v>
      </c>
      <c r="AF258" s="3">
        <f t="shared" si="6"/>
        <v>9.9</v>
      </c>
      <c r="AG258" s="4">
        <f t="shared" si="7"/>
        <v>83.56666667</v>
      </c>
      <c r="AH258" s="2" t="s">
        <v>6</v>
      </c>
    </row>
    <row r="259">
      <c r="A259" s="1" t="s">
        <v>563</v>
      </c>
      <c r="B259" s="12" t="s">
        <v>564</v>
      </c>
      <c r="C259" s="2" t="s">
        <v>565</v>
      </c>
      <c r="D259" s="2">
        <f>VLOOKUP(B259, 'EE-Nitin'!$B$2:$F$57,5)</f>
        <v>55</v>
      </c>
      <c r="E259" s="2">
        <v>25.0</v>
      </c>
      <c r="F259" s="2">
        <f t="shared" si="1"/>
        <v>40</v>
      </c>
      <c r="G259" s="2">
        <v>12.0</v>
      </c>
      <c r="H259" s="2">
        <v>9.0</v>
      </c>
      <c r="I259" s="2">
        <v>38.0</v>
      </c>
      <c r="J259" s="3">
        <f t="shared" si="2"/>
        <v>9.472222222</v>
      </c>
      <c r="K259" s="2">
        <v>97.0</v>
      </c>
      <c r="L259" s="2">
        <v>170.0</v>
      </c>
      <c r="M259" s="2">
        <v>195.0</v>
      </c>
      <c r="N259" s="3">
        <f t="shared" si="3"/>
        <v>195</v>
      </c>
      <c r="O259" s="2">
        <v>98.0</v>
      </c>
      <c r="P259" s="2">
        <f t="shared" si="4"/>
        <v>14.625</v>
      </c>
      <c r="Q259" s="2">
        <v>7.0</v>
      </c>
      <c r="R259" s="2">
        <v>6.0</v>
      </c>
      <c r="S259" s="2">
        <v>9.0</v>
      </c>
      <c r="T259" s="2">
        <v>9.0</v>
      </c>
      <c r="U259" s="2">
        <v>14.5</v>
      </c>
      <c r="V259" s="2">
        <v>14.0</v>
      </c>
      <c r="W259" s="2">
        <v>20.0</v>
      </c>
      <c r="X259" s="2">
        <v>30.0</v>
      </c>
      <c r="Y259" s="2">
        <v>25.0</v>
      </c>
      <c r="Z259" s="2">
        <v>29.0</v>
      </c>
      <c r="AA259" s="2">
        <v>30.0</v>
      </c>
      <c r="AB259" s="2">
        <f t="shared" si="5"/>
        <v>9.675</v>
      </c>
      <c r="AC259" s="2">
        <v>50.0</v>
      </c>
      <c r="AD259" s="2">
        <v>345.0</v>
      </c>
      <c r="AF259" s="3">
        <f t="shared" si="6"/>
        <v>9.875</v>
      </c>
      <c r="AG259" s="4">
        <f t="shared" si="7"/>
        <v>83.64722222</v>
      </c>
      <c r="AH259" s="2" t="s">
        <v>6</v>
      </c>
    </row>
    <row r="260">
      <c r="A260" s="1" t="s">
        <v>581</v>
      </c>
      <c r="B260" s="1" t="s">
        <v>582</v>
      </c>
      <c r="C260" s="2" t="s">
        <v>583</v>
      </c>
      <c r="D260" s="2">
        <f>VLOOKUP(B260, 'EE-Nitin'!$B$2:$F$57,5)</f>
        <v>51</v>
      </c>
      <c r="E260" s="2">
        <v>30.0</v>
      </c>
      <c r="F260" s="2">
        <f t="shared" si="1"/>
        <v>40.5</v>
      </c>
      <c r="G260" s="2">
        <v>13.0</v>
      </c>
      <c r="H260" s="2">
        <v>12.0</v>
      </c>
      <c r="I260" s="2">
        <v>29.0</v>
      </c>
      <c r="J260" s="3">
        <f t="shared" si="2"/>
        <v>9.472222222</v>
      </c>
      <c r="K260" s="2">
        <v>95.0</v>
      </c>
      <c r="L260" s="2">
        <v>195.0</v>
      </c>
      <c r="N260" s="3">
        <f t="shared" si="3"/>
        <v>195</v>
      </c>
      <c r="O260" s="2">
        <v>100.0</v>
      </c>
      <c r="P260" s="2">
        <f t="shared" si="4"/>
        <v>14.625</v>
      </c>
      <c r="Q260" s="2">
        <v>7.0</v>
      </c>
      <c r="R260" s="2">
        <v>6.0</v>
      </c>
      <c r="S260" s="2">
        <v>5.0</v>
      </c>
      <c r="T260" s="2">
        <v>9.0</v>
      </c>
      <c r="U260" s="2">
        <v>15.0</v>
      </c>
      <c r="V260" s="2">
        <v>15.0</v>
      </c>
      <c r="W260" s="2">
        <v>20.0</v>
      </c>
      <c r="X260" s="2">
        <v>28.0</v>
      </c>
      <c r="Y260" s="2">
        <v>30.0</v>
      </c>
      <c r="Z260" s="2">
        <v>29.0</v>
      </c>
      <c r="AA260" s="2">
        <v>29.0</v>
      </c>
      <c r="AB260" s="2">
        <f t="shared" si="5"/>
        <v>9.65</v>
      </c>
      <c r="AC260" s="2">
        <v>30.0</v>
      </c>
      <c r="AD260" s="2">
        <v>350.0</v>
      </c>
      <c r="AF260" s="3">
        <f t="shared" si="6"/>
        <v>9.5</v>
      </c>
      <c r="AG260" s="4">
        <f t="shared" si="7"/>
        <v>83.74722222</v>
      </c>
      <c r="AH260" s="2" t="s">
        <v>6</v>
      </c>
    </row>
    <row r="261">
      <c r="A261" s="1" t="s">
        <v>207</v>
      </c>
      <c r="B261" s="1" t="s">
        <v>208</v>
      </c>
      <c r="C261" s="2" t="s">
        <v>209</v>
      </c>
      <c r="D261" s="2">
        <f>VLOOKUP(B261,'DSAI-Vikrant'!$B$2:$F$44,5)</f>
        <v>42</v>
      </c>
      <c r="E261" s="2">
        <v>36.0</v>
      </c>
      <c r="F261" s="2">
        <f t="shared" si="1"/>
        <v>39</v>
      </c>
      <c r="G261" s="2">
        <v>16.0</v>
      </c>
      <c r="H261" s="2">
        <v>18.0</v>
      </c>
      <c r="I261" s="2">
        <v>28.0</v>
      </c>
      <c r="J261" s="3">
        <f t="shared" si="2"/>
        <v>11.61111111</v>
      </c>
      <c r="K261" s="2">
        <v>100.0</v>
      </c>
      <c r="L261" s="2">
        <v>197.0</v>
      </c>
      <c r="N261" s="3">
        <f t="shared" si="3"/>
        <v>197</v>
      </c>
      <c r="O261" s="2">
        <v>100.0</v>
      </c>
      <c r="P261" s="2">
        <f t="shared" si="4"/>
        <v>14.925</v>
      </c>
      <c r="Q261" s="2">
        <v>4.0</v>
      </c>
      <c r="R261" s="2">
        <v>8.0</v>
      </c>
      <c r="S261" s="2">
        <v>8.0</v>
      </c>
      <c r="T261" s="2">
        <v>12.0</v>
      </c>
      <c r="U261" s="2">
        <v>12.0</v>
      </c>
      <c r="V261" s="2">
        <v>10.5</v>
      </c>
      <c r="W261" s="2">
        <v>19.0</v>
      </c>
      <c r="X261" s="2">
        <v>29.0</v>
      </c>
      <c r="Y261" s="2">
        <v>23.0</v>
      </c>
      <c r="Z261" s="2">
        <v>30.0</v>
      </c>
      <c r="AA261" s="2">
        <v>29.0</v>
      </c>
      <c r="AB261" s="2">
        <f t="shared" si="5"/>
        <v>9.225</v>
      </c>
      <c r="AC261" s="2">
        <v>40.0</v>
      </c>
      <c r="AD261" s="2">
        <v>320.0</v>
      </c>
      <c r="AF261" s="3">
        <f t="shared" si="6"/>
        <v>9</v>
      </c>
      <c r="AG261" s="4">
        <f t="shared" si="7"/>
        <v>83.76111111</v>
      </c>
      <c r="AH261" s="2" t="s">
        <v>6</v>
      </c>
    </row>
    <row r="262">
      <c r="A262" s="1" t="s">
        <v>859</v>
      </c>
      <c r="B262" s="1" t="s">
        <v>860</v>
      </c>
      <c r="C262" s="2" t="s">
        <v>861</v>
      </c>
      <c r="D262" s="2">
        <f>VLOOKUP(B262,'MM-Subhashree'!$B$2:F$26,5)</f>
        <v>46</v>
      </c>
      <c r="E262" s="2">
        <v>28.0</v>
      </c>
      <c r="F262" s="2">
        <f t="shared" si="1"/>
        <v>37</v>
      </c>
      <c r="G262" s="2">
        <v>13.0</v>
      </c>
      <c r="H262" s="2">
        <v>15.5</v>
      </c>
      <c r="I262" s="2">
        <v>40.0</v>
      </c>
      <c r="J262" s="3">
        <f t="shared" si="2"/>
        <v>11.56944444</v>
      </c>
      <c r="K262" s="2">
        <v>100.0</v>
      </c>
      <c r="L262" s="2">
        <v>196.0</v>
      </c>
      <c r="N262" s="3">
        <f t="shared" si="3"/>
        <v>196</v>
      </c>
      <c r="O262" s="2">
        <v>100.0</v>
      </c>
      <c r="P262" s="2">
        <f t="shared" si="4"/>
        <v>14.9</v>
      </c>
      <c r="Q262" s="2">
        <v>7.0</v>
      </c>
      <c r="R262" s="2">
        <v>9.0</v>
      </c>
      <c r="S262" s="2">
        <v>15.0</v>
      </c>
      <c r="T262" s="2">
        <v>15.0</v>
      </c>
      <c r="U262" s="2">
        <v>15.0</v>
      </c>
      <c r="V262" s="2">
        <v>14.5</v>
      </c>
      <c r="W262" s="2">
        <v>20.0</v>
      </c>
      <c r="X262" s="2">
        <v>27.5</v>
      </c>
      <c r="Y262" s="2">
        <v>27.5</v>
      </c>
      <c r="Z262" s="2">
        <v>30.0</v>
      </c>
      <c r="AA262" s="2">
        <v>27.0</v>
      </c>
      <c r="AB262" s="2">
        <f t="shared" si="5"/>
        <v>10.375</v>
      </c>
      <c r="AC262" s="2">
        <v>50.0</v>
      </c>
      <c r="AD262" s="2">
        <v>350.0</v>
      </c>
      <c r="AF262" s="3">
        <f t="shared" si="6"/>
        <v>10</v>
      </c>
      <c r="AG262" s="4">
        <f t="shared" si="7"/>
        <v>83.84444444</v>
      </c>
      <c r="AH262" s="2" t="s">
        <v>6</v>
      </c>
    </row>
    <row r="263">
      <c r="A263" s="1" t="s">
        <v>599</v>
      </c>
      <c r="B263" s="1" t="s">
        <v>600</v>
      </c>
      <c r="C263" s="2" t="s">
        <v>601</v>
      </c>
      <c r="D263" s="2">
        <f>VLOOKUP(B263, 'EE-Nitin'!$B$2:$F$57,5)</f>
        <v>45</v>
      </c>
      <c r="E263" s="2">
        <v>35.0</v>
      </c>
      <c r="F263" s="2">
        <f t="shared" si="1"/>
        <v>40</v>
      </c>
      <c r="G263" s="2">
        <v>14.0</v>
      </c>
      <c r="H263" s="2">
        <v>7.0</v>
      </c>
      <c r="I263" s="2">
        <v>36.0</v>
      </c>
      <c r="J263" s="3">
        <f t="shared" si="2"/>
        <v>9.25</v>
      </c>
      <c r="K263" s="2">
        <v>95.0</v>
      </c>
      <c r="L263" s="2">
        <v>200.0</v>
      </c>
      <c r="N263" s="3">
        <f t="shared" si="3"/>
        <v>200</v>
      </c>
      <c r="O263" s="2">
        <v>100.0</v>
      </c>
      <c r="P263" s="2">
        <f t="shared" si="4"/>
        <v>14.75</v>
      </c>
      <c r="Q263" s="2">
        <v>7.0</v>
      </c>
      <c r="R263" s="2">
        <v>8.0</v>
      </c>
      <c r="S263" s="2">
        <v>12.0</v>
      </c>
      <c r="T263" s="2">
        <v>10.0</v>
      </c>
      <c r="U263" s="2">
        <v>15.0</v>
      </c>
      <c r="V263" s="2">
        <v>14.0</v>
      </c>
      <c r="W263" s="2">
        <v>20.0</v>
      </c>
      <c r="X263" s="2">
        <v>30.0</v>
      </c>
      <c r="Y263" s="2">
        <v>29.0</v>
      </c>
      <c r="Z263" s="2">
        <v>29.0</v>
      </c>
      <c r="AA263" s="2">
        <v>30.0</v>
      </c>
      <c r="AB263" s="2">
        <f t="shared" si="5"/>
        <v>10.2</v>
      </c>
      <c r="AC263" s="2">
        <v>50.0</v>
      </c>
      <c r="AD263" s="2">
        <v>340.0</v>
      </c>
      <c r="AF263" s="3">
        <f t="shared" si="6"/>
        <v>9.75</v>
      </c>
      <c r="AG263" s="4">
        <f t="shared" si="7"/>
        <v>83.95</v>
      </c>
      <c r="AH263" s="2" t="s">
        <v>6</v>
      </c>
    </row>
    <row r="264">
      <c r="A264" s="1" t="s">
        <v>283</v>
      </c>
      <c r="B264" s="1" t="s">
        <v>284</v>
      </c>
      <c r="C264" s="2" t="s">
        <v>285</v>
      </c>
      <c r="D264" s="2">
        <f>VLOOKUP(B264,'DSAI-Vikrant'!$B$2:$F$44,5)</f>
        <v>43</v>
      </c>
      <c r="E264" s="2">
        <v>35.0</v>
      </c>
      <c r="F264" s="2">
        <f t="shared" si="1"/>
        <v>39</v>
      </c>
      <c r="G264" s="2">
        <v>15.0</v>
      </c>
      <c r="H264" s="2">
        <v>18.5</v>
      </c>
      <c r="I264" s="2">
        <v>36.0</v>
      </c>
      <c r="J264" s="3">
        <f t="shared" si="2"/>
        <v>12.375</v>
      </c>
      <c r="K264" s="2">
        <v>90.0</v>
      </c>
      <c r="L264" s="2">
        <v>192.0</v>
      </c>
      <c r="N264" s="3">
        <f t="shared" si="3"/>
        <v>192</v>
      </c>
      <c r="O264" s="2">
        <v>93.0</v>
      </c>
      <c r="P264" s="2">
        <f t="shared" si="4"/>
        <v>13.95</v>
      </c>
      <c r="Q264" s="2">
        <v>7.0</v>
      </c>
      <c r="R264" s="2">
        <v>7.0</v>
      </c>
      <c r="S264" s="2">
        <v>0.0</v>
      </c>
      <c r="T264" s="2">
        <v>8.0</v>
      </c>
      <c r="U264" s="2">
        <v>13.0</v>
      </c>
      <c r="V264" s="2">
        <v>15.0</v>
      </c>
      <c r="W264" s="2">
        <v>20.0</v>
      </c>
      <c r="X264" s="2">
        <v>29.0</v>
      </c>
      <c r="Y264" s="2">
        <v>26.0</v>
      </c>
      <c r="Z264" s="2">
        <v>29.0</v>
      </c>
      <c r="AA264" s="2">
        <v>29.0</v>
      </c>
      <c r="AB264" s="2">
        <f t="shared" si="5"/>
        <v>9.15</v>
      </c>
      <c r="AC264" s="2">
        <v>50.0</v>
      </c>
      <c r="AD264" s="2">
        <v>330.0</v>
      </c>
      <c r="AF264" s="3">
        <f t="shared" si="6"/>
        <v>9.5</v>
      </c>
      <c r="AG264" s="4">
        <f t="shared" si="7"/>
        <v>83.975</v>
      </c>
      <c r="AH264" s="2" t="s">
        <v>6</v>
      </c>
    </row>
    <row r="265">
      <c r="A265" s="1" t="s">
        <v>560</v>
      </c>
      <c r="B265" s="1" t="s">
        <v>561</v>
      </c>
      <c r="C265" s="2" t="s">
        <v>562</v>
      </c>
      <c r="D265" s="2">
        <f>VLOOKUP(B265, 'EE-Nitin'!$B$2:$F$57,5)</f>
        <v>47</v>
      </c>
      <c r="E265" s="2">
        <v>32.0</v>
      </c>
      <c r="F265" s="2">
        <f t="shared" si="1"/>
        <v>39.5</v>
      </c>
      <c r="G265" s="2">
        <v>10.0</v>
      </c>
      <c r="H265" s="2">
        <v>12.0</v>
      </c>
      <c r="I265" s="2">
        <v>41.0</v>
      </c>
      <c r="J265" s="3">
        <f t="shared" si="2"/>
        <v>10.05555556</v>
      </c>
      <c r="K265" s="2">
        <v>98.0</v>
      </c>
      <c r="L265" s="2">
        <v>192.0</v>
      </c>
      <c r="N265" s="3">
        <f t="shared" si="3"/>
        <v>192</v>
      </c>
      <c r="O265" s="2">
        <v>99.0</v>
      </c>
      <c r="P265" s="2">
        <f t="shared" si="4"/>
        <v>14.65</v>
      </c>
      <c r="Q265" s="2">
        <v>7.0</v>
      </c>
      <c r="R265" s="2">
        <v>8.0</v>
      </c>
      <c r="S265" s="2">
        <v>10.0</v>
      </c>
      <c r="T265" s="2">
        <v>14.0</v>
      </c>
      <c r="U265" s="2">
        <v>13.0</v>
      </c>
      <c r="V265" s="2">
        <v>14.0</v>
      </c>
      <c r="W265" s="2">
        <v>19.5</v>
      </c>
      <c r="X265" s="2">
        <v>29.0</v>
      </c>
      <c r="Y265" s="2">
        <v>28.0</v>
      </c>
      <c r="Z265" s="2">
        <v>29.0</v>
      </c>
      <c r="AA265" s="2">
        <v>30.0</v>
      </c>
      <c r="AB265" s="2">
        <f t="shared" si="5"/>
        <v>10.075</v>
      </c>
      <c r="AC265" s="2">
        <v>45.0</v>
      </c>
      <c r="AD265" s="2">
        <v>344.0</v>
      </c>
      <c r="AF265" s="3">
        <f t="shared" si="6"/>
        <v>9.725</v>
      </c>
      <c r="AG265" s="4">
        <f t="shared" si="7"/>
        <v>84.00555556</v>
      </c>
      <c r="AH265" s="2" t="s">
        <v>6</v>
      </c>
    </row>
    <row r="266">
      <c r="A266" s="1" t="s">
        <v>216</v>
      </c>
      <c r="B266" s="1" t="s">
        <v>217</v>
      </c>
      <c r="C266" s="2" t="s">
        <v>218</v>
      </c>
      <c r="D266" s="2">
        <f>VLOOKUP(B266,'DSAI-Vikrant'!$B$2:$F$44,5)</f>
        <v>55</v>
      </c>
      <c r="E266" s="2">
        <v>32.0</v>
      </c>
      <c r="F266" s="2">
        <f t="shared" si="1"/>
        <v>43.5</v>
      </c>
      <c r="G266" s="2">
        <v>12.0</v>
      </c>
      <c r="H266" s="2">
        <v>14.0</v>
      </c>
      <c r="I266" s="2">
        <v>27.0</v>
      </c>
      <c r="J266" s="3">
        <f t="shared" si="2"/>
        <v>9.5</v>
      </c>
      <c r="K266" s="2">
        <v>93.0</v>
      </c>
      <c r="L266" s="2">
        <v>184.0</v>
      </c>
      <c r="N266" s="3">
        <f t="shared" si="3"/>
        <v>184</v>
      </c>
      <c r="O266" s="2">
        <v>100.0</v>
      </c>
      <c r="P266" s="2">
        <f t="shared" si="4"/>
        <v>14.25</v>
      </c>
      <c r="Q266" s="2">
        <v>7.0</v>
      </c>
      <c r="R266" s="2">
        <v>7.0</v>
      </c>
      <c r="S266" s="2">
        <v>12.0</v>
      </c>
      <c r="T266" s="2">
        <v>12.0</v>
      </c>
      <c r="U266" s="2">
        <v>14.0</v>
      </c>
      <c r="V266" s="2">
        <v>14.5</v>
      </c>
      <c r="W266" s="2">
        <v>18.0</v>
      </c>
      <c r="X266" s="2">
        <v>30.0</v>
      </c>
      <c r="Y266" s="2">
        <v>30.0</v>
      </c>
      <c r="Z266" s="2">
        <v>28.0</v>
      </c>
      <c r="AA266" s="2">
        <v>28.0</v>
      </c>
      <c r="AB266" s="2">
        <f t="shared" si="5"/>
        <v>10.025</v>
      </c>
      <c r="AC266" s="2">
        <v>0.0</v>
      </c>
      <c r="AD266" s="2">
        <v>270.0</v>
      </c>
      <c r="AF266" s="3">
        <f t="shared" si="6"/>
        <v>6.75</v>
      </c>
      <c r="AG266" s="4">
        <f t="shared" si="7"/>
        <v>84.025</v>
      </c>
      <c r="AH266" s="2" t="s">
        <v>6</v>
      </c>
    </row>
    <row r="267">
      <c r="A267" s="1" t="s">
        <v>656</v>
      </c>
      <c r="B267" s="1" t="s">
        <v>657</v>
      </c>
      <c r="C267" s="2" t="s">
        <v>658</v>
      </c>
      <c r="D267" s="2">
        <f>VLOOKUP(B267, 'ME-Subhashree'!$B$2:$F$56,5)</f>
        <v>41</v>
      </c>
      <c r="E267" s="2">
        <v>37.0</v>
      </c>
      <c r="F267" s="2">
        <f t="shared" si="1"/>
        <v>39</v>
      </c>
      <c r="G267" s="2">
        <v>9.0</v>
      </c>
      <c r="H267" s="2">
        <v>19.0</v>
      </c>
      <c r="I267" s="2">
        <v>41.0</v>
      </c>
      <c r="J267" s="3">
        <f t="shared" si="2"/>
        <v>11.55555556</v>
      </c>
      <c r="K267" s="2">
        <v>90.0</v>
      </c>
      <c r="L267" s="2">
        <v>175.0</v>
      </c>
      <c r="N267" s="3">
        <f t="shared" si="3"/>
        <v>175</v>
      </c>
      <c r="O267" s="2">
        <v>98.0</v>
      </c>
      <c r="P267" s="2">
        <f t="shared" si="4"/>
        <v>13.775</v>
      </c>
      <c r="Q267" s="2">
        <v>7.0</v>
      </c>
      <c r="R267" s="2">
        <v>8.0</v>
      </c>
      <c r="S267" s="2">
        <v>12.0</v>
      </c>
      <c r="T267" s="2">
        <v>12.0</v>
      </c>
      <c r="U267" s="2">
        <v>14.0</v>
      </c>
      <c r="V267" s="2">
        <v>14.0</v>
      </c>
      <c r="W267" s="2">
        <v>19.0</v>
      </c>
      <c r="X267" s="2">
        <v>28.0</v>
      </c>
      <c r="Y267" s="2">
        <v>26.0</v>
      </c>
      <c r="Z267" s="2">
        <v>29.0</v>
      </c>
      <c r="AA267" s="2">
        <v>30.0</v>
      </c>
      <c r="AB267" s="2">
        <f t="shared" si="5"/>
        <v>9.95</v>
      </c>
      <c r="AC267" s="2">
        <v>50.0</v>
      </c>
      <c r="AD267" s="2">
        <v>340.0</v>
      </c>
      <c r="AF267" s="3">
        <f t="shared" si="6"/>
        <v>9.75</v>
      </c>
      <c r="AG267" s="4">
        <f t="shared" si="7"/>
        <v>84.03055556</v>
      </c>
      <c r="AH267" s="2" t="s">
        <v>6</v>
      </c>
    </row>
    <row r="268">
      <c r="A268" s="1" t="s">
        <v>241</v>
      </c>
      <c r="B268" s="1" t="s">
        <v>242</v>
      </c>
      <c r="C268" s="2" t="s">
        <v>243</v>
      </c>
      <c r="D268" s="2">
        <f>VLOOKUP(B268,'DSAI-Vikrant'!$B$2:$F$44,5)</f>
        <v>51</v>
      </c>
      <c r="E268" s="2">
        <v>32.0</v>
      </c>
      <c r="F268" s="2">
        <f t="shared" si="1"/>
        <v>41.5</v>
      </c>
      <c r="G268" s="2">
        <v>9.0</v>
      </c>
      <c r="H268" s="2">
        <v>17.5</v>
      </c>
      <c r="I268" s="2">
        <v>32.0</v>
      </c>
      <c r="J268" s="3">
        <f t="shared" si="2"/>
        <v>10.18055556</v>
      </c>
      <c r="K268" s="2">
        <v>95.0</v>
      </c>
      <c r="L268" s="2">
        <v>186.0</v>
      </c>
      <c r="N268" s="3">
        <f t="shared" si="3"/>
        <v>186</v>
      </c>
      <c r="O268" s="2">
        <v>95.0</v>
      </c>
      <c r="P268" s="2">
        <f t="shared" si="4"/>
        <v>14.15</v>
      </c>
      <c r="Q268" s="2">
        <v>7.0</v>
      </c>
      <c r="R268" s="2">
        <v>10.0</v>
      </c>
      <c r="S268" s="2">
        <v>9.0</v>
      </c>
      <c r="T268" s="2">
        <v>12.0</v>
      </c>
      <c r="U268" s="2">
        <v>14.0</v>
      </c>
      <c r="V268" s="2">
        <v>12.0</v>
      </c>
      <c r="W268" s="2">
        <v>18.0</v>
      </c>
      <c r="X268" s="2">
        <v>25.0</v>
      </c>
      <c r="Y268" s="2">
        <v>25.0</v>
      </c>
      <c r="Z268" s="2">
        <v>29.0</v>
      </c>
      <c r="AA268" s="2">
        <v>28.0</v>
      </c>
      <c r="AB268" s="2">
        <f t="shared" si="5"/>
        <v>9.45</v>
      </c>
      <c r="AC268" s="2">
        <v>50.0</v>
      </c>
      <c r="AD268" s="2">
        <v>300.0</v>
      </c>
      <c r="AF268" s="3">
        <f t="shared" si="6"/>
        <v>8.75</v>
      </c>
      <c r="AG268" s="4">
        <f t="shared" si="7"/>
        <v>84.03055556</v>
      </c>
      <c r="AH268" s="2" t="s">
        <v>6</v>
      </c>
    </row>
    <row r="269">
      <c r="A269" s="1" t="s">
        <v>937</v>
      </c>
      <c r="B269" s="1" t="s">
        <v>938</v>
      </c>
      <c r="C269" s="2" t="s">
        <v>939</v>
      </c>
      <c r="D269" s="2">
        <f>VLOOKUP(B269,MT!$B$2:$F$30,5)</f>
        <v>49</v>
      </c>
      <c r="E269" s="2">
        <v>28.0</v>
      </c>
      <c r="F269" s="2">
        <f t="shared" si="1"/>
        <v>38.5</v>
      </c>
      <c r="G269" s="2">
        <v>14.0</v>
      </c>
      <c r="H269" s="2">
        <v>17.5</v>
      </c>
      <c r="I269" s="2">
        <v>26.0</v>
      </c>
      <c r="J269" s="3">
        <f t="shared" si="2"/>
        <v>10.76388889</v>
      </c>
      <c r="K269" s="2">
        <v>100.0</v>
      </c>
      <c r="L269" s="2">
        <v>199.0</v>
      </c>
      <c r="N269" s="3">
        <f t="shared" si="3"/>
        <v>199</v>
      </c>
      <c r="O269" s="2">
        <v>100.0</v>
      </c>
      <c r="P269" s="2">
        <f t="shared" si="4"/>
        <v>14.975</v>
      </c>
      <c r="Q269" s="2">
        <v>7.0</v>
      </c>
      <c r="R269" s="2">
        <v>9.0</v>
      </c>
      <c r="S269" s="2">
        <v>14.5</v>
      </c>
      <c r="T269" s="2">
        <v>12.0</v>
      </c>
      <c r="U269" s="2">
        <v>15.0</v>
      </c>
      <c r="V269" s="2">
        <v>15.0</v>
      </c>
      <c r="W269" s="2">
        <v>20.0</v>
      </c>
      <c r="X269" s="2">
        <v>30.0</v>
      </c>
      <c r="Y269" s="2">
        <v>29.5</v>
      </c>
      <c r="Z269" s="2">
        <v>29.0</v>
      </c>
      <c r="AA269" s="2">
        <v>30.0</v>
      </c>
      <c r="AB269" s="2">
        <f t="shared" si="5"/>
        <v>10.55</v>
      </c>
      <c r="AC269" s="2">
        <v>45.0</v>
      </c>
      <c r="AD269" s="2">
        <v>325.0</v>
      </c>
      <c r="AF269" s="3">
        <f t="shared" si="6"/>
        <v>9.25</v>
      </c>
      <c r="AG269" s="4">
        <f t="shared" si="7"/>
        <v>84.03888889</v>
      </c>
      <c r="AH269" s="2" t="s">
        <v>6</v>
      </c>
    </row>
    <row r="270">
      <c r="A270" s="1" t="s">
        <v>76</v>
      </c>
      <c r="B270" s="1" t="s">
        <v>77</v>
      </c>
      <c r="C270" s="2" t="s">
        <v>78</v>
      </c>
      <c r="D270" s="2">
        <f>VLOOKUP(B270, 'CSE-Sandeep'!$B$2:$G$61,5)</f>
        <v>45</v>
      </c>
      <c r="E270" s="2">
        <v>36.0</v>
      </c>
      <c r="F270" s="2">
        <f t="shared" si="1"/>
        <v>40.5</v>
      </c>
      <c r="G270" s="2">
        <v>13.0</v>
      </c>
      <c r="H270" s="2">
        <v>13.0</v>
      </c>
      <c r="I270" s="2">
        <v>30.5</v>
      </c>
      <c r="J270" s="3">
        <f t="shared" si="2"/>
        <v>9.888888889</v>
      </c>
      <c r="K270" s="2">
        <v>95.0</v>
      </c>
      <c r="L270" s="2">
        <v>190.0</v>
      </c>
      <c r="N270" s="3">
        <f t="shared" si="3"/>
        <v>190</v>
      </c>
      <c r="O270" s="2">
        <v>100.0</v>
      </c>
      <c r="P270" s="2">
        <f t="shared" si="4"/>
        <v>14.5</v>
      </c>
      <c r="Q270" s="2">
        <v>7.0</v>
      </c>
      <c r="R270" s="2">
        <v>8.0</v>
      </c>
      <c r="S270" s="2">
        <v>15.0</v>
      </c>
      <c r="T270" s="2">
        <v>12.0</v>
      </c>
      <c r="U270" s="2">
        <v>15.0</v>
      </c>
      <c r="V270" s="2">
        <v>14.0</v>
      </c>
      <c r="W270" s="2">
        <v>18.0</v>
      </c>
      <c r="X270" s="2">
        <v>30.0</v>
      </c>
      <c r="Y270" s="2">
        <v>23.0</v>
      </c>
      <c r="Z270" s="2">
        <v>30.0</v>
      </c>
      <c r="AA270" s="2">
        <v>30.0</v>
      </c>
      <c r="AB270" s="2">
        <f t="shared" si="5"/>
        <v>10.1</v>
      </c>
      <c r="AC270" s="2">
        <v>30.0</v>
      </c>
      <c r="AD270" s="2">
        <v>335.0</v>
      </c>
      <c r="AF270" s="3">
        <f t="shared" si="6"/>
        <v>9.125</v>
      </c>
      <c r="AG270" s="4">
        <f t="shared" si="7"/>
        <v>84.11388889</v>
      </c>
      <c r="AH270" s="2" t="s">
        <v>6</v>
      </c>
    </row>
    <row r="271">
      <c r="A271" s="1" t="s">
        <v>85</v>
      </c>
      <c r="B271" s="1" t="s">
        <v>86</v>
      </c>
      <c r="C271" s="2" t="s">
        <v>87</v>
      </c>
      <c r="D271" s="2">
        <f>VLOOKUP(B271, 'CSE-Sandeep'!$B$2:$G$61,5)</f>
        <v>47</v>
      </c>
      <c r="E271" s="2">
        <v>31.0</v>
      </c>
      <c r="F271" s="2">
        <f t="shared" si="1"/>
        <v>39</v>
      </c>
      <c r="G271" s="2">
        <v>16.5</v>
      </c>
      <c r="H271" s="2">
        <v>16.0</v>
      </c>
      <c r="I271" s="2">
        <v>33.0</v>
      </c>
      <c r="J271" s="3">
        <f t="shared" si="2"/>
        <v>11.79166667</v>
      </c>
      <c r="K271" s="2">
        <v>100.0</v>
      </c>
      <c r="L271" s="2">
        <v>153.0</v>
      </c>
      <c r="N271" s="3">
        <f t="shared" si="3"/>
        <v>153</v>
      </c>
      <c r="O271" s="2">
        <v>98.0</v>
      </c>
      <c r="P271" s="2">
        <f t="shared" si="4"/>
        <v>13.725</v>
      </c>
      <c r="R271" s="2">
        <v>5.0</v>
      </c>
      <c r="S271" s="2">
        <v>15.0</v>
      </c>
      <c r="T271" s="2">
        <v>11.0</v>
      </c>
      <c r="U271" s="2">
        <v>11.0</v>
      </c>
      <c r="V271" s="2">
        <v>15.0</v>
      </c>
      <c r="W271" s="2">
        <v>20.0</v>
      </c>
      <c r="X271" s="2">
        <v>30.0</v>
      </c>
      <c r="Y271" s="2">
        <v>30.0</v>
      </c>
      <c r="Z271" s="2">
        <v>30.0</v>
      </c>
      <c r="AA271" s="2">
        <v>30.0</v>
      </c>
      <c r="AB271" s="2">
        <f t="shared" si="5"/>
        <v>9.85</v>
      </c>
      <c r="AC271" s="2">
        <v>50.0</v>
      </c>
      <c r="AD271" s="2">
        <v>350.0</v>
      </c>
      <c r="AF271" s="3">
        <f t="shared" si="6"/>
        <v>10</v>
      </c>
      <c r="AG271" s="4">
        <f t="shared" si="7"/>
        <v>84.36666667</v>
      </c>
      <c r="AH271" s="2" t="s">
        <v>6</v>
      </c>
    </row>
    <row r="272">
      <c r="A272" s="1" t="s">
        <v>119</v>
      </c>
      <c r="B272" s="1" t="s">
        <v>120</v>
      </c>
      <c r="C272" s="2" t="s">
        <v>121</v>
      </c>
      <c r="D272" s="2">
        <f>VLOOKUP(B272, 'CSE-Sandeep'!$B$2:$G$61,5)</f>
        <v>44</v>
      </c>
      <c r="E272" s="2">
        <v>36.0</v>
      </c>
      <c r="F272" s="2">
        <f t="shared" si="1"/>
        <v>40</v>
      </c>
      <c r="G272" s="2">
        <v>15.0</v>
      </c>
      <c r="H272" s="2">
        <v>11.0</v>
      </c>
      <c r="I272" s="2">
        <v>36.0</v>
      </c>
      <c r="J272" s="3">
        <f t="shared" si="2"/>
        <v>10.5</v>
      </c>
      <c r="K272" s="2">
        <v>100.0</v>
      </c>
      <c r="L272" s="2">
        <v>187.0</v>
      </c>
      <c r="N272" s="3">
        <f t="shared" si="3"/>
        <v>187</v>
      </c>
      <c r="O272" s="2">
        <v>89.0</v>
      </c>
      <c r="P272" s="2">
        <f t="shared" si="4"/>
        <v>14.125</v>
      </c>
      <c r="Q272" s="2">
        <v>7.0</v>
      </c>
      <c r="R272" s="2">
        <v>10.0</v>
      </c>
      <c r="S272" s="2">
        <v>14.0</v>
      </c>
      <c r="T272" s="2">
        <v>8.0</v>
      </c>
      <c r="U272" s="2">
        <v>12.0</v>
      </c>
      <c r="V272" s="2">
        <v>15.0</v>
      </c>
      <c r="W272" s="2">
        <v>17.0</v>
      </c>
      <c r="X272" s="2">
        <v>28.0</v>
      </c>
      <c r="Y272" s="2">
        <v>26.0</v>
      </c>
      <c r="Z272" s="2">
        <v>29.0</v>
      </c>
      <c r="AA272" s="2">
        <v>30.0</v>
      </c>
      <c r="AB272" s="2">
        <f t="shared" si="5"/>
        <v>9.8</v>
      </c>
      <c r="AC272" s="2">
        <v>50.0</v>
      </c>
      <c r="AD272" s="2">
        <v>350.0</v>
      </c>
      <c r="AF272" s="3">
        <f t="shared" si="6"/>
        <v>10</v>
      </c>
      <c r="AG272" s="4">
        <f t="shared" si="7"/>
        <v>84.425</v>
      </c>
      <c r="AH272" s="2" t="s">
        <v>6</v>
      </c>
    </row>
    <row r="273">
      <c r="A273" s="1" t="s">
        <v>853</v>
      </c>
      <c r="B273" s="1" t="s">
        <v>854</v>
      </c>
      <c r="C273" s="2" t="s">
        <v>855</v>
      </c>
      <c r="D273" s="2">
        <f>VLOOKUP(B273,'MM-Subhashree'!$B$2:F$26,5)</f>
        <v>35</v>
      </c>
      <c r="E273" s="2">
        <v>37.0</v>
      </c>
      <c r="F273" s="2">
        <f t="shared" si="1"/>
        <v>36</v>
      </c>
      <c r="G273" s="2">
        <v>15.0</v>
      </c>
      <c r="H273" s="2">
        <v>18.0</v>
      </c>
      <c r="I273" s="2">
        <v>44.0</v>
      </c>
      <c r="J273" s="3">
        <f t="shared" si="2"/>
        <v>13.13888889</v>
      </c>
      <c r="K273" s="2">
        <v>100.0</v>
      </c>
      <c r="L273" s="2">
        <v>200.0</v>
      </c>
      <c r="N273" s="3">
        <f t="shared" si="3"/>
        <v>200</v>
      </c>
      <c r="O273" s="2">
        <v>100.0</v>
      </c>
      <c r="P273" s="2">
        <f t="shared" si="4"/>
        <v>15</v>
      </c>
      <c r="Q273" s="2">
        <v>6.0</v>
      </c>
      <c r="R273" s="2">
        <v>10.0</v>
      </c>
      <c r="S273" s="2">
        <v>12.0</v>
      </c>
      <c r="T273" s="2">
        <v>14.5</v>
      </c>
      <c r="U273" s="2">
        <v>15.0</v>
      </c>
      <c r="V273" s="2">
        <v>14.5</v>
      </c>
      <c r="W273" s="2">
        <v>20.0</v>
      </c>
      <c r="X273" s="2">
        <v>27.0</v>
      </c>
      <c r="Y273" s="2">
        <v>27.0</v>
      </c>
      <c r="Z273" s="2">
        <v>30.0</v>
      </c>
      <c r="AA273" s="2">
        <v>30.0</v>
      </c>
      <c r="AB273" s="2">
        <f t="shared" si="5"/>
        <v>10.3</v>
      </c>
      <c r="AC273" s="2">
        <v>50.0</v>
      </c>
      <c r="AD273" s="2">
        <v>350.0</v>
      </c>
      <c r="AF273" s="3">
        <f t="shared" si="6"/>
        <v>10</v>
      </c>
      <c r="AG273" s="4">
        <f t="shared" si="7"/>
        <v>84.43888889</v>
      </c>
      <c r="AH273" s="2" t="s">
        <v>6</v>
      </c>
    </row>
    <row r="274">
      <c r="A274" s="1" t="s">
        <v>98</v>
      </c>
      <c r="B274" s="1" t="s">
        <v>99</v>
      </c>
      <c r="C274" s="2" t="s">
        <v>100</v>
      </c>
      <c r="D274" s="2">
        <f>VLOOKUP(B274, 'CSE-Sandeep'!$B$2:$G$61,5)</f>
        <v>53</v>
      </c>
      <c r="E274" s="2">
        <v>31.0</v>
      </c>
      <c r="F274" s="2">
        <f t="shared" si="1"/>
        <v>42</v>
      </c>
      <c r="G274" s="2">
        <v>16.0</v>
      </c>
      <c r="H274" s="2">
        <v>17.0</v>
      </c>
      <c r="I274" s="2">
        <v>40.0</v>
      </c>
      <c r="J274" s="3">
        <f t="shared" si="2"/>
        <v>12.69444444</v>
      </c>
      <c r="K274" s="2">
        <v>100.0</v>
      </c>
      <c r="L274" s="2">
        <v>80.0</v>
      </c>
      <c r="N274" s="3">
        <f t="shared" si="3"/>
        <v>80</v>
      </c>
      <c r="O274" s="2">
        <v>90.0</v>
      </c>
      <c r="P274" s="2">
        <f t="shared" si="4"/>
        <v>11.5</v>
      </c>
      <c r="Q274" s="2">
        <v>7.0</v>
      </c>
      <c r="R274" s="2">
        <v>4.0</v>
      </c>
      <c r="S274" s="2">
        <v>13.0</v>
      </c>
      <c r="T274" s="2">
        <v>7.0</v>
      </c>
      <c r="U274" s="2">
        <v>14.0</v>
      </c>
      <c r="V274" s="2">
        <v>15.0</v>
      </c>
      <c r="W274" s="2">
        <v>20.0</v>
      </c>
      <c r="X274" s="2">
        <v>29.0</v>
      </c>
      <c r="Y274" s="2">
        <v>0.0</v>
      </c>
      <c r="Z274" s="2">
        <v>28.0</v>
      </c>
      <c r="AA274" s="2">
        <v>28.0</v>
      </c>
      <c r="AB274" s="2">
        <f t="shared" si="5"/>
        <v>8.25</v>
      </c>
      <c r="AC274" s="2">
        <v>50.0</v>
      </c>
      <c r="AD274" s="2">
        <v>350.0</v>
      </c>
      <c r="AF274" s="3">
        <f t="shared" si="6"/>
        <v>10</v>
      </c>
      <c r="AG274" s="4">
        <f t="shared" si="7"/>
        <v>84.44444444</v>
      </c>
      <c r="AH274" s="2" t="s">
        <v>6</v>
      </c>
    </row>
    <row r="275">
      <c r="A275" s="1" t="s">
        <v>536</v>
      </c>
      <c r="B275" s="1" t="s">
        <v>537</v>
      </c>
      <c r="C275" s="2" t="s">
        <v>538</v>
      </c>
      <c r="D275" s="2">
        <f>VLOOKUP(B275, 'EE-Nitin'!$B$2:$F$57,5)</f>
        <v>46</v>
      </c>
      <c r="E275" s="2">
        <v>29.0</v>
      </c>
      <c r="F275" s="2">
        <f t="shared" si="1"/>
        <v>37.5</v>
      </c>
      <c r="G275" s="2">
        <v>14.0</v>
      </c>
      <c r="H275" s="2">
        <v>17.5</v>
      </c>
      <c r="I275" s="2">
        <v>40.0</v>
      </c>
      <c r="J275" s="3">
        <f t="shared" si="2"/>
        <v>12.31944444</v>
      </c>
      <c r="K275" s="2">
        <v>97.0</v>
      </c>
      <c r="L275" s="2">
        <v>192.0</v>
      </c>
      <c r="N275" s="3">
        <f t="shared" si="3"/>
        <v>192</v>
      </c>
      <c r="O275" s="2">
        <v>100.0</v>
      </c>
      <c r="P275" s="2">
        <f t="shared" si="4"/>
        <v>14.65</v>
      </c>
      <c r="Q275" s="2">
        <v>7.0</v>
      </c>
      <c r="R275" s="2">
        <v>8.0</v>
      </c>
      <c r="S275" s="2">
        <v>12.0</v>
      </c>
      <c r="T275" s="2">
        <v>12.0</v>
      </c>
      <c r="U275" s="2">
        <v>14.5</v>
      </c>
      <c r="V275" s="2">
        <v>14.0</v>
      </c>
      <c r="W275" s="2">
        <v>19.5</v>
      </c>
      <c r="X275" s="2">
        <v>30.0</v>
      </c>
      <c r="Y275" s="2">
        <v>27.0</v>
      </c>
      <c r="Z275" s="2">
        <v>30.0</v>
      </c>
      <c r="AA275" s="2">
        <v>30.0</v>
      </c>
      <c r="AB275" s="2">
        <f t="shared" si="5"/>
        <v>10.2</v>
      </c>
      <c r="AC275" s="2">
        <v>45.0</v>
      </c>
      <c r="AD275" s="2">
        <v>350.0</v>
      </c>
      <c r="AF275" s="3">
        <f t="shared" si="6"/>
        <v>9.875</v>
      </c>
      <c r="AG275" s="4">
        <f t="shared" si="7"/>
        <v>84.54444444</v>
      </c>
      <c r="AH275" s="2" t="s">
        <v>6</v>
      </c>
    </row>
    <row r="276">
      <c r="A276" s="1" t="s">
        <v>922</v>
      </c>
      <c r="B276" s="1" t="s">
        <v>923</v>
      </c>
      <c r="C276" s="2" t="s">
        <v>924</v>
      </c>
      <c r="D276" s="2">
        <f>VLOOKUP(B276,MT!$B$2:$F$30,5)</f>
        <v>47</v>
      </c>
      <c r="E276" s="2">
        <v>29.0</v>
      </c>
      <c r="F276" s="2">
        <f t="shared" si="1"/>
        <v>38</v>
      </c>
      <c r="G276" s="2">
        <v>14.0</v>
      </c>
      <c r="H276" s="2">
        <v>16.0</v>
      </c>
      <c r="I276" s="2">
        <v>41.0</v>
      </c>
      <c r="J276" s="3">
        <f t="shared" si="2"/>
        <v>12.05555556</v>
      </c>
      <c r="K276" s="2">
        <v>95.0</v>
      </c>
      <c r="L276" s="2">
        <v>178.0</v>
      </c>
      <c r="N276" s="3">
        <f t="shared" si="3"/>
        <v>178</v>
      </c>
      <c r="O276" s="2">
        <v>100.0</v>
      </c>
      <c r="P276" s="2">
        <f t="shared" si="4"/>
        <v>14.2</v>
      </c>
      <c r="Q276" s="2">
        <v>7.0</v>
      </c>
      <c r="R276" s="2">
        <v>8.0</v>
      </c>
      <c r="S276" s="2">
        <v>12.0</v>
      </c>
      <c r="T276" s="2">
        <v>15.0</v>
      </c>
      <c r="U276" s="2">
        <v>13.0</v>
      </c>
      <c r="V276" s="2">
        <v>14.0</v>
      </c>
      <c r="W276" s="2">
        <v>20.0</v>
      </c>
      <c r="X276" s="2">
        <v>30.0</v>
      </c>
      <c r="Y276" s="2">
        <v>30.0</v>
      </c>
      <c r="Z276" s="2">
        <v>30.0</v>
      </c>
      <c r="AA276" s="2">
        <v>30.0</v>
      </c>
      <c r="AB276" s="2">
        <f t="shared" si="5"/>
        <v>10.45</v>
      </c>
      <c r="AC276" s="2">
        <v>50.0</v>
      </c>
      <c r="AD276" s="2">
        <v>348.0</v>
      </c>
      <c r="AF276" s="3">
        <f t="shared" si="6"/>
        <v>9.95</v>
      </c>
      <c r="AG276" s="4">
        <f t="shared" si="7"/>
        <v>84.65555556</v>
      </c>
      <c r="AH276" s="2" t="s">
        <v>6</v>
      </c>
    </row>
    <row r="277">
      <c r="A277" s="1" t="s">
        <v>856</v>
      </c>
      <c r="B277" s="1" t="s">
        <v>857</v>
      </c>
      <c r="C277" s="2" t="s">
        <v>858</v>
      </c>
      <c r="D277" s="2">
        <f>VLOOKUP(B277,'MM-Subhashree'!$B$2:F$26,5)</f>
        <v>47</v>
      </c>
      <c r="E277" s="2">
        <v>30.0</v>
      </c>
      <c r="F277" s="2">
        <f t="shared" si="1"/>
        <v>38.5</v>
      </c>
      <c r="G277" s="2">
        <v>11.0</v>
      </c>
      <c r="H277" s="2">
        <v>17.0</v>
      </c>
      <c r="I277" s="2">
        <v>39.0</v>
      </c>
      <c r="J277" s="3">
        <f t="shared" si="2"/>
        <v>11.33333333</v>
      </c>
      <c r="K277" s="2">
        <v>100.0</v>
      </c>
      <c r="L277" s="2">
        <v>195.0</v>
      </c>
      <c r="N277" s="3">
        <f t="shared" si="3"/>
        <v>195</v>
      </c>
      <c r="O277" s="2">
        <v>100.0</v>
      </c>
      <c r="P277" s="2">
        <f t="shared" si="4"/>
        <v>14.875</v>
      </c>
      <c r="Q277" s="2">
        <v>7.0</v>
      </c>
      <c r="R277" s="2">
        <v>5.0</v>
      </c>
      <c r="S277" s="2">
        <v>13.0</v>
      </c>
      <c r="T277" s="2">
        <v>13.0</v>
      </c>
      <c r="U277" s="2">
        <v>15.0</v>
      </c>
      <c r="V277" s="2">
        <v>14.5</v>
      </c>
      <c r="W277" s="2">
        <v>19.0</v>
      </c>
      <c r="X277" s="2">
        <v>28.0</v>
      </c>
      <c r="Y277" s="2">
        <v>25.0</v>
      </c>
      <c r="Z277" s="2">
        <v>30.0</v>
      </c>
      <c r="AA277" s="2">
        <v>30.0</v>
      </c>
      <c r="AB277" s="2">
        <f t="shared" si="5"/>
        <v>9.975</v>
      </c>
      <c r="AC277" s="2">
        <v>49.0</v>
      </c>
      <c r="AD277" s="2">
        <v>350.0</v>
      </c>
      <c r="AF277" s="3">
        <f t="shared" si="6"/>
        <v>9.975</v>
      </c>
      <c r="AG277" s="4">
        <f t="shared" si="7"/>
        <v>84.65833333</v>
      </c>
      <c r="AH277" s="2" t="s">
        <v>6</v>
      </c>
    </row>
    <row r="278">
      <c r="A278" s="1" t="s">
        <v>37</v>
      </c>
      <c r="B278" s="1" t="s">
        <v>38</v>
      </c>
      <c r="C278" s="2" t="s">
        <v>39</v>
      </c>
      <c r="D278" s="2">
        <f>VLOOKUP(B278, 'CSE-Sandeep'!$B$2:$G$61,5)</f>
        <v>40</v>
      </c>
      <c r="E278" s="2">
        <v>35.0</v>
      </c>
      <c r="F278" s="2">
        <f t="shared" si="1"/>
        <v>37.5</v>
      </c>
      <c r="G278" s="2">
        <v>16.0</v>
      </c>
      <c r="H278" s="2">
        <v>16.0</v>
      </c>
      <c r="I278" s="2">
        <v>45.0</v>
      </c>
      <c r="J278" s="3">
        <f t="shared" si="2"/>
        <v>13</v>
      </c>
      <c r="K278" s="2">
        <v>95.0</v>
      </c>
      <c r="L278" s="2">
        <v>170.0</v>
      </c>
      <c r="M278" s="2">
        <v>195.0</v>
      </c>
      <c r="N278" s="3">
        <f t="shared" si="3"/>
        <v>195</v>
      </c>
      <c r="O278" s="2">
        <v>95.0</v>
      </c>
      <c r="P278" s="2">
        <f t="shared" si="4"/>
        <v>14.375</v>
      </c>
      <c r="Q278" s="2">
        <v>7.0</v>
      </c>
      <c r="R278" s="2">
        <v>5.0</v>
      </c>
      <c r="S278" s="2">
        <v>14.0</v>
      </c>
      <c r="T278" s="2">
        <v>8.0</v>
      </c>
      <c r="U278" s="2">
        <v>15.0</v>
      </c>
      <c r="V278" s="2">
        <v>14.0</v>
      </c>
      <c r="W278" s="2">
        <v>20.0</v>
      </c>
      <c r="X278" s="2">
        <v>30.0</v>
      </c>
      <c r="Y278" s="2">
        <v>30.0</v>
      </c>
      <c r="Z278" s="2">
        <v>30.0</v>
      </c>
      <c r="AA278" s="2">
        <v>30.0</v>
      </c>
      <c r="AB278" s="2">
        <f t="shared" si="5"/>
        <v>10.15</v>
      </c>
      <c r="AC278" s="2">
        <v>50.0</v>
      </c>
      <c r="AD278" s="2">
        <v>340.0</v>
      </c>
      <c r="AF278" s="3">
        <f t="shared" si="6"/>
        <v>9.75</v>
      </c>
      <c r="AG278" s="4">
        <f t="shared" si="7"/>
        <v>84.775</v>
      </c>
      <c r="AH278" s="2" t="s">
        <v>6</v>
      </c>
    </row>
    <row r="279">
      <c r="A279" s="1" t="s">
        <v>101</v>
      </c>
      <c r="B279" s="1" t="s">
        <v>102</v>
      </c>
      <c r="C279" s="2" t="s">
        <v>103</v>
      </c>
      <c r="D279" s="2">
        <f>VLOOKUP(B279, 'CSE-Sandeep'!$B$2:$G$61,5)</f>
        <v>47</v>
      </c>
      <c r="E279" s="2">
        <v>33.0</v>
      </c>
      <c r="F279" s="2">
        <f t="shared" si="1"/>
        <v>40</v>
      </c>
      <c r="G279" s="2">
        <v>10.5</v>
      </c>
      <c r="H279" s="2">
        <v>15.0</v>
      </c>
      <c r="I279" s="2">
        <v>40.0</v>
      </c>
      <c r="J279" s="3">
        <f t="shared" si="2"/>
        <v>10.81944444</v>
      </c>
      <c r="K279" s="2">
        <v>100.0</v>
      </c>
      <c r="L279" s="2">
        <v>200.0</v>
      </c>
      <c r="N279" s="3">
        <f t="shared" si="3"/>
        <v>200</v>
      </c>
      <c r="O279" s="2">
        <v>98.0</v>
      </c>
      <c r="P279" s="2">
        <f t="shared" si="4"/>
        <v>14.9</v>
      </c>
      <c r="Q279" s="2">
        <v>7.0</v>
      </c>
      <c r="R279" s="2">
        <v>6.0</v>
      </c>
      <c r="S279" s="2">
        <v>8.0</v>
      </c>
      <c r="T279" s="2">
        <v>3.0</v>
      </c>
      <c r="U279" s="2">
        <v>14.0</v>
      </c>
      <c r="V279" s="2">
        <v>13.0</v>
      </c>
      <c r="W279" s="2">
        <v>18.0</v>
      </c>
      <c r="X279" s="2">
        <v>29.0</v>
      </c>
      <c r="Y279" s="2">
        <v>30.0</v>
      </c>
      <c r="Z279" s="2">
        <v>29.0</v>
      </c>
      <c r="AA279" s="2">
        <v>30.0</v>
      </c>
      <c r="AB279" s="2">
        <f t="shared" si="5"/>
        <v>9.35</v>
      </c>
      <c r="AC279" s="2">
        <v>40.0</v>
      </c>
      <c r="AD279" s="2">
        <v>350.0</v>
      </c>
      <c r="AF279" s="3">
        <f t="shared" si="6"/>
        <v>9.75</v>
      </c>
      <c r="AG279" s="4">
        <f t="shared" si="7"/>
        <v>84.81944444</v>
      </c>
      <c r="AH279" s="2" t="s">
        <v>6</v>
      </c>
    </row>
    <row r="280">
      <c r="A280" s="1" t="s">
        <v>901</v>
      </c>
      <c r="B280" s="1" t="s">
        <v>902</v>
      </c>
      <c r="C280" s="2" t="s">
        <v>903</v>
      </c>
      <c r="D280" s="2">
        <f>VLOOKUP(B280,MT!$B$2:$F$30,5)</f>
        <v>48</v>
      </c>
      <c r="E280" s="2">
        <v>29.0</v>
      </c>
      <c r="F280" s="2">
        <f t="shared" si="1"/>
        <v>38.5</v>
      </c>
      <c r="G280" s="2">
        <v>14.0</v>
      </c>
      <c r="H280" s="2">
        <v>17.5</v>
      </c>
      <c r="I280" s="2">
        <v>38.0</v>
      </c>
      <c r="J280" s="3">
        <f t="shared" si="2"/>
        <v>12.09722222</v>
      </c>
      <c r="K280" s="2">
        <v>85.0</v>
      </c>
      <c r="L280" s="2">
        <v>200.0</v>
      </c>
      <c r="N280" s="3">
        <f t="shared" si="3"/>
        <v>200</v>
      </c>
      <c r="O280" s="2">
        <v>100.0</v>
      </c>
      <c r="P280" s="2">
        <f t="shared" si="4"/>
        <v>14.25</v>
      </c>
      <c r="Q280" s="2">
        <v>7.0</v>
      </c>
      <c r="R280" s="2">
        <v>9.0</v>
      </c>
      <c r="S280" s="2">
        <v>8.0</v>
      </c>
      <c r="T280" s="2">
        <v>11.0</v>
      </c>
      <c r="U280" s="2">
        <v>14.0</v>
      </c>
      <c r="V280" s="2">
        <v>15.0</v>
      </c>
      <c r="W280" s="2">
        <v>19.0</v>
      </c>
      <c r="X280" s="2">
        <v>28.0</v>
      </c>
      <c r="Y280" s="2">
        <v>30.0</v>
      </c>
      <c r="Z280" s="2">
        <v>30.0</v>
      </c>
      <c r="AA280" s="2">
        <v>30.0</v>
      </c>
      <c r="AB280" s="2">
        <f t="shared" si="5"/>
        <v>10.05</v>
      </c>
      <c r="AC280" s="2">
        <v>48.0</v>
      </c>
      <c r="AD280" s="2">
        <v>350.0</v>
      </c>
      <c r="AF280" s="3">
        <f t="shared" si="6"/>
        <v>9.95</v>
      </c>
      <c r="AG280" s="4">
        <f t="shared" si="7"/>
        <v>84.84722222</v>
      </c>
      <c r="AH280" s="2" t="s">
        <v>6</v>
      </c>
    </row>
    <row r="281">
      <c r="A281" s="1" t="s">
        <v>345</v>
      </c>
      <c r="B281" s="1" t="s">
        <v>346</v>
      </c>
      <c r="C281" s="2" t="s">
        <v>347</v>
      </c>
      <c r="D281" s="2">
        <f>VLOOKUP(B281,'EC-Nitin'!$B$2:$F$46,5)</f>
        <v>46</v>
      </c>
      <c r="E281" s="2">
        <v>32.0</v>
      </c>
      <c r="F281" s="2">
        <f t="shared" si="1"/>
        <v>39</v>
      </c>
      <c r="G281" s="2">
        <v>10.0</v>
      </c>
      <c r="H281" s="2">
        <v>20.0</v>
      </c>
      <c r="I281" s="2">
        <v>34.0</v>
      </c>
      <c r="J281" s="3">
        <f t="shared" si="2"/>
        <v>11.27777778</v>
      </c>
      <c r="K281" s="2">
        <v>100.0</v>
      </c>
      <c r="L281" s="2">
        <v>180.0</v>
      </c>
      <c r="N281" s="3">
        <f t="shared" si="3"/>
        <v>180</v>
      </c>
      <c r="O281" s="2">
        <v>100.0</v>
      </c>
      <c r="P281" s="2">
        <f t="shared" si="4"/>
        <v>14.5</v>
      </c>
      <c r="Q281" s="2">
        <v>7.0</v>
      </c>
      <c r="R281" s="2">
        <v>6.0</v>
      </c>
      <c r="S281" s="2">
        <v>15.0</v>
      </c>
      <c r="T281" s="2">
        <v>15.0</v>
      </c>
      <c r="U281" s="2">
        <v>14.0</v>
      </c>
      <c r="V281" s="2">
        <v>14.0</v>
      </c>
      <c r="W281" s="2">
        <v>20.0</v>
      </c>
      <c r="X281" s="2">
        <v>30.0</v>
      </c>
      <c r="Y281" s="2">
        <v>30.0</v>
      </c>
      <c r="Z281" s="2">
        <v>30.0</v>
      </c>
      <c r="AA281" s="2">
        <v>30.0</v>
      </c>
      <c r="AB281" s="2">
        <f t="shared" si="5"/>
        <v>10.55</v>
      </c>
      <c r="AC281" s="2">
        <v>35.0</v>
      </c>
      <c r="AD281" s="2">
        <v>350.0</v>
      </c>
      <c r="AF281" s="3">
        <f t="shared" si="6"/>
        <v>9.625</v>
      </c>
      <c r="AG281" s="4">
        <f t="shared" si="7"/>
        <v>84.95277778</v>
      </c>
      <c r="AH281" s="2" t="s">
        <v>6</v>
      </c>
    </row>
    <row r="282">
      <c r="A282" s="1" t="s">
        <v>201</v>
      </c>
      <c r="B282" s="1" t="s">
        <v>202</v>
      </c>
      <c r="C282" s="2" t="s">
        <v>203</v>
      </c>
      <c r="D282" s="2">
        <f>VLOOKUP(B282,'DSAI-Vikrant'!$B$2:$F$44,5)</f>
        <v>47</v>
      </c>
      <c r="E282" s="2">
        <v>34.0</v>
      </c>
      <c r="F282" s="2">
        <f t="shared" si="1"/>
        <v>40.5</v>
      </c>
      <c r="G282" s="2">
        <v>14.0</v>
      </c>
      <c r="H282" s="2">
        <v>12.5</v>
      </c>
      <c r="I282" s="2">
        <v>18.0</v>
      </c>
      <c r="J282" s="3">
        <f t="shared" si="2"/>
        <v>8.625</v>
      </c>
      <c r="K282" s="2">
        <v>100.0</v>
      </c>
      <c r="L282" s="2">
        <v>159.0</v>
      </c>
      <c r="N282" s="3">
        <f t="shared" si="3"/>
        <v>159</v>
      </c>
      <c r="O282" s="2">
        <v>180.0</v>
      </c>
      <c r="P282" s="2">
        <f t="shared" si="4"/>
        <v>17.975</v>
      </c>
      <c r="Q282" s="2">
        <v>7.0</v>
      </c>
      <c r="R282" s="2">
        <v>6.0</v>
      </c>
      <c r="S282" s="2">
        <v>13.0</v>
      </c>
      <c r="T282" s="2">
        <v>8.0</v>
      </c>
      <c r="U282" s="2">
        <v>14.0</v>
      </c>
      <c r="V282" s="2">
        <v>12.5</v>
      </c>
      <c r="W282" s="2">
        <v>20.0</v>
      </c>
      <c r="X282" s="2">
        <v>28.0</v>
      </c>
      <c r="Y282" s="2">
        <v>24.0</v>
      </c>
      <c r="Z282" s="2">
        <v>30.0</v>
      </c>
      <c r="AA282" s="2">
        <v>28.0</v>
      </c>
      <c r="AB282" s="2">
        <f t="shared" si="5"/>
        <v>9.525</v>
      </c>
      <c r="AC282" s="2">
        <v>35.0</v>
      </c>
      <c r="AD282" s="2">
        <v>300.0</v>
      </c>
      <c r="AF282" s="3">
        <f t="shared" si="6"/>
        <v>8.375</v>
      </c>
      <c r="AG282" s="4">
        <f t="shared" si="7"/>
        <v>85</v>
      </c>
      <c r="AH282" s="2" t="s">
        <v>6</v>
      </c>
    </row>
    <row r="283">
      <c r="A283" s="1" t="s">
        <v>244</v>
      </c>
      <c r="B283" s="1" t="s">
        <v>245</v>
      </c>
      <c r="C283" s="2" t="s">
        <v>246</v>
      </c>
      <c r="D283" s="2">
        <f>VLOOKUP(B283,'DSAI-Vikrant'!$B$2:$F$44,5)</f>
        <v>55</v>
      </c>
      <c r="E283" s="2">
        <v>28.0</v>
      </c>
      <c r="F283" s="2">
        <f t="shared" si="1"/>
        <v>41.5</v>
      </c>
      <c r="G283" s="2">
        <v>16.0</v>
      </c>
      <c r="H283" s="2">
        <v>16.5</v>
      </c>
      <c r="I283" s="2">
        <v>35.0</v>
      </c>
      <c r="J283" s="3">
        <f t="shared" si="2"/>
        <v>12.01388889</v>
      </c>
      <c r="K283" s="2">
        <v>100.0</v>
      </c>
      <c r="L283" s="2">
        <v>190.0</v>
      </c>
      <c r="N283" s="3">
        <f t="shared" si="3"/>
        <v>190</v>
      </c>
      <c r="O283" s="2">
        <v>90.0</v>
      </c>
      <c r="P283" s="2">
        <f t="shared" si="4"/>
        <v>14.25</v>
      </c>
      <c r="Q283" s="2">
        <v>7.0</v>
      </c>
      <c r="R283" s="2">
        <v>6.0</v>
      </c>
      <c r="S283" s="2">
        <v>12.0</v>
      </c>
      <c r="T283" s="2">
        <v>10.0</v>
      </c>
      <c r="U283" s="2">
        <v>15.0</v>
      </c>
      <c r="V283" s="2">
        <v>14.0</v>
      </c>
      <c r="W283" s="2">
        <v>20.0</v>
      </c>
      <c r="X283" s="2">
        <v>24.0</v>
      </c>
      <c r="Y283" s="2">
        <v>26.0</v>
      </c>
      <c r="Z283" s="2">
        <v>28.0</v>
      </c>
      <c r="AA283" s="2">
        <v>28.0</v>
      </c>
      <c r="AB283" s="2">
        <f t="shared" si="5"/>
        <v>9.5</v>
      </c>
      <c r="AC283" s="2">
        <v>0.0</v>
      </c>
      <c r="AD283" s="2">
        <v>310.0</v>
      </c>
      <c r="AF283" s="3">
        <f t="shared" si="6"/>
        <v>7.75</v>
      </c>
      <c r="AG283" s="4">
        <f t="shared" si="7"/>
        <v>85.01388889</v>
      </c>
      <c r="AH283" s="2" t="s">
        <v>6</v>
      </c>
    </row>
    <row r="284">
      <c r="A284" s="1" t="s">
        <v>271</v>
      </c>
      <c r="B284" s="1" t="s">
        <v>272</v>
      </c>
      <c r="C284" s="2" t="s">
        <v>273</v>
      </c>
      <c r="D284" s="2">
        <f>VLOOKUP(B284,'DSAI-Vikrant'!$B$2:$F$44,5)</f>
        <v>46</v>
      </c>
      <c r="E284" s="2">
        <v>37.0</v>
      </c>
      <c r="F284" s="2">
        <f t="shared" si="1"/>
        <v>41.5</v>
      </c>
      <c r="G284" s="2">
        <v>18.0</v>
      </c>
      <c r="H284" s="2">
        <v>17.5</v>
      </c>
      <c r="I284" s="2">
        <v>17.0</v>
      </c>
      <c r="J284" s="3">
        <f t="shared" si="2"/>
        <v>10.76388889</v>
      </c>
      <c r="K284" s="2">
        <v>100.0</v>
      </c>
      <c r="L284" s="2">
        <v>200.0</v>
      </c>
      <c r="N284" s="3">
        <f t="shared" si="3"/>
        <v>200</v>
      </c>
      <c r="O284" s="2">
        <v>88.0</v>
      </c>
      <c r="P284" s="2">
        <f t="shared" si="4"/>
        <v>14.4</v>
      </c>
      <c r="Q284" s="2">
        <v>4.0</v>
      </c>
      <c r="R284" s="2">
        <v>7.0</v>
      </c>
      <c r="S284" s="2">
        <v>13.0</v>
      </c>
      <c r="T284" s="2">
        <v>13.0</v>
      </c>
      <c r="U284" s="2">
        <v>13.0</v>
      </c>
      <c r="V284" s="2">
        <v>15.0</v>
      </c>
      <c r="W284" s="2">
        <v>20.0</v>
      </c>
      <c r="X284" s="2">
        <v>30.0</v>
      </c>
      <c r="Y284" s="2">
        <v>27.0</v>
      </c>
      <c r="Z284" s="2">
        <v>29.0</v>
      </c>
      <c r="AA284" s="2">
        <v>28.0</v>
      </c>
      <c r="AB284" s="2">
        <f t="shared" si="5"/>
        <v>9.95</v>
      </c>
      <c r="AC284" s="2">
        <v>25.0</v>
      </c>
      <c r="AD284" s="2">
        <v>320.0</v>
      </c>
      <c r="AF284" s="3">
        <f t="shared" si="6"/>
        <v>8.625</v>
      </c>
      <c r="AG284" s="4">
        <f t="shared" si="7"/>
        <v>85.23888889</v>
      </c>
      <c r="AH284" s="2" t="s">
        <v>6</v>
      </c>
    </row>
    <row r="285">
      <c r="A285" s="1" t="s">
        <v>369</v>
      </c>
      <c r="B285" s="1" t="s">
        <v>370</v>
      </c>
      <c r="C285" s="2" t="s">
        <v>371</v>
      </c>
      <c r="D285" s="2">
        <f>VLOOKUP(B285,'EC-Nitin'!$B$2:$F$46,5)</f>
        <v>44</v>
      </c>
      <c r="E285" s="2">
        <v>35.0</v>
      </c>
      <c r="F285" s="2">
        <f t="shared" si="1"/>
        <v>39.5</v>
      </c>
      <c r="G285" s="2">
        <v>12.0</v>
      </c>
      <c r="H285" s="2">
        <v>10.0</v>
      </c>
      <c r="I285" s="2">
        <v>42.0</v>
      </c>
      <c r="J285" s="3">
        <f t="shared" si="2"/>
        <v>10.16666667</v>
      </c>
      <c r="K285" s="2">
        <v>100.0</v>
      </c>
      <c r="L285" s="2">
        <v>200.0</v>
      </c>
      <c r="N285" s="3">
        <f t="shared" si="3"/>
        <v>200</v>
      </c>
      <c r="O285" s="2">
        <v>100.0</v>
      </c>
      <c r="P285" s="2">
        <f t="shared" si="4"/>
        <v>15</v>
      </c>
      <c r="Q285" s="2">
        <v>7.0</v>
      </c>
      <c r="R285" s="2">
        <v>8.0</v>
      </c>
      <c r="S285" s="2">
        <v>15.0</v>
      </c>
      <c r="T285" s="2">
        <v>14.0</v>
      </c>
      <c r="U285" s="2">
        <v>15.0</v>
      </c>
      <c r="V285" s="2">
        <v>14.0</v>
      </c>
      <c r="W285" s="2">
        <v>20.0</v>
      </c>
      <c r="X285" s="2">
        <v>30.0</v>
      </c>
      <c r="Y285" s="2">
        <v>30.0</v>
      </c>
      <c r="Z285" s="2">
        <v>30.0</v>
      </c>
      <c r="AA285" s="2">
        <v>29.0</v>
      </c>
      <c r="AB285" s="2">
        <f t="shared" si="5"/>
        <v>10.6</v>
      </c>
      <c r="AC285" s="2">
        <v>50.0</v>
      </c>
      <c r="AD285" s="2">
        <v>350.0</v>
      </c>
      <c r="AF285" s="3">
        <f t="shared" si="6"/>
        <v>10</v>
      </c>
      <c r="AG285" s="4">
        <f t="shared" si="7"/>
        <v>85.26666667</v>
      </c>
      <c r="AH285" s="2" t="s">
        <v>6</v>
      </c>
    </row>
    <row r="286">
      <c r="A286" s="1" t="s">
        <v>47</v>
      </c>
      <c r="B286" s="1" t="s">
        <v>48</v>
      </c>
      <c r="C286" s="2" t="s">
        <v>49</v>
      </c>
      <c r="D286" s="2">
        <f>VLOOKUP(B286, 'CSE-Sandeep'!$B$2:$G$61,5)</f>
        <v>50</v>
      </c>
      <c r="E286" s="2">
        <v>35.0</v>
      </c>
      <c r="F286" s="2">
        <f t="shared" si="1"/>
        <v>42.5</v>
      </c>
      <c r="G286" s="2">
        <v>17.0</v>
      </c>
      <c r="H286" s="2">
        <v>17.0</v>
      </c>
      <c r="I286" s="2">
        <v>34.0</v>
      </c>
      <c r="J286" s="3">
        <f t="shared" si="2"/>
        <v>12.27777778</v>
      </c>
      <c r="K286" s="2">
        <v>76.0</v>
      </c>
      <c r="L286" s="2">
        <v>190.0</v>
      </c>
      <c r="N286" s="3">
        <f t="shared" si="3"/>
        <v>190</v>
      </c>
      <c r="O286" s="2">
        <v>89.0</v>
      </c>
      <c r="P286" s="2">
        <f t="shared" si="4"/>
        <v>13</v>
      </c>
      <c r="Q286" s="2">
        <v>7.0</v>
      </c>
      <c r="R286" s="2">
        <v>7.0</v>
      </c>
      <c r="S286" s="2">
        <v>14.0</v>
      </c>
      <c r="T286" s="2">
        <v>0.0</v>
      </c>
      <c r="U286" s="2">
        <v>14.0</v>
      </c>
      <c r="V286" s="2">
        <v>14.0</v>
      </c>
      <c r="W286" s="2">
        <v>0.0</v>
      </c>
      <c r="X286" s="2">
        <v>30.0</v>
      </c>
      <c r="Y286" s="2">
        <v>26.0</v>
      </c>
      <c r="Z286" s="2">
        <v>29.0</v>
      </c>
      <c r="AA286" s="2">
        <v>28.0</v>
      </c>
      <c r="AB286" s="2">
        <f t="shared" si="5"/>
        <v>8.45</v>
      </c>
      <c r="AC286" s="2">
        <v>30.0</v>
      </c>
      <c r="AD286" s="2">
        <v>340.0</v>
      </c>
      <c r="AF286" s="3">
        <f t="shared" si="6"/>
        <v>9.25</v>
      </c>
      <c r="AG286" s="4">
        <f t="shared" si="7"/>
        <v>85.47777778</v>
      </c>
      <c r="AH286" s="2" t="s">
        <v>6</v>
      </c>
    </row>
    <row r="287">
      <c r="A287" s="1" t="s">
        <v>958</v>
      </c>
      <c r="B287" s="1" t="s">
        <v>959</v>
      </c>
      <c r="C287" s="2" t="s">
        <v>960</v>
      </c>
      <c r="D287" s="2">
        <f>VLOOKUP(B287,MT!$B$2:$F$30,5)</f>
        <v>49</v>
      </c>
      <c r="E287" s="2">
        <v>32.0</v>
      </c>
      <c r="F287" s="2">
        <f t="shared" si="1"/>
        <v>40.5</v>
      </c>
      <c r="G287" s="2">
        <v>10.0</v>
      </c>
      <c r="H287" s="2">
        <v>16.5</v>
      </c>
      <c r="I287" s="2">
        <v>28.0</v>
      </c>
      <c r="J287" s="3">
        <f t="shared" si="2"/>
        <v>9.736111111</v>
      </c>
      <c r="K287" s="2">
        <v>100.0</v>
      </c>
      <c r="L287" s="2">
        <v>200.0</v>
      </c>
      <c r="N287" s="3">
        <f t="shared" si="3"/>
        <v>200</v>
      </c>
      <c r="O287" s="2">
        <v>100.0</v>
      </c>
      <c r="P287" s="2">
        <f t="shared" si="4"/>
        <v>15</v>
      </c>
      <c r="Q287" s="2">
        <v>7.0</v>
      </c>
      <c r="R287" s="2">
        <v>7.0</v>
      </c>
      <c r="S287" s="2">
        <v>10.0</v>
      </c>
      <c r="T287" s="2">
        <v>14.0</v>
      </c>
      <c r="U287" s="2">
        <v>14.0</v>
      </c>
      <c r="V287" s="2">
        <v>13.0</v>
      </c>
      <c r="W287" s="2">
        <v>20.0</v>
      </c>
      <c r="X287" s="2">
        <v>30.0</v>
      </c>
      <c r="Y287" s="2">
        <v>30.0</v>
      </c>
      <c r="Z287" s="2">
        <v>30.0</v>
      </c>
      <c r="AA287" s="2">
        <v>30.0</v>
      </c>
      <c r="AB287" s="2">
        <f t="shared" si="5"/>
        <v>10.25</v>
      </c>
      <c r="AC287" s="2">
        <v>50.0</v>
      </c>
      <c r="AD287" s="2">
        <v>350.0</v>
      </c>
      <c r="AF287" s="3">
        <f t="shared" si="6"/>
        <v>10</v>
      </c>
      <c r="AG287" s="4">
        <f t="shared" si="7"/>
        <v>85.48611111</v>
      </c>
      <c r="AH287" s="2" t="s">
        <v>6</v>
      </c>
    </row>
    <row r="288">
      <c r="A288" s="1" t="s">
        <v>456</v>
      </c>
      <c r="B288" s="1" t="s">
        <v>457</v>
      </c>
      <c r="C288" s="2" t="s">
        <v>458</v>
      </c>
      <c r="D288" s="2">
        <f>VLOOKUP(B288,'EC-Nitin'!$B$2:$F$46,5)</f>
        <v>38</v>
      </c>
      <c r="E288" s="2">
        <v>37.0</v>
      </c>
      <c r="F288" s="2">
        <f t="shared" si="1"/>
        <v>37.5</v>
      </c>
      <c r="G288" s="2">
        <v>18.0</v>
      </c>
      <c r="H288" s="2">
        <v>16.5</v>
      </c>
      <c r="I288" s="2">
        <v>40.0</v>
      </c>
      <c r="J288" s="3">
        <f t="shared" si="2"/>
        <v>13.06944444</v>
      </c>
      <c r="K288" s="2">
        <v>100.0</v>
      </c>
      <c r="L288" s="2">
        <v>200.0</v>
      </c>
      <c r="N288" s="3">
        <f t="shared" si="3"/>
        <v>200</v>
      </c>
      <c r="O288" s="2">
        <v>97.0</v>
      </c>
      <c r="P288" s="2">
        <f t="shared" si="4"/>
        <v>14.85</v>
      </c>
      <c r="Q288" s="2">
        <v>7.0</v>
      </c>
      <c r="R288" s="2">
        <v>8.0</v>
      </c>
      <c r="S288" s="2">
        <v>12.0</v>
      </c>
      <c r="T288" s="2">
        <v>13.0</v>
      </c>
      <c r="U288" s="2">
        <v>14.0</v>
      </c>
      <c r="V288" s="2">
        <v>15.0</v>
      </c>
      <c r="W288" s="2">
        <v>20.0</v>
      </c>
      <c r="X288" s="2">
        <v>30.0</v>
      </c>
      <c r="Y288" s="2">
        <v>27.0</v>
      </c>
      <c r="Z288" s="2">
        <v>30.0</v>
      </c>
      <c r="AA288" s="2">
        <v>29.0</v>
      </c>
      <c r="AB288" s="2">
        <f t="shared" si="5"/>
        <v>10.25</v>
      </c>
      <c r="AC288" s="2">
        <v>50.0</v>
      </c>
      <c r="AD288" s="2">
        <v>343.0</v>
      </c>
      <c r="AF288" s="3">
        <f t="shared" si="6"/>
        <v>9.825</v>
      </c>
      <c r="AG288" s="4">
        <f t="shared" si="7"/>
        <v>85.49444444</v>
      </c>
      <c r="AH288" s="2" t="s">
        <v>6</v>
      </c>
    </row>
    <row r="289">
      <c r="A289" s="1" t="s">
        <v>898</v>
      </c>
      <c r="B289" s="1" t="s">
        <v>899</v>
      </c>
      <c r="C289" s="2" t="s">
        <v>900</v>
      </c>
      <c r="D289" s="2">
        <f>VLOOKUP(B289,MT!$B$2:$F$30,5)</f>
        <v>48</v>
      </c>
      <c r="E289" s="2">
        <v>35.0</v>
      </c>
      <c r="F289" s="2">
        <f t="shared" si="1"/>
        <v>41.5</v>
      </c>
      <c r="G289" s="2">
        <v>13.0</v>
      </c>
      <c r="H289" s="2">
        <v>16.0</v>
      </c>
      <c r="I289" s="2">
        <v>29.0</v>
      </c>
      <c r="J289" s="3">
        <f t="shared" si="2"/>
        <v>10.47222222</v>
      </c>
      <c r="K289" s="2">
        <v>100.0</v>
      </c>
      <c r="L289" s="2">
        <v>200.0</v>
      </c>
      <c r="N289" s="3">
        <f t="shared" si="3"/>
        <v>200</v>
      </c>
      <c r="O289" s="2">
        <v>90.0</v>
      </c>
      <c r="P289" s="2">
        <f t="shared" si="4"/>
        <v>14.5</v>
      </c>
      <c r="Q289" s="2">
        <v>7.0</v>
      </c>
      <c r="R289" s="2">
        <v>8.0</v>
      </c>
      <c r="S289" s="2">
        <v>10.0</v>
      </c>
      <c r="T289" s="2">
        <v>12.0</v>
      </c>
      <c r="U289" s="2">
        <v>12.0</v>
      </c>
      <c r="V289" s="2">
        <v>14.5</v>
      </c>
      <c r="W289" s="2">
        <v>18.0</v>
      </c>
      <c r="X289" s="2">
        <v>26.0</v>
      </c>
      <c r="Y289" s="2">
        <v>29.0</v>
      </c>
      <c r="Z289" s="2">
        <v>30.0</v>
      </c>
      <c r="AA289" s="2">
        <v>30.0</v>
      </c>
      <c r="AB289" s="2">
        <f t="shared" si="5"/>
        <v>9.825</v>
      </c>
      <c r="AC289" s="2">
        <v>50.0</v>
      </c>
      <c r="AD289" s="2">
        <v>320.0</v>
      </c>
      <c r="AF289" s="3">
        <f t="shared" si="6"/>
        <v>9.25</v>
      </c>
      <c r="AG289" s="4">
        <f t="shared" si="7"/>
        <v>85.54722222</v>
      </c>
      <c r="AH289" s="2" t="s">
        <v>6</v>
      </c>
    </row>
    <row r="290">
      <c r="A290" s="1" t="s">
        <v>182</v>
      </c>
      <c r="B290" s="1" t="s">
        <v>183</v>
      </c>
      <c r="C290" s="2" t="s">
        <v>184</v>
      </c>
      <c r="D290" s="2">
        <f>VLOOKUP(B290, 'CSE-Sandeep'!$B$2:$G$61,5)</f>
        <v>46</v>
      </c>
      <c r="E290" s="2">
        <v>33.0</v>
      </c>
      <c r="F290" s="2">
        <f t="shared" si="1"/>
        <v>39.5</v>
      </c>
      <c r="G290" s="2">
        <v>16.0</v>
      </c>
      <c r="H290" s="2">
        <v>19.0</v>
      </c>
      <c r="I290" s="2">
        <v>34.0</v>
      </c>
      <c r="J290" s="3">
        <f t="shared" si="2"/>
        <v>12.52777778</v>
      </c>
      <c r="K290" s="2">
        <v>100.0</v>
      </c>
      <c r="L290" s="2">
        <v>200.0</v>
      </c>
      <c r="N290" s="3">
        <f t="shared" si="3"/>
        <v>200</v>
      </c>
      <c r="O290" s="2">
        <v>95.0</v>
      </c>
      <c r="P290" s="2">
        <f t="shared" si="4"/>
        <v>14.75</v>
      </c>
      <c r="Q290" s="2">
        <v>6.0</v>
      </c>
      <c r="R290" s="2">
        <v>10.0</v>
      </c>
      <c r="T290" s="2">
        <v>13.0</v>
      </c>
      <c r="U290" s="2">
        <v>15.0</v>
      </c>
      <c r="V290" s="2">
        <v>14.0</v>
      </c>
      <c r="W290" s="2">
        <v>20.0</v>
      </c>
      <c r="X290" s="2">
        <v>28.0</v>
      </c>
      <c r="Y290" s="2">
        <v>30.0</v>
      </c>
      <c r="Z290" s="2">
        <v>30.0</v>
      </c>
      <c r="AA290" s="2">
        <v>30.0</v>
      </c>
      <c r="AB290" s="2">
        <f t="shared" si="5"/>
        <v>9.8</v>
      </c>
      <c r="AC290" s="2">
        <v>30.0</v>
      </c>
      <c r="AD290" s="2">
        <v>340.0</v>
      </c>
      <c r="AF290" s="3">
        <f t="shared" si="6"/>
        <v>9.25</v>
      </c>
      <c r="AG290" s="4">
        <f t="shared" si="7"/>
        <v>85.82777778</v>
      </c>
      <c r="AH290" s="2" t="s">
        <v>6</v>
      </c>
    </row>
    <row r="291">
      <c r="A291" s="1" t="s">
        <v>566</v>
      </c>
      <c r="B291" s="1" t="s">
        <v>567</v>
      </c>
      <c r="C291" s="2" t="s">
        <v>568</v>
      </c>
      <c r="D291" s="2">
        <f>VLOOKUP(B291, 'EE-Nitin'!$B$2:$F$57,5)</f>
        <v>51</v>
      </c>
      <c r="E291" s="2">
        <v>28.0</v>
      </c>
      <c r="F291" s="2">
        <f t="shared" si="1"/>
        <v>39.5</v>
      </c>
      <c r="G291" s="2">
        <v>13.0</v>
      </c>
      <c r="H291" s="2">
        <v>17.0</v>
      </c>
      <c r="I291" s="2">
        <v>35.0</v>
      </c>
      <c r="J291" s="3">
        <f t="shared" si="2"/>
        <v>11.38888889</v>
      </c>
      <c r="K291" s="2">
        <v>98.0</v>
      </c>
      <c r="L291" s="2">
        <v>200.0</v>
      </c>
      <c r="N291" s="3">
        <f t="shared" si="3"/>
        <v>200</v>
      </c>
      <c r="O291" s="2">
        <v>100.0</v>
      </c>
      <c r="P291" s="2">
        <f t="shared" si="4"/>
        <v>14.9</v>
      </c>
      <c r="Q291" s="2">
        <v>7.0</v>
      </c>
      <c r="R291" s="2">
        <v>4.0</v>
      </c>
      <c r="S291" s="2">
        <v>11.0</v>
      </c>
      <c r="T291" s="2">
        <v>12.0</v>
      </c>
      <c r="U291" s="2">
        <v>14.5</v>
      </c>
      <c r="V291" s="2">
        <v>15.0</v>
      </c>
      <c r="W291" s="2">
        <v>20.0</v>
      </c>
      <c r="X291" s="2">
        <v>30.0</v>
      </c>
      <c r="Y291" s="2">
        <v>29.0</v>
      </c>
      <c r="Z291" s="2">
        <v>30.0</v>
      </c>
      <c r="AA291" s="2">
        <v>30.0</v>
      </c>
      <c r="AB291" s="2">
        <f t="shared" si="5"/>
        <v>10.125</v>
      </c>
      <c r="AC291" s="2">
        <v>50.0</v>
      </c>
      <c r="AD291" s="2">
        <v>347.0</v>
      </c>
      <c r="AF291" s="3">
        <f t="shared" si="6"/>
        <v>9.925</v>
      </c>
      <c r="AG291" s="4">
        <f t="shared" si="7"/>
        <v>85.83888889</v>
      </c>
      <c r="AH291" s="2" t="s">
        <v>6</v>
      </c>
    </row>
    <row r="292">
      <c r="A292" s="1" t="s">
        <v>865</v>
      </c>
      <c r="B292" s="1" t="s">
        <v>866</v>
      </c>
      <c r="C292" s="2" t="s">
        <v>867</v>
      </c>
      <c r="D292" s="2">
        <f>VLOOKUP(B292,'MM-Subhashree'!$B$2:F$26,5)</f>
        <v>47</v>
      </c>
      <c r="E292" s="2">
        <v>33.0</v>
      </c>
      <c r="F292" s="2">
        <f t="shared" si="1"/>
        <v>40</v>
      </c>
      <c r="G292" s="2">
        <v>10.0</v>
      </c>
      <c r="H292" s="2">
        <v>14.5</v>
      </c>
      <c r="I292" s="2">
        <v>40.0</v>
      </c>
      <c r="J292" s="3">
        <f t="shared" si="2"/>
        <v>10.56944444</v>
      </c>
      <c r="K292" s="2">
        <v>100.0</v>
      </c>
      <c r="L292" s="2">
        <v>196.0</v>
      </c>
      <c r="N292" s="3">
        <f t="shared" si="3"/>
        <v>196</v>
      </c>
      <c r="O292" s="2">
        <v>100.0</v>
      </c>
      <c r="P292" s="2">
        <f t="shared" si="4"/>
        <v>14.9</v>
      </c>
      <c r="Q292" s="2">
        <v>7.0</v>
      </c>
      <c r="R292" s="2">
        <v>10.0</v>
      </c>
      <c r="S292" s="2">
        <v>12.0</v>
      </c>
      <c r="T292" s="2">
        <v>14.5</v>
      </c>
      <c r="U292" s="2">
        <v>15.0</v>
      </c>
      <c r="V292" s="2">
        <v>15.0</v>
      </c>
      <c r="W292" s="2">
        <v>19.5</v>
      </c>
      <c r="X292" s="2">
        <v>28.0</v>
      </c>
      <c r="Y292" s="2">
        <v>27.5</v>
      </c>
      <c r="Z292" s="2">
        <v>30.0</v>
      </c>
      <c r="AA292" s="2">
        <v>30.0</v>
      </c>
      <c r="AB292" s="2">
        <f t="shared" si="5"/>
        <v>10.425</v>
      </c>
      <c r="AC292" s="2">
        <v>50.0</v>
      </c>
      <c r="AD292" s="2">
        <v>350.0</v>
      </c>
      <c r="AF292" s="3">
        <f t="shared" si="6"/>
        <v>10</v>
      </c>
      <c r="AG292" s="4">
        <f t="shared" si="7"/>
        <v>85.89444444</v>
      </c>
      <c r="AH292" s="2" t="s">
        <v>6</v>
      </c>
    </row>
    <row r="293">
      <c r="A293" s="1" t="s">
        <v>784</v>
      </c>
      <c r="B293" s="1" t="s">
        <v>785</v>
      </c>
      <c r="C293" s="2" t="s">
        <v>786</v>
      </c>
      <c r="D293" s="2">
        <f>VLOOKUP(B293, 'ME-Subhashree'!$B$2:$F$56,5)</f>
        <v>50</v>
      </c>
      <c r="E293" s="2">
        <v>31.0</v>
      </c>
      <c r="F293" s="2">
        <f t="shared" si="1"/>
        <v>40.5</v>
      </c>
      <c r="G293" s="2">
        <v>12.0</v>
      </c>
      <c r="H293" s="2">
        <v>17.5</v>
      </c>
      <c r="I293" s="2">
        <v>35.0</v>
      </c>
      <c r="J293" s="3">
        <f t="shared" si="2"/>
        <v>11.26388889</v>
      </c>
      <c r="K293" s="2">
        <v>97.0</v>
      </c>
      <c r="L293" s="2">
        <v>197.0</v>
      </c>
      <c r="N293" s="3">
        <f t="shared" si="3"/>
        <v>197</v>
      </c>
      <c r="O293" s="2">
        <v>91.0</v>
      </c>
      <c r="P293" s="2">
        <f t="shared" si="4"/>
        <v>14.325</v>
      </c>
      <c r="Q293" s="2">
        <v>7.0</v>
      </c>
      <c r="R293" s="2">
        <v>7.0</v>
      </c>
      <c r="S293" s="2">
        <v>14.0</v>
      </c>
      <c r="T293" s="2">
        <v>10.0</v>
      </c>
      <c r="U293" s="2">
        <v>15.0</v>
      </c>
      <c r="V293" s="2">
        <v>13.5</v>
      </c>
      <c r="W293" s="2">
        <v>20.0</v>
      </c>
      <c r="X293" s="2">
        <v>25.0</v>
      </c>
      <c r="Y293" s="2">
        <v>30.0</v>
      </c>
      <c r="Z293" s="2">
        <v>30.0</v>
      </c>
      <c r="AA293" s="2">
        <v>30.0</v>
      </c>
      <c r="AB293" s="2">
        <f t="shared" si="5"/>
        <v>10.075</v>
      </c>
      <c r="AC293" s="2">
        <v>48.0</v>
      </c>
      <c r="AD293" s="2">
        <v>345.0</v>
      </c>
      <c r="AF293" s="3">
        <f t="shared" si="6"/>
        <v>9.825</v>
      </c>
      <c r="AG293" s="4">
        <f t="shared" si="7"/>
        <v>85.98888889</v>
      </c>
      <c r="AH293" s="2" t="s">
        <v>6</v>
      </c>
    </row>
    <row r="294">
      <c r="A294" s="1" t="s">
        <v>811</v>
      </c>
      <c r="B294" s="1" t="s">
        <v>812</v>
      </c>
      <c r="C294" s="2" t="s">
        <v>813</v>
      </c>
      <c r="D294" s="2">
        <f>VLOOKUP(B294,'MM-Subhashree'!$B$2:F$26,5)</f>
        <v>38</v>
      </c>
      <c r="E294" s="2">
        <v>38.0</v>
      </c>
      <c r="F294" s="2">
        <f t="shared" si="1"/>
        <v>38</v>
      </c>
      <c r="G294" s="2">
        <v>15.0</v>
      </c>
      <c r="H294" s="2">
        <v>20.0</v>
      </c>
      <c r="I294" s="2">
        <v>40.0</v>
      </c>
      <c r="J294" s="3">
        <f t="shared" si="2"/>
        <v>13.19444444</v>
      </c>
      <c r="K294" s="2">
        <v>98.0</v>
      </c>
      <c r="L294" s="2">
        <v>195.0</v>
      </c>
      <c r="N294" s="3">
        <f t="shared" si="3"/>
        <v>195</v>
      </c>
      <c r="O294" s="2">
        <v>100.0</v>
      </c>
      <c r="P294" s="2">
        <f t="shared" si="4"/>
        <v>14.775</v>
      </c>
      <c r="Q294" s="2">
        <v>7.0</v>
      </c>
      <c r="R294" s="2">
        <v>10.0</v>
      </c>
      <c r="S294" s="2">
        <v>9.0</v>
      </c>
      <c r="T294" s="2">
        <v>13.0</v>
      </c>
      <c r="U294" s="2">
        <v>15.0</v>
      </c>
      <c r="V294" s="2">
        <v>14.5</v>
      </c>
      <c r="W294" s="2">
        <v>20.0</v>
      </c>
      <c r="X294" s="2">
        <v>27.5</v>
      </c>
      <c r="Y294" s="2">
        <v>27.0</v>
      </c>
      <c r="Z294" s="2">
        <v>30.0</v>
      </c>
      <c r="AA294" s="2">
        <v>30.0</v>
      </c>
      <c r="AB294" s="2">
        <f t="shared" si="5"/>
        <v>10.15</v>
      </c>
      <c r="AC294" s="2">
        <v>50.0</v>
      </c>
      <c r="AD294" s="2">
        <v>350.0</v>
      </c>
      <c r="AF294" s="3">
        <f t="shared" si="6"/>
        <v>10</v>
      </c>
      <c r="AG294" s="4">
        <f t="shared" si="7"/>
        <v>86.11944444</v>
      </c>
      <c r="AH294" s="2" t="s">
        <v>6</v>
      </c>
    </row>
    <row r="295">
      <c r="A295" s="1" t="s">
        <v>521</v>
      </c>
      <c r="B295" s="1" t="s">
        <v>522</v>
      </c>
      <c r="C295" s="2" t="s">
        <v>523</v>
      </c>
      <c r="D295" s="2">
        <f>VLOOKUP(B295, 'EE-Nitin'!$B$2:$F$57,5)</f>
        <v>45</v>
      </c>
      <c r="E295" s="2">
        <v>34.0</v>
      </c>
      <c r="F295" s="2">
        <f t="shared" si="1"/>
        <v>39.5</v>
      </c>
      <c r="G295" s="2">
        <v>12.0</v>
      </c>
      <c r="H295" s="2">
        <v>19.0</v>
      </c>
      <c r="I295" s="2">
        <v>38.0</v>
      </c>
      <c r="J295" s="3">
        <f t="shared" si="2"/>
        <v>11.97222222</v>
      </c>
      <c r="K295" s="2">
        <v>92.0</v>
      </c>
      <c r="L295" s="2">
        <v>200.0</v>
      </c>
      <c r="N295" s="3">
        <f t="shared" si="3"/>
        <v>200</v>
      </c>
      <c r="O295" s="2">
        <v>100.0</v>
      </c>
      <c r="P295" s="2">
        <f t="shared" si="4"/>
        <v>14.6</v>
      </c>
      <c r="Q295" s="2">
        <v>7.0</v>
      </c>
      <c r="R295" s="2">
        <v>9.0</v>
      </c>
      <c r="S295" s="2">
        <v>12.0</v>
      </c>
      <c r="T295" s="2">
        <v>12.0</v>
      </c>
      <c r="U295" s="2">
        <v>15.0</v>
      </c>
      <c r="V295" s="2">
        <v>14.5</v>
      </c>
      <c r="W295" s="2">
        <v>20.0</v>
      </c>
      <c r="X295" s="2">
        <v>30.0</v>
      </c>
      <c r="Y295" s="2">
        <v>27.0</v>
      </c>
      <c r="Z295" s="2">
        <v>30.0</v>
      </c>
      <c r="AA295" s="2">
        <v>30.0</v>
      </c>
      <c r="AB295" s="2">
        <f t="shared" si="5"/>
        <v>10.325</v>
      </c>
      <c r="AC295" s="2">
        <v>50.0</v>
      </c>
      <c r="AD295" s="2">
        <v>345.0</v>
      </c>
      <c r="AF295" s="3">
        <f t="shared" si="6"/>
        <v>9.875</v>
      </c>
      <c r="AG295" s="4">
        <f t="shared" si="7"/>
        <v>86.27222222</v>
      </c>
      <c r="AH295" s="2" t="s">
        <v>6</v>
      </c>
    </row>
    <row r="296">
      <c r="A296" s="1" t="s">
        <v>877</v>
      </c>
      <c r="B296" s="1" t="s">
        <v>878</v>
      </c>
      <c r="C296" s="2" t="s">
        <v>879</v>
      </c>
      <c r="D296" s="2">
        <f>VLOOKUP(B296,MT!$B$2:$F$30,5)</f>
        <v>49</v>
      </c>
      <c r="E296" s="2">
        <v>33.0</v>
      </c>
      <c r="F296" s="2">
        <f t="shared" si="1"/>
        <v>41</v>
      </c>
      <c r="G296" s="2">
        <v>11.0</v>
      </c>
      <c r="H296" s="2">
        <v>15.5</v>
      </c>
      <c r="I296" s="2">
        <v>33.0</v>
      </c>
      <c r="J296" s="3">
        <f t="shared" si="2"/>
        <v>10.29166667</v>
      </c>
      <c r="K296" s="2">
        <v>100.0</v>
      </c>
      <c r="L296" s="2">
        <v>200.0</v>
      </c>
      <c r="N296" s="3">
        <f t="shared" si="3"/>
        <v>200</v>
      </c>
      <c r="O296" s="2">
        <v>98.0</v>
      </c>
      <c r="P296" s="2">
        <f t="shared" si="4"/>
        <v>14.9</v>
      </c>
      <c r="Q296" s="2">
        <v>7.0</v>
      </c>
      <c r="R296" s="2">
        <v>10.0</v>
      </c>
      <c r="S296" s="2">
        <v>14.0</v>
      </c>
      <c r="T296" s="2">
        <v>13.5</v>
      </c>
      <c r="U296" s="2">
        <v>15.0</v>
      </c>
      <c r="V296" s="2">
        <v>15.0</v>
      </c>
      <c r="W296" s="2">
        <v>20.0</v>
      </c>
      <c r="X296" s="2">
        <v>26.0</v>
      </c>
      <c r="Y296" s="2">
        <v>29.0</v>
      </c>
      <c r="Z296" s="2">
        <v>30.0</v>
      </c>
      <c r="AA296" s="2">
        <v>30.0</v>
      </c>
      <c r="AB296" s="2">
        <f t="shared" si="5"/>
        <v>10.475</v>
      </c>
      <c r="AC296" s="2">
        <v>40.0</v>
      </c>
      <c r="AD296" s="2">
        <v>350.0</v>
      </c>
      <c r="AF296" s="3">
        <f t="shared" si="6"/>
        <v>9.75</v>
      </c>
      <c r="AG296" s="4">
        <f t="shared" si="7"/>
        <v>86.41666667</v>
      </c>
      <c r="AH296" s="2" t="s">
        <v>6</v>
      </c>
    </row>
    <row r="297">
      <c r="A297" s="1" t="s">
        <v>176</v>
      </c>
      <c r="B297" s="1" t="s">
        <v>177</v>
      </c>
      <c r="C297" s="2" t="s">
        <v>178</v>
      </c>
      <c r="D297" s="2">
        <f>VLOOKUP(B297, 'CSE-Sandeep'!$B$2:$G$61,5)</f>
        <v>53</v>
      </c>
      <c r="E297" s="2">
        <v>37.0</v>
      </c>
      <c r="F297" s="2">
        <f t="shared" si="1"/>
        <v>45</v>
      </c>
      <c r="G297" s="2">
        <v>14.0</v>
      </c>
      <c r="H297" s="2">
        <v>18.0</v>
      </c>
      <c r="J297" s="3">
        <f t="shared" si="2"/>
        <v>8</v>
      </c>
      <c r="K297" s="2">
        <v>100.0</v>
      </c>
      <c r="L297" s="2">
        <v>198.0</v>
      </c>
      <c r="N297" s="3">
        <f t="shared" si="3"/>
        <v>198</v>
      </c>
      <c r="O297" s="2">
        <v>94.0</v>
      </c>
      <c r="P297" s="2">
        <f t="shared" si="4"/>
        <v>14.65</v>
      </c>
      <c r="Q297" s="2">
        <v>6.0</v>
      </c>
      <c r="R297" s="2">
        <v>8.0</v>
      </c>
      <c r="T297" s="2">
        <v>11.0</v>
      </c>
      <c r="U297" s="2">
        <v>15.0</v>
      </c>
      <c r="V297" s="2">
        <v>15.0</v>
      </c>
      <c r="W297" s="2">
        <v>20.0</v>
      </c>
      <c r="X297" s="2">
        <v>28.0</v>
      </c>
      <c r="Y297" s="2">
        <v>25.0</v>
      </c>
      <c r="Z297" s="2">
        <v>30.0</v>
      </c>
      <c r="AA297" s="2">
        <v>30.0</v>
      </c>
      <c r="AB297" s="2">
        <f t="shared" si="5"/>
        <v>9.4</v>
      </c>
      <c r="AC297" s="2">
        <v>50.0</v>
      </c>
      <c r="AD297" s="2">
        <v>325.0</v>
      </c>
      <c r="AF297" s="3">
        <f t="shared" si="6"/>
        <v>9.375</v>
      </c>
      <c r="AG297" s="4">
        <f t="shared" si="7"/>
        <v>86.425</v>
      </c>
      <c r="AH297" s="2" t="s">
        <v>6</v>
      </c>
    </row>
    <row r="298">
      <c r="A298" s="1" t="s">
        <v>668</v>
      </c>
      <c r="B298" s="1" t="s">
        <v>669</v>
      </c>
      <c r="C298" s="2" t="s">
        <v>670</v>
      </c>
      <c r="D298" s="2">
        <f>VLOOKUP(B298, 'ME-Subhashree'!$B$2:$F$56,5)</f>
        <v>43</v>
      </c>
      <c r="E298" s="2">
        <v>36.0</v>
      </c>
      <c r="F298" s="2">
        <f t="shared" si="1"/>
        <v>39.5</v>
      </c>
      <c r="G298" s="2">
        <v>16.0</v>
      </c>
      <c r="H298" s="2">
        <v>20.0</v>
      </c>
      <c r="I298" s="2">
        <v>41.0</v>
      </c>
      <c r="J298" s="3">
        <f t="shared" si="2"/>
        <v>13.55555556</v>
      </c>
      <c r="K298" s="2">
        <v>95.0</v>
      </c>
      <c r="L298" s="2">
        <v>195.0</v>
      </c>
      <c r="N298" s="3">
        <f t="shared" si="3"/>
        <v>195</v>
      </c>
      <c r="O298" s="2">
        <v>100.0</v>
      </c>
      <c r="P298" s="2">
        <f t="shared" si="4"/>
        <v>14.625</v>
      </c>
      <c r="Q298" s="2">
        <v>7.0</v>
      </c>
      <c r="R298" s="2">
        <v>7.0</v>
      </c>
      <c r="S298" s="2">
        <v>9.0</v>
      </c>
      <c r="T298" s="2">
        <v>14.0</v>
      </c>
      <c r="U298" s="2">
        <v>15.0</v>
      </c>
      <c r="V298" s="2">
        <v>15.0</v>
      </c>
      <c r="W298" s="2">
        <v>18.0</v>
      </c>
      <c r="X298" s="2">
        <v>29.0</v>
      </c>
      <c r="Y298" s="2">
        <v>28.0</v>
      </c>
      <c r="Z298" s="2">
        <v>30.0</v>
      </c>
      <c r="AA298" s="2">
        <v>30.0</v>
      </c>
      <c r="AB298" s="2">
        <f t="shared" si="5"/>
        <v>10.1</v>
      </c>
      <c r="AC298" s="2">
        <v>50.0</v>
      </c>
      <c r="AD298" s="2">
        <v>300.0</v>
      </c>
      <c r="AF298" s="3">
        <f t="shared" si="6"/>
        <v>8.75</v>
      </c>
      <c r="AG298" s="4">
        <f t="shared" si="7"/>
        <v>86.53055556</v>
      </c>
      <c r="AH298" s="2" t="s">
        <v>6</v>
      </c>
    </row>
    <row r="299">
      <c r="A299" s="1" t="s">
        <v>155</v>
      </c>
      <c r="B299" s="1" t="s">
        <v>156</v>
      </c>
      <c r="C299" s="2" t="s">
        <v>157</v>
      </c>
      <c r="D299" s="2">
        <f>VLOOKUP(B299, 'CSE-Sandeep'!$B$2:$G$61,5)</f>
        <v>48</v>
      </c>
      <c r="E299" s="2">
        <v>36.0</v>
      </c>
      <c r="F299" s="2">
        <f t="shared" si="1"/>
        <v>42</v>
      </c>
      <c r="G299" s="2">
        <v>12.0</v>
      </c>
      <c r="H299" s="2">
        <v>19.5</v>
      </c>
      <c r="I299" s="2">
        <v>35.0</v>
      </c>
      <c r="J299" s="3">
        <f t="shared" si="2"/>
        <v>11.76388889</v>
      </c>
      <c r="K299" s="2">
        <v>100.0</v>
      </c>
      <c r="L299" s="2">
        <v>192.0</v>
      </c>
      <c r="N299" s="3">
        <f t="shared" si="3"/>
        <v>192</v>
      </c>
      <c r="O299" s="2">
        <v>92.0</v>
      </c>
      <c r="P299" s="2">
        <f t="shared" si="4"/>
        <v>14.4</v>
      </c>
      <c r="Q299" s="2">
        <v>6.0</v>
      </c>
      <c r="R299" s="2">
        <v>9.0</v>
      </c>
      <c r="T299" s="2">
        <v>13.0</v>
      </c>
      <c r="U299" s="2">
        <v>15.0</v>
      </c>
      <c r="V299" s="2">
        <v>15.0</v>
      </c>
      <c r="W299" s="2">
        <v>20.0</v>
      </c>
      <c r="X299" s="2">
        <v>30.0</v>
      </c>
      <c r="Y299" s="2">
        <v>30.0</v>
      </c>
      <c r="Z299" s="2">
        <v>30.0</v>
      </c>
      <c r="AA299" s="2">
        <v>30.0</v>
      </c>
      <c r="AB299" s="2">
        <f t="shared" si="5"/>
        <v>9.9</v>
      </c>
      <c r="AC299" s="2">
        <v>20.0</v>
      </c>
      <c r="AD299" s="2">
        <v>320.0</v>
      </c>
      <c r="AF299" s="3">
        <f t="shared" si="6"/>
        <v>8.5</v>
      </c>
      <c r="AG299" s="4">
        <f t="shared" si="7"/>
        <v>86.56388889</v>
      </c>
      <c r="AH299" s="2" t="s">
        <v>6</v>
      </c>
    </row>
    <row r="300">
      <c r="A300" s="1" t="s">
        <v>306</v>
      </c>
      <c r="B300" s="1" t="s">
        <v>307</v>
      </c>
      <c r="C300" s="2" t="s">
        <v>308</v>
      </c>
      <c r="D300" s="2">
        <f>VLOOKUP(B300,'DSAI-Vikrant'!$B$2:$F$44,5)</f>
        <v>48</v>
      </c>
      <c r="E300" s="2">
        <v>37.0</v>
      </c>
      <c r="F300" s="2">
        <f t="shared" si="1"/>
        <v>42.5</v>
      </c>
      <c r="G300" s="2">
        <v>16.0</v>
      </c>
      <c r="H300" s="2">
        <v>14.5</v>
      </c>
      <c r="I300" s="2">
        <v>33.5</v>
      </c>
      <c r="J300" s="3">
        <f t="shared" si="2"/>
        <v>11.34722222</v>
      </c>
      <c r="K300" s="2">
        <v>85.0</v>
      </c>
      <c r="L300" s="2">
        <v>194.0</v>
      </c>
      <c r="N300" s="3">
        <f t="shared" si="3"/>
        <v>194</v>
      </c>
      <c r="O300" s="2">
        <v>88.0</v>
      </c>
      <c r="P300" s="2">
        <f t="shared" si="4"/>
        <v>13.5</v>
      </c>
      <c r="Q300" s="2">
        <v>7.0</v>
      </c>
      <c r="R300" s="2">
        <v>7.0</v>
      </c>
      <c r="S300" s="2">
        <v>13.0</v>
      </c>
      <c r="T300" s="2">
        <v>12.0</v>
      </c>
      <c r="U300" s="2">
        <v>13.0</v>
      </c>
      <c r="V300" s="2">
        <v>12.0</v>
      </c>
      <c r="W300" s="2">
        <v>19.0</v>
      </c>
      <c r="X300" s="2">
        <v>29.0</v>
      </c>
      <c r="Y300" s="2">
        <v>26.0</v>
      </c>
      <c r="Z300" s="2">
        <v>29.0</v>
      </c>
      <c r="AA300" s="2">
        <v>29.0</v>
      </c>
      <c r="AB300" s="2">
        <f t="shared" si="5"/>
        <v>9.8</v>
      </c>
      <c r="AC300" s="2">
        <v>50.0</v>
      </c>
      <c r="AD300" s="2">
        <v>330.0</v>
      </c>
      <c r="AF300" s="3">
        <f t="shared" si="6"/>
        <v>9.5</v>
      </c>
      <c r="AG300" s="4">
        <f t="shared" si="7"/>
        <v>86.64722222</v>
      </c>
      <c r="AH300" s="2" t="s">
        <v>6</v>
      </c>
    </row>
    <row r="301">
      <c r="A301" s="1" t="s">
        <v>354</v>
      </c>
      <c r="B301" s="1" t="s">
        <v>355</v>
      </c>
      <c r="C301" s="2" t="s">
        <v>356</v>
      </c>
      <c r="D301" s="2">
        <f>VLOOKUP(B301,'EC-Nitin'!$B$2:$F$46,5)</f>
        <v>49</v>
      </c>
      <c r="E301" s="2">
        <v>33.0</v>
      </c>
      <c r="F301" s="2">
        <f t="shared" si="1"/>
        <v>41</v>
      </c>
      <c r="G301" s="2">
        <v>9.0</v>
      </c>
      <c r="H301" s="2">
        <v>16.0</v>
      </c>
      <c r="I301" s="2">
        <v>37.0</v>
      </c>
      <c r="J301" s="3">
        <f t="shared" si="2"/>
        <v>10.36111111</v>
      </c>
      <c r="K301" s="2">
        <v>100.0</v>
      </c>
      <c r="L301" s="2">
        <v>200.0</v>
      </c>
      <c r="N301" s="3">
        <f t="shared" si="3"/>
        <v>200</v>
      </c>
      <c r="O301" s="2">
        <v>100.0</v>
      </c>
      <c r="P301" s="2">
        <f t="shared" si="4"/>
        <v>15</v>
      </c>
      <c r="Q301" s="2">
        <v>6.0</v>
      </c>
      <c r="R301" s="2">
        <v>4.0</v>
      </c>
      <c r="S301" s="2">
        <v>15.0</v>
      </c>
      <c r="T301" s="2">
        <v>14.0</v>
      </c>
      <c r="U301" s="2">
        <v>14.0</v>
      </c>
      <c r="V301" s="2">
        <v>14.0</v>
      </c>
      <c r="W301" s="2">
        <v>20.0</v>
      </c>
      <c r="X301" s="2">
        <v>30.0</v>
      </c>
      <c r="Y301" s="2">
        <v>30.0</v>
      </c>
      <c r="Z301" s="2">
        <v>30.0</v>
      </c>
      <c r="AA301" s="2">
        <v>30.0</v>
      </c>
      <c r="AB301" s="2">
        <f t="shared" si="5"/>
        <v>10.35</v>
      </c>
      <c r="AC301" s="2">
        <v>50.0</v>
      </c>
      <c r="AD301" s="2">
        <v>350.0</v>
      </c>
      <c r="AF301" s="3">
        <f t="shared" si="6"/>
        <v>10</v>
      </c>
      <c r="AG301" s="4">
        <f t="shared" si="7"/>
        <v>86.71111111</v>
      </c>
      <c r="AH301" s="2" t="s">
        <v>6</v>
      </c>
    </row>
    <row r="302">
      <c r="A302" s="1" t="s">
        <v>462</v>
      </c>
      <c r="B302" s="1" t="s">
        <v>463</v>
      </c>
      <c r="C302" s="2" t="s">
        <v>464</v>
      </c>
      <c r="D302" s="2">
        <f>VLOOKUP(B302,'EC-Nitin'!$B$2:$F$46,5)</f>
        <v>44</v>
      </c>
      <c r="E302" s="2">
        <v>35.0</v>
      </c>
      <c r="F302" s="2">
        <f t="shared" si="1"/>
        <v>39.5</v>
      </c>
      <c r="G302" s="2">
        <v>15.0</v>
      </c>
      <c r="H302" s="2">
        <v>17.0</v>
      </c>
      <c r="I302" s="2">
        <v>40.0</v>
      </c>
      <c r="J302" s="3">
        <f t="shared" si="2"/>
        <v>12.44444444</v>
      </c>
      <c r="K302" s="2">
        <v>95.0</v>
      </c>
      <c r="L302" s="2">
        <v>200.0</v>
      </c>
      <c r="N302" s="3">
        <f t="shared" si="3"/>
        <v>200</v>
      </c>
      <c r="O302" s="2">
        <v>100.0</v>
      </c>
      <c r="P302" s="2">
        <f t="shared" si="4"/>
        <v>14.75</v>
      </c>
      <c r="Q302" s="2">
        <v>7.0</v>
      </c>
      <c r="R302" s="2">
        <v>8.0</v>
      </c>
      <c r="S302" s="2">
        <v>15.0</v>
      </c>
      <c r="T302" s="2">
        <v>15.0</v>
      </c>
      <c r="U302" s="2">
        <v>15.0</v>
      </c>
      <c r="V302" s="2">
        <v>14.0</v>
      </c>
      <c r="W302" s="2">
        <v>20.0</v>
      </c>
      <c r="X302" s="2">
        <v>30.0</v>
      </c>
      <c r="Y302" s="2">
        <v>24.0</v>
      </c>
      <c r="Z302" s="2">
        <v>30.0</v>
      </c>
      <c r="AA302" s="2">
        <v>30.0</v>
      </c>
      <c r="AB302" s="2">
        <f t="shared" si="5"/>
        <v>10.4</v>
      </c>
      <c r="AC302" s="2">
        <v>46.0</v>
      </c>
      <c r="AD302" s="2">
        <v>349.0</v>
      </c>
      <c r="AF302" s="3">
        <f t="shared" si="6"/>
        <v>9.875</v>
      </c>
      <c r="AG302" s="4">
        <f t="shared" si="7"/>
        <v>86.96944444</v>
      </c>
      <c r="AH302" s="2" t="s">
        <v>6</v>
      </c>
    </row>
    <row r="303">
      <c r="A303" s="1" t="s">
        <v>671</v>
      </c>
      <c r="B303" s="1" t="s">
        <v>672</v>
      </c>
      <c r="C303" s="2" t="s">
        <v>673</v>
      </c>
      <c r="D303" s="2">
        <f>VLOOKUP(B303, 'ME-Subhashree'!$B$2:$F$56,5)</f>
        <v>46</v>
      </c>
      <c r="E303" s="2">
        <v>36.0</v>
      </c>
      <c r="F303" s="2">
        <f t="shared" si="1"/>
        <v>41</v>
      </c>
      <c r="G303" s="2">
        <v>16.0</v>
      </c>
      <c r="H303" s="2">
        <v>18.5</v>
      </c>
      <c r="I303" s="2">
        <v>34.0</v>
      </c>
      <c r="J303" s="3">
        <f t="shared" si="2"/>
        <v>12.40277778</v>
      </c>
      <c r="K303" s="2">
        <v>90.0</v>
      </c>
      <c r="L303" s="2">
        <v>200.0</v>
      </c>
      <c r="N303" s="3">
        <f t="shared" si="3"/>
        <v>200</v>
      </c>
      <c r="O303" s="2">
        <v>100.0</v>
      </c>
      <c r="P303" s="2">
        <f t="shared" si="4"/>
        <v>14.5</v>
      </c>
      <c r="Q303" s="2">
        <v>6.0</v>
      </c>
      <c r="R303" s="2">
        <v>10.0</v>
      </c>
      <c r="S303" s="2">
        <v>15.0</v>
      </c>
      <c r="T303" s="2">
        <v>10.0</v>
      </c>
      <c r="U303" s="2">
        <v>12.0</v>
      </c>
      <c r="V303" s="2">
        <v>15.0</v>
      </c>
      <c r="W303" s="2">
        <v>20.0</v>
      </c>
      <c r="X303" s="2">
        <v>30.0</v>
      </c>
      <c r="Y303" s="2">
        <v>28.0</v>
      </c>
      <c r="Z303" s="2">
        <v>30.0</v>
      </c>
      <c r="AA303" s="2">
        <v>30.0</v>
      </c>
      <c r="AB303" s="2">
        <f t="shared" si="5"/>
        <v>10.3</v>
      </c>
      <c r="AC303" s="2">
        <v>50.0</v>
      </c>
      <c r="AD303" s="2">
        <v>310.0</v>
      </c>
      <c r="AF303" s="3">
        <f t="shared" si="6"/>
        <v>9</v>
      </c>
      <c r="AG303" s="4">
        <f t="shared" si="7"/>
        <v>87.20277778</v>
      </c>
      <c r="AH303" s="2" t="s">
        <v>6</v>
      </c>
    </row>
    <row r="304">
      <c r="A304" s="1" t="s">
        <v>253</v>
      </c>
      <c r="B304" s="1" t="s">
        <v>254</v>
      </c>
      <c r="C304" s="2" t="s">
        <v>255</v>
      </c>
      <c r="D304" s="2">
        <f>VLOOKUP(B304,'DSAI-Vikrant'!$B$2:$F$44,5)</f>
        <v>56</v>
      </c>
      <c r="E304" s="2">
        <v>32.0</v>
      </c>
      <c r="F304" s="2">
        <f t="shared" si="1"/>
        <v>44</v>
      </c>
      <c r="G304" s="2">
        <v>13.0</v>
      </c>
      <c r="H304" s="2">
        <v>16.0</v>
      </c>
      <c r="I304" s="2">
        <v>32.0</v>
      </c>
      <c r="J304" s="3">
        <f t="shared" si="2"/>
        <v>10.80555556</v>
      </c>
      <c r="K304" s="2">
        <v>90.0</v>
      </c>
      <c r="L304" s="2">
        <v>200.0</v>
      </c>
      <c r="N304" s="3">
        <f t="shared" si="3"/>
        <v>200</v>
      </c>
      <c r="O304" s="2">
        <v>99.0</v>
      </c>
      <c r="P304" s="2">
        <f t="shared" si="4"/>
        <v>14.45</v>
      </c>
      <c r="Q304" s="2">
        <v>7.0</v>
      </c>
      <c r="R304" s="2">
        <v>8.0</v>
      </c>
      <c r="S304" s="2">
        <v>12.0</v>
      </c>
      <c r="T304" s="2">
        <v>8.0</v>
      </c>
      <c r="U304" s="2">
        <v>15.0</v>
      </c>
      <c r="V304" s="2">
        <v>12.0</v>
      </c>
      <c r="W304" s="2">
        <v>20.0</v>
      </c>
      <c r="X304" s="2">
        <v>27.0</v>
      </c>
      <c r="Y304" s="2">
        <v>25.0</v>
      </c>
      <c r="Z304" s="2">
        <v>30.0</v>
      </c>
      <c r="AA304" s="2">
        <v>30.0</v>
      </c>
      <c r="AB304" s="2">
        <f t="shared" si="5"/>
        <v>9.7</v>
      </c>
      <c r="AC304" s="2">
        <v>50.0</v>
      </c>
      <c r="AD304" s="2">
        <v>280.0</v>
      </c>
      <c r="AF304" s="3">
        <f t="shared" si="6"/>
        <v>8.25</v>
      </c>
      <c r="AG304" s="4">
        <f t="shared" si="7"/>
        <v>87.20555556</v>
      </c>
      <c r="AH304" s="2" t="s">
        <v>6</v>
      </c>
    </row>
    <row r="305">
      <c r="A305" s="1" t="s">
        <v>638</v>
      </c>
      <c r="B305" s="1" t="s">
        <v>639</v>
      </c>
      <c r="C305" s="2" t="s">
        <v>640</v>
      </c>
      <c r="D305" s="2">
        <f>VLOOKUP(B305, 'ME-Subhashree'!$B$2:$F$56,5)</f>
        <v>53</v>
      </c>
      <c r="E305" s="2">
        <v>31.0</v>
      </c>
      <c r="F305" s="2">
        <f t="shared" si="1"/>
        <v>42</v>
      </c>
      <c r="G305" s="2">
        <v>13.0</v>
      </c>
      <c r="H305" s="2">
        <v>18.5</v>
      </c>
      <c r="I305" s="2">
        <v>28.0</v>
      </c>
      <c r="J305" s="3">
        <f t="shared" si="2"/>
        <v>10.98611111</v>
      </c>
      <c r="K305" s="2">
        <v>100.0</v>
      </c>
      <c r="L305" s="2">
        <v>200.0</v>
      </c>
      <c r="N305" s="3">
        <f t="shared" si="3"/>
        <v>200</v>
      </c>
      <c r="O305" s="2">
        <v>90.0</v>
      </c>
      <c r="P305" s="2">
        <f t="shared" si="4"/>
        <v>14.5</v>
      </c>
      <c r="Q305" s="2">
        <v>7.0</v>
      </c>
      <c r="R305" s="2">
        <v>8.0</v>
      </c>
      <c r="S305" s="2">
        <v>15.0</v>
      </c>
      <c r="T305" s="2">
        <v>15.0</v>
      </c>
      <c r="U305" s="2">
        <v>15.0</v>
      </c>
      <c r="V305" s="2">
        <v>15.0</v>
      </c>
      <c r="W305" s="2">
        <v>20.0</v>
      </c>
      <c r="X305" s="2">
        <v>30.0</v>
      </c>
      <c r="Y305" s="2">
        <v>28.0</v>
      </c>
      <c r="Z305" s="2">
        <v>29.0</v>
      </c>
      <c r="AA305" s="2">
        <v>30.0</v>
      </c>
      <c r="AB305" s="2">
        <f t="shared" si="5"/>
        <v>10.6</v>
      </c>
      <c r="AC305" s="2">
        <v>40.0</v>
      </c>
      <c r="AD305" s="2">
        <v>340.0</v>
      </c>
      <c r="AF305" s="3">
        <f t="shared" si="6"/>
        <v>9.5</v>
      </c>
      <c r="AG305" s="4">
        <f t="shared" si="7"/>
        <v>87.58611111</v>
      </c>
      <c r="AH305" s="2" t="s">
        <v>6</v>
      </c>
    </row>
    <row r="306">
      <c r="A306" s="1" t="s">
        <v>372</v>
      </c>
      <c r="B306" s="1" t="s">
        <v>373</v>
      </c>
      <c r="C306" s="2" t="s">
        <v>374</v>
      </c>
      <c r="D306" s="2">
        <f>VLOOKUP(B306,'EC-Nitin'!$B$2:$F$46,5)</f>
        <v>47</v>
      </c>
      <c r="E306" s="2">
        <v>36.0</v>
      </c>
      <c r="F306" s="2">
        <f t="shared" si="1"/>
        <v>41.5</v>
      </c>
      <c r="G306" s="2">
        <v>10.0</v>
      </c>
      <c r="H306" s="2">
        <v>19.0</v>
      </c>
      <c r="I306" s="2">
        <v>35.0</v>
      </c>
      <c r="J306" s="3">
        <f t="shared" si="2"/>
        <v>11.13888889</v>
      </c>
      <c r="K306" s="2">
        <v>99.0</v>
      </c>
      <c r="L306" s="2">
        <v>175.0</v>
      </c>
      <c r="M306" s="2">
        <v>200.0</v>
      </c>
      <c r="N306" s="3">
        <f t="shared" si="3"/>
        <v>200</v>
      </c>
      <c r="O306" s="2">
        <v>99.0</v>
      </c>
      <c r="P306" s="2">
        <f t="shared" si="4"/>
        <v>14.9</v>
      </c>
      <c r="Q306" s="2">
        <v>6.0</v>
      </c>
      <c r="R306" s="2">
        <v>3.0</v>
      </c>
      <c r="S306" s="2">
        <v>14.0</v>
      </c>
      <c r="T306" s="2">
        <v>15.0</v>
      </c>
      <c r="U306" s="2">
        <v>14.0</v>
      </c>
      <c r="V306" s="2">
        <v>14.0</v>
      </c>
      <c r="W306" s="2">
        <v>17.0</v>
      </c>
      <c r="X306" s="2">
        <v>30.0</v>
      </c>
      <c r="Y306" s="2">
        <v>30.0</v>
      </c>
      <c r="Z306" s="2">
        <v>30.0</v>
      </c>
      <c r="AA306" s="2">
        <v>30.0</v>
      </c>
      <c r="AB306" s="2">
        <f t="shared" si="5"/>
        <v>10.15</v>
      </c>
      <c r="AC306" s="2">
        <v>50.0</v>
      </c>
      <c r="AD306" s="2">
        <v>350.0</v>
      </c>
      <c r="AF306" s="3">
        <f t="shared" si="6"/>
        <v>10</v>
      </c>
      <c r="AG306" s="4">
        <f t="shared" si="7"/>
        <v>87.68888889</v>
      </c>
      <c r="AH306" s="2" t="s">
        <v>6</v>
      </c>
    </row>
    <row r="307">
      <c r="A307" s="1" t="s">
        <v>390</v>
      </c>
      <c r="B307" s="1" t="s">
        <v>391</v>
      </c>
      <c r="C307" s="2" t="s">
        <v>392</v>
      </c>
      <c r="D307" s="2">
        <f>VLOOKUP(B307,'EC-Nitin'!$B$2:$F$46,5)</f>
        <v>47</v>
      </c>
      <c r="E307" s="2">
        <v>36.0</v>
      </c>
      <c r="F307" s="2">
        <f t="shared" si="1"/>
        <v>41.5</v>
      </c>
      <c r="G307" s="2">
        <v>12.0</v>
      </c>
      <c r="H307" s="2">
        <v>10.0</v>
      </c>
      <c r="I307" s="2">
        <v>45.0</v>
      </c>
      <c r="J307" s="3">
        <f t="shared" si="2"/>
        <v>10.5</v>
      </c>
      <c r="K307" s="2">
        <v>100.0</v>
      </c>
      <c r="L307" s="2">
        <v>200.0</v>
      </c>
      <c r="N307" s="3">
        <f t="shared" si="3"/>
        <v>200</v>
      </c>
      <c r="O307" s="2">
        <v>100.0</v>
      </c>
      <c r="P307" s="2">
        <f t="shared" si="4"/>
        <v>15</v>
      </c>
      <c r="Q307" s="2">
        <v>7.0</v>
      </c>
      <c r="R307" s="2">
        <v>9.0</v>
      </c>
      <c r="S307" s="2">
        <v>15.0</v>
      </c>
      <c r="T307" s="2">
        <v>14.0</v>
      </c>
      <c r="U307" s="2">
        <v>15.0</v>
      </c>
      <c r="V307" s="2">
        <v>15.0</v>
      </c>
      <c r="W307" s="2">
        <v>19.0</v>
      </c>
      <c r="X307" s="2">
        <v>30.0</v>
      </c>
      <c r="Y307" s="2">
        <v>30.0</v>
      </c>
      <c r="Z307" s="2">
        <v>30.0</v>
      </c>
      <c r="AA307" s="2">
        <v>30.0</v>
      </c>
      <c r="AB307" s="2">
        <f t="shared" si="5"/>
        <v>10.7</v>
      </c>
      <c r="AC307" s="2">
        <v>50.0</v>
      </c>
      <c r="AD307" s="2">
        <v>350.0</v>
      </c>
      <c r="AF307" s="3">
        <f t="shared" si="6"/>
        <v>10</v>
      </c>
      <c r="AG307" s="4">
        <f t="shared" si="7"/>
        <v>87.7</v>
      </c>
      <c r="AH307" s="2" t="s">
        <v>6</v>
      </c>
    </row>
    <row r="308">
      <c r="A308" s="1" t="s">
        <v>125</v>
      </c>
      <c r="B308" s="1" t="s">
        <v>126</v>
      </c>
      <c r="C308" s="2" t="s">
        <v>127</v>
      </c>
      <c r="D308" s="2">
        <f>VLOOKUP(B308, 'CSE-Sandeep'!$B$2:$G$61,5)</f>
        <v>53</v>
      </c>
      <c r="E308" s="2">
        <v>32.0</v>
      </c>
      <c r="F308" s="2">
        <f t="shared" si="1"/>
        <v>42.5</v>
      </c>
      <c r="G308" s="2">
        <v>14.0</v>
      </c>
      <c r="H308" s="2">
        <v>20.0</v>
      </c>
      <c r="I308" s="2">
        <v>43.0</v>
      </c>
      <c r="J308" s="3">
        <f t="shared" si="2"/>
        <v>13.27777778</v>
      </c>
      <c r="K308" s="2">
        <v>100.0</v>
      </c>
      <c r="L308" s="2">
        <v>195.0</v>
      </c>
      <c r="N308" s="3">
        <f t="shared" si="3"/>
        <v>195</v>
      </c>
      <c r="O308" s="2">
        <v>90.0</v>
      </c>
      <c r="P308" s="2">
        <f t="shared" si="4"/>
        <v>14.375</v>
      </c>
      <c r="Q308" s="2">
        <v>7.0</v>
      </c>
      <c r="R308" s="2">
        <v>7.0</v>
      </c>
      <c r="S308" s="2">
        <v>13.0</v>
      </c>
      <c r="T308" s="2">
        <v>10.0</v>
      </c>
      <c r="U308" s="2">
        <v>14.0</v>
      </c>
      <c r="V308" s="2">
        <v>11.0</v>
      </c>
      <c r="W308" s="2">
        <v>20.0</v>
      </c>
      <c r="X308" s="2">
        <v>25.0</v>
      </c>
      <c r="Y308" s="2">
        <v>27.0</v>
      </c>
      <c r="Z308" s="2">
        <v>29.0</v>
      </c>
      <c r="AA308" s="2">
        <v>28.0</v>
      </c>
      <c r="AB308" s="2">
        <f t="shared" si="5"/>
        <v>9.55</v>
      </c>
      <c r="AC308" s="2">
        <v>0.0</v>
      </c>
      <c r="AD308" s="2">
        <v>330.0</v>
      </c>
      <c r="AF308" s="3">
        <f t="shared" si="6"/>
        <v>8.25</v>
      </c>
      <c r="AG308" s="4">
        <f t="shared" si="7"/>
        <v>87.95277778</v>
      </c>
      <c r="AH308" s="2" t="s">
        <v>6</v>
      </c>
    </row>
    <row r="309">
      <c r="A309" s="1" t="s">
        <v>189</v>
      </c>
      <c r="B309" s="1" t="s">
        <v>190</v>
      </c>
      <c r="C309" s="2" t="s">
        <v>191</v>
      </c>
      <c r="D309" s="2">
        <f>VLOOKUP(B309, 'CSE-Sandeep'!$B$2:$G$61,5)</f>
        <v>49</v>
      </c>
      <c r="E309" s="2">
        <v>37.0</v>
      </c>
      <c r="F309" s="2">
        <f t="shared" si="1"/>
        <v>43</v>
      </c>
      <c r="G309" s="2">
        <v>19.0</v>
      </c>
      <c r="H309" s="2">
        <v>17.0</v>
      </c>
      <c r="I309" s="2">
        <v>41.0</v>
      </c>
      <c r="J309" s="3">
        <f t="shared" si="2"/>
        <v>13.55555556</v>
      </c>
      <c r="K309" s="2">
        <v>100.0</v>
      </c>
      <c r="L309" s="2">
        <v>200.0</v>
      </c>
      <c r="N309" s="3">
        <f t="shared" si="3"/>
        <v>200</v>
      </c>
      <c r="O309" s="2">
        <v>93.0</v>
      </c>
      <c r="P309" s="2">
        <f t="shared" si="4"/>
        <v>14.65</v>
      </c>
      <c r="Q309" s="2">
        <v>7.0</v>
      </c>
      <c r="R309" s="2">
        <v>10.0</v>
      </c>
      <c r="T309" s="2">
        <v>7.0</v>
      </c>
      <c r="U309" s="2">
        <v>13.0</v>
      </c>
      <c r="V309" s="2">
        <v>14.0</v>
      </c>
      <c r="W309" s="2">
        <v>18.0</v>
      </c>
      <c r="X309" s="2">
        <v>24.0</v>
      </c>
      <c r="Y309" s="2">
        <v>26.0</v>
      </c>
      <c r="Z309" s="2">
        <v>29.0</v>
      </c>
      <c r="AA309" s="2">
        <v>28.0</v>
      </c>
      <c r="AB309" s="2">
        <f t="shared" si="5"/>
        <v>8.8</v>
      </c>
      <c r="AC309" s="2">
        <v>30.0</v>
      </c>
      <c r="AD309" s="2">
        <v>290.0</v>
      </c>
      <c r="AF309" s="3">
        <f t="shared" si="6"/>
        <v>8</v>
      </c>
      <c r="AG309" s="4">
        <f t="shared" si="7"/>
        <v>88.00555556</v>
      </c>
      <c r="AH309" s="2" t="s">
        <v>6</v>
      </c>
    </row>
    <row r="310">
      <c r="A310" s="1" t="s">
        <v>366</v>
      </c>
      <c r="B310" s="1" t="s">
        <v>367</v>
      </c>
      <c r="C310" s="2" t="s">
        <v>368</v>
      </c>
      <c r="D310" s="2">
        <f>VLOOKUP(B310,'EC-Nitin'!$B$2:$F$46,5)</f>
        <v>52</v>
      </c>
      <c r="E310" s="2">
        <v>33.0</v>
      </c>
      <c r="F310" s="2">
        <f t="shared" si="1"/>
        <v>42.5</v>
      </c>
      <c r="G310" s="2">
        <v>15.0</v>
      </c>
      <c r="H310" s="2">
        <v>10.0</v>
      </c>
      <c r="I310" s="2">
        <v>39.0</v>
      </c>
      <c r="J310" s="3">
        <f t="shared" si="2"/>
        <v>10.58333333</v>
      </c>
      <c r="K310" s="2">
        <v>100.0</v>
      </c>
      <c r="L310" s="2">
        <v>190.0</v>
      </c>
      <c r="N310" s="3">
        <f t="shared" si="3"/>
        <v>190</v>
      </c>
      <c r="O310" s="2">
        <v>100.0</v>
      </c>
      <c r="P310" s="2">
        <f t="shared" si="4"/>
        <v>14.75</v>
      </c>
      <c r="Q310" s="2">
        <v>7.0</v>
      </c>
      <c r="R310" s="2">
        <v>8.0</v>
      </c>
      <c r="S310" s="2">
        <v>15.0</v>
      </c>
      <c r="T310" s="2">
        <v>13.0</v>
      </c>
      <c r="U310" s="2">
        <v>14.0</v>
      </c>
      <c r="V310" s="2">
        <v>14.0</v>
      </c>
      <c r="W310" s="2">
        <v>20.0</v>
      </c>
      <c r="X310" s="2">
        <v>30.0</v>
      </c>
      <c r="Y310" s="2">
        <v>30.0</v>
      </c>
      <c r="Z310" s="2">
        <v>29.0</v>
      </c>
      <c r="AA310" s="2">
        <v>30.0</v>
      </c>
      <c r="AB310" s="2">
        <f t="shared" si="5"/>
        <v>10.5</v>
      </c>
      <c r="AC310" s="2">
        <v>50.0</v>
      </c>
      <c r="AD310" s="2">
        <v>350.0</v>
      </c>
      <c r="AF310" s="3">
        <f t="shared" si="6"/>
        <v>10</v>
      </c>
      <c r="AG310" s="4">
        <f t="shared" si="7"/>
        <v>88.33333333</v>
      </c>
      <c r="AH310" s="2" t="s">
        <v>6</v>
      </c>
    </row>
    <row r="311">
      <c r="A311" s="1" t="s">
        <v>179</v>
      </c>
      <c r="B311" s="1" t="s">
        <v>180</v>
      </c>
      <c r="C311" s="2" t="s">
        <v>181</v>
      </c>
      <c r="D311" s="2">
        <f>VLOOKUP(B311, 'CSE-Sandeep'!$B$2:$G$61,5)</f>
        <v>54</v>
      </c>
      <c r="E311" s="2">
        <v>36.0</v>
      </c>
      <c r="F311" s="2">
        <f t="shared" si="1"/>
        <v>45</v>
      </c>
      <c r="G311" s="2">
        <v>16.0</v>
      </c>
      <c r="H311" s="2">
        <v>17.0</v>
      </c>
      <c r="I311" s="2">
        <v>27.0</v>
      </c>
      <c r="J311" s="3">
        <f t="shared" si="2"/>
        <v>11.25</v>
      </c>
      <c r="K311" s="2">
        <v>100.0</v>
      </c>
      <c r="L311" s="2">
        <v>190.0</v>
      </c>
      <c r="N311" s="3">
        <f t="shared" si="3"/>
        <v>190</v>
      </c>
      <c r="O311" s="2">
        <v>92.0</v>
      </c>
      <c r="P311" s="2">
        <f t="shared" si="4"/>
        <v>14.35</v>
      </c>
      <c r="Q311" s="2">
        <v>7.0</v>
      </c>
      <c r="R311" s="2">
        <v>6.0</v>
      </c>
      <c r="T311" s="2">
        <v>9.0</v>
      </c>
      <c r="U311" s="2">
        <v>12.0</v>
      </c>
      <c r="V311" s="2">
        <v>15.0</v>
      </c>
      <c r="W311" s="2">
        <v>20.0</v>
      </c>
      <c r="X311" s="2">
        <v>26.0</v>
      </c>
      <c r="Y311" s="2">
        <v>24.0</v>
      </c>
      <c r="Z311" s="2">
        <v>29.0</v>
      </c>
      <c r="AA311" s="2">
        <v>29.0</v>
      </c>
      <c r="AB311" s="2">
        <f t="shared" si="5"/>
        <v>8.85</v>
      </c>
      <c r="AC311" s="2">
        <v>50.0</v>
      </c>
      <c r="AD311" s="2">
        <v>310.0</v>
      </c>
      <c r="AF311" s="3">
        <f t="shared" si="6"/>
        <v>9</v>
      </c>
      <c r="AG311" s="4">
        <f t="shared" si="7"/>
        <v>88.45</v>
      </c>
      <c r="AH311" s="2" t="s">
        <v>6</v>
      </c>
    </row>
    <row r="312">
      <c r="A312" s="1" t="s">
        <v>829</v>
      </c>
      <c r="B312" s="1" t="s">
        <v>830</v>
      </c>
      <c r="C312" s="2" t="s">
        <v>831</v>
      </c>
      <c r="D312" s="2">
        <f>VLOOKUP(B312,'MM-Subhashree'!$B$2:F$26,5)</f>
        <v>53</v>
      </c>
      <c r="E312" s="2">
        <v>31.0</v>
      </c>
      <c r="F312" s="2">
        <f t="shared" si="1"/>
        <v>42</v>
      </c>
      <c r="G312" s="2">
        <v>16.0</v>
      </c>
      <c r="H312" s="2">
        <v>18.0</v>
      </c>
      <c r="I312" s="2">
        <v>39.0</v>
      </c>
      <c r="J312" s="3">
        <f t="shared" si="2"/>
        <v>12.83333333</v>
      </c>
      <c r="K312" s="2">
        <v>98.0</v>
      </c>
      <c r="L312" s="2">
        <v>160.0</v>
      </c>
      <c r="M312" s="2">
        <v>195.0</v>
      </c>
      <c r="N312" s="3">
        <f t="shared" si="3"/>
        <v>195</v>
      </c>
      <c r="O312" s="2">
        <v>100.0</v>
      </c>
      <c r="P312" s="2">
        <f t="shared" si="4"/>
        <v>14.775</v>
      </c>
      <c r="Q312" s="2">
        <v>7.0</v>
      </c>
      <c r="R312" s="2">
        <v>9.0</v>
      </c>
      <c r="S312" s="2">
        <v>15.0</v>
      </c>
      <c r="T312" s="2">
        <v>14.5</v>
      </c>
      <c r="U312" s="2">
        <v>15.0</v>
      </c>
      <c r="V312" s="2">
        <v>14.0</v>
      </c>
      <c r="W312" s="2">
        <v>20.0</v>
      </c>
      <c r="X312" s="2">
        <v>29.0</v>
      </c>
      <c r="Y312" s="2">
        <v>27.0</v>
      </c>
      <c r="Z312" s="2">
        <v>30.0</v>
      </c>
      <c r="AB312" s="2">
        <f t="shared" si="5"/>
        <v>9.025</v>
      </c>
      <c r="AC312" s="2">
        <v>50.0</v>
      </c>
      <c r="AD312" s="2">
        <v>350.0</v>
      </c>
      <c r="AF312" s="3">
        <f t="shared" si="6"/>
        <v>10</v>
      </c>
      <c r="AG312" s="4">
        <f t="shared" si="7"/>
        <v>88.63333333</v>
      </c>
      <c r="AH312" s="2" t="s">
        <v>6</v>
      </c>
    </row>
    <row r="313">
      <c r="A313" s="1" t="s">
        <v>20</v>
      </c>
      <c r="B313" s="1" t="s">
        <v>21</v>
      </c>
      <c r="C313" s="2" t="s">
        <v>22</v>
      </c>
      <c r="D313" s="2">
        <f>VLOOKUP(B313, 'CSE-Sandeep'!$B$2:$G$61,5)</f>
        <v>50</v>
      </c>
      <c r="E313" s="2">
        <v>35.0</v>
      </c>
      <c r="F313" s="2">
        <f t="shared" si="1"/>
        <v>42.5</v>
      </c>
      <c r="G313" s="2">
        <v>16.0</v>
      </c>
      <c r="H313" s="2">
        <v>16.0</v>
      </c>
      <c r="I313" s="2">
        <v>45.0</v>
      </c>
      <c r="J313" s="3">
        <f t="shared" si="2"/>
        <v>13</v>
      </c>
      <c r="K313" s="2">
        <v>90.0</v>
      </c>
      <c r="L313" s="2">
        <v>200.0</v>
      </c>
      <c r="N313" s="3">
        <f t="shared" si="3"/>
        <v>200</v>
      </c>
      <c r="O313" s="2">
        <v>100.0</v>
      </c>
      <c r="P313" s="2">
        <f t="shared" si="4"/>
        <v>14.5</v>
      </c>
      <c r="Q313" s="2">
        <v>7.0</v>
      </c>
      <c r="R313" s="2">
        <v>6.0</v>
      </c>
      <c r="S313" s="2">
        <v>14.0</v>
      </c>
      <c r="T313" s="2">
        <v>0.0</v>
      </c>
      <c r="U313" s="2">
        <v>15.0</v>
      </c>
      <c r="V313" s="2">
        <v>15.0</v>
      </c>
      <c r="W313" s="2">
        <v>20.0</v>
      </c>
      <c r="X313" s="2">
        <v>30.0</v>
      </c>
      <c r="Y313" s="2">
        <v>30.0</v>
      </c>
      <c r="Z313" s="2">
        <v>30.0</v>
      </c>
      <c r="AA313" s="2">
        <v>30.0</v>
      </c>
      <c r="AB313" s="2">
        <f t="shared" si="5"/>
        <v>9.85</v>
      </c>
      <c r="AC313" s="2">
        <v>30.0</v>
      </c>
      <c r="AD313" s="2">
        <v>335.0</v>
      </c>
      <c r="AF313" s="3">
        <f t="shared" si="6"/>
        <v>9.125</v>
      </c>
      <c r="AG313" s="4">
        <f t="shared" si="7"/>
        <v>88.975</v>
      </c>
      <c r="AH313" s="2" t="s">
        <v>6</v>
      </c>
    </row>
    <row r="314">
      <c r="A314" s="1" t="s">
        <v>895</v>
      </c>
      <c r="B314" s="1" t="s">
        <v>896</v>
      </c>
      <c r="C314" s="2" t="s">
        <v>897</v>
      </c>
      <c r="D314" s="2">
        <f>VLOOKUP(B314,MT!$B$2:$F$30,5)</f>
        <v>47</v>
      </c>
      <c r="E314" s="2">
        <v>34.0</v>
      </c>
      <c r="F314" s="2">
        <f t="shared" si="1"/>
        <v>40.5</v>
      </c>
      <c r="G314" s="2">
        <v>18.0</v>
      </c>
      <c r="H314" s="2">
        <v>20.0</v>
      </c>
      <c r="I314" s="2">
        <v>33.0</v>
      </c>
      <c r="J314" s="3">
        <f t="shared" si="2"/>
        <v>13.16666667</v>
      </c>
      <c r="K314" s="2">
        <v>100.0</v>
      </c>
      <c r="L314" s="2">
        <v>200.0</v>
      </c>
      <c r="N314" s="3">
        <f t="shared" si="3"/>
        <v>200</v>
      </c>
      <c r="O314" s="2">
        <v>100.0</v>
      </c>
      <c r="P314" s="2">
        <f t="shared" si="4"/>
        <v>15</v>
      </c>
      <c r="Q314" s="2">
        <v>7.0</v>
      </c>
      <c r="R314" s="2">
        <v>7.0</v>
      </c>
      <c r="S314" s="2">
        <v>10.0</v>
      </c>
      <c r="T314" s="2">
        <v>15.0</v>
      </c>
      <c r="U314" s="2">
        <v>14.0</v>
      </c>
      <c r="V314" s="2">
        <v>14.0</v>
      </c>
      <c r="W314" s="2">
        <v>20.0</v>
      </c>
      <c r="X314" s="2">
        <v>30.0</v>
      </c>
      <c r="Y314" s="2">
        <v>30.0</v>
      </c>
      <c r="Z314" s="2">
        <v>30.0</v>
      </c>
      <c r="AA314" s="2">
        <v>30.0</v>
      </c>
      <c r="AB314" s="2">
        <f t="shared" si="5"/>
        <v>10.35</v>
      </c>
      <c r="AC314" s="2">
        <v>50.0</v>
      </c>
      <c r="AD314" s="2">
        <v>350.0</v>
      </c>
      <c r="AF314" s="3">
        <f t="shared" si="6"/>
        <v>10</v>
      </c>
      <c r="AG314" s="4">
        <f t="shared" si="7"/>
        <v>89.01666667</v>
      </c>
      <c r="AH314" s="2" t="s">
        <v>6</v>
      </c>
    </row>
    <row r="315">
      <c r="A315" s="1" t="s">
        <v>459</v>
      </c>
      <c r="B315" s="1" t="s">
        <v>460</v>
      </c>
      <c r="C315" s="2" t="s">
        <v>461</v>
      </c>
      <c r="D315" s="2">
        <f>VLOOKUP(B315,'EC-Nitin'!$B$2:$F$46,5)</f>
        <v>45</v>
      </c>
      <c r="E315" s="2">
        <v>39.0</v>
      </c>
      <c r="F315" s="2">
        <f t="shared" si="1"/>
        <v>42</v>
      </c>
      <c r="G315" s="2">
        <v>15.0</v>
      </c>
      <c r="H315" s="2">
        <v>20.0</v>
      </c>
      <c r="I315" s="2">
        <v>36.0</v>
      </c>
      <c r="J315" s="3">
        <f t="shared" si="2"/>
        <v>12.75</v>
      </c>
      <c r="K315" s="2">
        <v>85.0</v>
      </c>
      <c r="L315" s="2">
        <v>200.0</v>
      </c>
      <c r="N315" s="3">
        <f t="shared" si="3"/>
        <v>200</v>
      </c>
      <c r="O315" s="2">
        <v>98.0</v>
      </c>
      <c r="P315" s="2">
        <f t="shared" si="4"/>
        <v>14.15</v>
      </c>
      <c r="Q315" s="2">
        <v>7.0</v>
      </c>
      <c r="R315" s="2">
        <v>10.0</v>
      </c>
      <c r="S315" s="2">
        <v>15.0</v>
      </c>
      <c r="T315" s="2">
        <v>14.0</v>
      </c>
      <c r="U315" s="2">
        <v>15.0</v>
      </c>
      <c r="V315" s="2">
        <v>12.0</v>
      </c>
      <c r="W315" s="2">
        <v>20.0</v>
      </c>
      <c r="X315" s="2">
        <v>30.0</v>
      </c>
      <c r="Y315" s="2">
        <v>26.0</v>
      </c>
      <c r="Z315" s="2">
        <v>30.0</v>
      </c>
      <c r="AA315" s="2">
        <v>30.0</v>
      </c>
      <c r="AB315" s="2">
        <f t="shared" si="5"/>
        <v>10.45</v>
      </c>
      <c r="AC315" s="2">
        <v>50.0</v>
      </c>
      <c r="AD315" s="2">
        <v>345.0</v>
      </c>
      <c r="AF315" s="3">
        <f t="shared" si="6"/>
        <v>9.875</v>
      </c>
      <c r="AG315" s="4">
        <f t="shared" si="7"/>
        <v>89.225</v>
      </c>
      <c r="AH315" s="2" t="s">
        <v>6</v>
      </c>
    </row>
    <row r="316">
      <c r="A316" s="1" t="s">
        <v>482</v>
      </c>
      <c r="B316" s="1" t="s">
        <v>483</v>
      </c>
      <c r="C316" s="2" t="s">
        <v>484</v>
      </c>
      <c r="D316" s="2">
        <f>VLOOKUP(B316, 'EE-Nitin'!$B$2:$F$57,5)</f>
        <v>49</v>
      </c>
      <c r="E316" s="2">
        <v>34.0</v>
      </c>
      <c r="F316" s="2">
        <f t="shared" si="1"/>
        <v>41.5</v>
      </c>
      <c r="G316" s="2">
        <v>16.0</v>
      </c>
      <c r="H316" s="2">
        <v>19.0</v>
      </c>
      <c r="I316" s="2">
        <v>36.0</v>
      </c>
      <c r="J316" s="3">
        <f t="shared" si="2"/>
        <v>12.75</v>
      </c>
      <c r="K316" s="2">
        <v>100.0</v>
      </c>
      <c r="L316" s="2">
        <v>200.0</v>
      </c>
      <c r="N316" s="3">
        <f t="shared" si="3"/>
        <v>200</v>
      </c>
      <c r="O316" s="2">
        <v>100.0</v>
      </c>
      <c r="P316" s="2">
        <f t="shared" si="4"/>
        <v>15</v>
      </c>
      <c r="Q316" s="2">
        <v>7.0</v>
      </c>
      <c r="R316" s="2">
        <v>8.0</v>
      </c>
      <c r="S316" s="2">
        <v>12.0</v>
      </c>
      <c r="T316" s="2">
        <v>14.0</v>
      </c>
      <c r="U316" s="2">
        <v>14.5</v>
      </c>
      <c r="V316" s="2">
        <v>14.0</v>
      </c>
      <c r="W316" s="2">
        <v>19.5</v>
      </c>
      <c r="X316" s="2">
        <v>29.0</v>
      </c>
      <c r="Y316" s="2">
        <v>28.0</v>
      </c>
      <c r="Z316" s="2">
        <v>30.0</v>
      </c>
      <c r="AA316" s="2">
        <v>30.0</v>
      </c>
      <c r="AB316" s="2">
        <f t="shared" si="5"/>
        <v>10.3</v>
      </c>
      <c r="AC316" s="2">
        <v>50.0</v>
      </c>
      <c r="AD316" s="2">
        <v>350.0</v>
      </c>
      <c r="AF316" s="3">
        <f t="shared" si="6"/>
        <v>10</v>
      </c>
      <c r="AG316" s="4">
        <f t="shared" si="7"/>
        <v>89.55</v>
      </c>
      <c r="AH316" s="2" t="s">
        <v>42</v>
      </c>
    </row>
    <row r="317">
      <c r="A317" s="1" t="s">
        <v>793</v>
      </c>
      <c r="B317" s="1" t="s">
        <v>794</v>
      </c>
      <c r="C317" s="2" t="s">
        <v>795</v>
      </c>
      <c r="D317" s="2">
        <f>VLOOKUP(B317, 'ME-Subhashree'!$B$2:$F$56,5)</f>
        <v>51</v>
      </c>
      <c r="E317" s="2">
        <v>35.0</v>
      </c>
      <c r="F317" s="2">
        <f t="shared" si="1"/>
        <v>43</v>
      </c>
      <c r="G317" s="2">
        <v>16.0</v>
      </c>
      <c r="H317" s="2">
        <v>17.5</v>
      </c>
      <c r="I317" s="2">
        <v>35.0</v>
      </c>
      <c r="J317" s="3">
        <f t="shared" si="2"/>
        <v>12.26388889</v>
      </c>
      <c r="K317" s="2">
        <v>95.0</v>
      </c>
      <c r="L317" s="2">
        <v>200.0</v>
      </c>
      <c r="N317" s="3">
        <f t="shared" si="3"/>
        <v>200</v>
      </c>
      <c r="O317" s="2">
        <v>96.0</v>
      </c>
      <c r="P317" s="2">
        <f t="shared" si="4"/>
        <v>14.55</v>
      </c>
      <c r="Q317" s="2">
        <v>7.0</v>
      </c>
      <c r="R317" s="2">
        <v>7.0</v>
      </c>
      <c r="S317" s="2">
        <v>14.0</v>
      </c>
      <c r="T317" s="2">
        <v>10.0</v>
      </c>
      <c r="U317" s="2">
        <v>15.0</v>
      </c>
      <c r="V317" s="2">
        <v>14.0</v>
      </c>
      <c r="W317" s="2">
        <v>20.0</v>
      </c>
      <c r="X317" s="2">
        <v>30.0</v>
      </c>
      <c r="Y317" s="2">
        <v>28.66</v>
      </c>
      <c r="Z317" s="2">
        <v>30.0</v>
      </c>
      <c r="AA317" s="2">
        <v>30.0</v>
      </c>
      <c r="AB317" s="2">
        <f t="shared" si="5"/>
        <v>10.283</v>
      </c>
      <c r="AC317" s="2">
        <v>44.0</v>
      </c>
      <c r="AD317" s="2">
        <v>345.0</v>
      </c>
      <c r="AF317" s="3">
        <f t="shared" si="6"/>
        <v>9.725</v>
      </c>
      <c r="AG317" s="4">
        <f t="shared" si="7"/>
        <v>89.82188889</v>
      </c>
      <c r="AH317" s="2" t="s">
        <v>42</v>
      </c>
    </row>
    <row r="318">
      <c r="A318" s="1" t="s">
        <v>450</v>
      </c>
      <c r="B318" s="1" t="s">
        <v>451</v>
      </c>
      <c r="C318" s="2" t="s">
        <v>452</v>
      </c>
      <c r="D318" s="2">
        <f>VLOOKUP(B318,'EC-Nitin'!$B$2:$F$46,5)</f>
        <v>46</v>
      </c>
      <c r="E318" s="2">
        <v>37.0</v>
      </c>
      <c r="F318" s="2">
        <f t="shared" si="1"/>
        <v>41.5</v>
      </c>
      <c r="G318" s="2">
        <v>17.0</v>
      </c>
      <c r="H318" s="2">
        <v>20.0</v>
      </c>
      <c r="I318" s="2">
        <v>42.0</v>
      </c>
      <c r="J318" s="3">
        <f t="shared" si="2"/>
        <v>13.91666667</v>
      </c>
      <c r="K318" s="2">
        <v>100.0</v>
      </c>
      <c r="L318" s="2">
        <v>200.0</v>
      </c>
      <c r="N318" s="3">
        <f t="shared" si="3"/>
        <v>200</v>
      </c>
      <c r="O318" s="2">
        <v>95.0</v>
      </c>
      <c r="P318" s="2">
        <f t="shared" si="4"/>
        <v>14.75</v>
      </c>
      <c r="Q318" s="2">
        <v>6.0</v>
      </c>
      <c r="R318" s="2">
        <v>9.0</v>
      </c>
      <c r="S318" s="2">
        <v>12.0</v>
      </c>
      <c r="T318" s="2">
        <v>10.0</v>
      </c>
      <c r="U318" s="2">
        <v>14.0</v>
      </c>
      <c r="V318" s="2">
        <v>14.0</v>
      </c>
      <c r="W318" s="2">
        <v>19.0</v>
      </c>
      <c r="X318" s="2">
        <v>30.0</v>
      </c>
      <c r="Y318" s="2">
        <v>27.0</v>
      </c>
      <c r="Z318" s="2">
        <v>30.0</v>
      </c>
      <c r="AA318" s="2">
        <v>30.0</v>
      </c>
      <c r="AB318" s="2">
        <f t="shared" si="5"/>
        <v>10.05</v>
      </c>
      <c r="AC318" s="2">
        <v>43.0</v>
      </c>
      <c r="AD318" s="2">
        <v>343.0</v>
      </c>
      <c r="AF318" s="3">
        <f t="shared" si="6"/>
        <v>9.65</v>
      </c>
      <c r="AG318" s="4">
        <f t="shared" si="7"/>
        <v>89.86666667</v>
      </c>
      <c r="AH318" s="2" t="s">
        <v>42</v>
      </c>
    </row>
    <row r="319">
      <c r="A319" s="1" t="s">
        <v>662</v>
      </c>
      <c r="B319" s="1" t="s">
        <v>663</v>
      </c>
      <c r="C319" s="2" t="s">
        <v>664</v>
      </c>
      <c r="D319" s="2">
        <f>VLOOKUP(B319, 'ME-Subhashree'!$B$2:$F$56,5)</f>
        <v>53</v>
      </c>
      <c r="E319" s="2">
        <v>33.0</v>
      </c>
      <c r="F319" s="2">
        <f t="shared" si="1"/>
        <v>43</v>
      </c>
      <c r="G319" s="2">
        <v>15.0</v>
      </c>
      <c r="H319" s="2">
        <v>19.0</v>
      </c>
      <c r="I319" s="2">
        <v>33.0</v>
      </c>
      <c r="J319" s="3">
        <f t="shared" si="2"/>
        <v>12.16666667</v>
      </c>
      <c r="K319" s="2">
        <v>100.0</v>
      </c>
      <c r="L319" s="2">
        <v>200.0</v>
      </c>
      <c r="N319" s="3">
        <f t="shared" si="3"/>
        <v>200</v>
      </c>
      <c r="O319" s="2">
        <v>91.0</v>
      </c>
      <c r="P319" s="2">
        <f t="shared" si="4"/>
        <v>14.55</v>
      </c>
      <c r="Q319" s="2">
        <v>7.0</v>
      </c>
      <c r="R319" s="2">
        <v>10.0</v>
      </c>
      <c r="S319" s="2">
        <v>15.0</v>
      </c>
      <c r="T319" s="2">
        <v>15.0</v>
      </c>
      <c r="U319" s="2">
        <v>15.0</v>
      </c>
      <c r="V319" s="2">
        <v>15.0</v>
      </c>
      <c r="W319" s="2">
        <v>20.0</v>
      </c>
      <c r="X319" s="2">
        <v>30.0</v>
      </c>
      <c r="Y319" s="2">
        <v>27.0</v>
      </c>
      <c r="Z319" s="2">
        <v>30.0</v>
      </c>
      <c r="AA319" s="2">
        <v>30.0</v>
      </c>
      <c r="AB319" s="2">
        <f t="shared" si="5"/>
        <v>10.7</v>
      </c>
      <c r="AC319" s="2">
        <v>40.0</v>
      </c>
      <c r="AD319" s="2">
        <v>340.0</v>
      </c>
      <c r="AF319" s="3">
        <f t="shared" si="6"/>
        <v>9.5</v>
      </c>
      <c r="AG319" s="4">
        <f t="shared" si="7"/>
        <v>89.91666667</v>
      </c>
      <c r="AH319" s="2" t="s">
        <v>42</v>
      </c>
    </row>
    <row r="320">
      <c r="A320" s="1" t="s">
        <v>790</v>
      </c>
      <c r="B320" s="1" t="s">
        <v>791</v>
      </c>
      <c r="C320" s="2" t="s">
        <v>792</v>
      </c>
      <c r="D320" s="2">
        <f>VLOOKUP(B320, 'ME-Subhashree'!$B$2:$F$56,5)</f>
        <v>52</v>
      </c>
      <c r="E320" s="2">
        <v>36.0</v>
      </c>
      <c r="F320" s="2">
        <f t="shared" si="1"/>
        <v>44</v>
      </c>
      <c r="G320" s="2">
        <v>14.0</v>
      </c>
      <c r="H320" s="2">
        <v>16.0</v>
      </c>
      <c r="I320" s="2">
        <v>32.0</v>
      </c>
      <c r="J320" s="3">
        <f t="shared" si="2"/>
        <v>11.05555556</v>
      </c>
      <c r="K320" s="2">
        <v>95.0</v>
      </c>
      <c r="L320" s="2">
        <v>200.0</v>
      </c>
      <c r="N320" s="3">
        <f t="shared" si="3"/>
        <v>200</v>
      </c>
      <c r="O320" s="2">
        <v>94.0</v>
      </c>
      <c r="P320" s="2">
        <f t="shared" si="4"/>
        <v>14.45</v>
      </c>
      <c r="Q320" s="2">
        <v>7.0</v>
      </c>
      <c r="R320" s="2">
        <v>9.0</v>
      </c>
      <c r="S320" s="2">
        <v>15.0</v>
      </c>
      <c r="T320" s="2">
        <v>15.0</v>
      </c>
      <c r="U320" s="2">
        <v>15.0</v>
      </c>
      <c r="V320" s="2">
        <v>14.5</v>
      </c>
      <c r="W320" s="2">
        <v>20.0</v>
      </c>
      <c r="X320" s="2">
        <v>29.36</v>
      </c>
      <c r="Y320" s="2">
        <v>29.74</v>
      </c>
      <c r="Z320" s="2">
        <v>30.0</v>
      </c>
      <c r="AA320" s="2">
        <v>30.0</v>
      </c>
      <c r="AB320" s="2">
        <f t="shared" si="5"/>
        <v>10.73</v>
      </c>
      <c r="AC320" s="2">
        <v>43.0</v>
      </c>
      <c r="AD320" s="2">
        <v>345.0</v>
      </c>
      <c r="AF320" s="3">
        <f t="shared" si="6"/>
        <v>9.7</v>
      </c>
      <c r="AG320" s="4">
        <f t="shared" si="7"/>
        <v>89.93555556</v>
      </c>
      <c r="AH320" s="2" t="s">
        <v>42</v>
      </c>
    </row>
    <row r="321">
      <c r="A321" s="1" t="s">
        <v>137</v>
      </c>
      <c r="B321" s="1" t="s">
        <v>138</v>
      </c>
      <c r="C321" s="2" t="s">
        <v>139</v>
      </c>
      <c r="D321" s="2">
        <f>VLOOKUP(B321, 'CSE-Sandeep'!$B$2:$G$61,5)</f>
        <v>52</v>
      </c>
      <c r="E321" s="2">
        <v>36.0</v>
      </c>
      <c r="F321" s="2">
        <f t="shared" si="1"/>
        <v>44</v>
      </c>
      <c r="G321" s="2">
        <v>17.0</v>
      </c>
      <c r="H321" s="2">
        <v>18.0</v>
      </c>
      <c r="I321" s="2">
        <v>38.0</v>
      </c>
      <c r="J321" s="3">
        <f t="shared" si="2"/>
        <v>12.97222222</v>
      </c>
      <c r="K321" s="2">
        <v>100.0</v>
      </c>
      <c r="L321" s="2">
        <v>200.0</v>
      </c>
      <c r="N321" s="3">
        <f t="shared" si="3"/>
        <v>200</v>
      </c>
      <c r="O321" s="2">
        <v>96.0</v>
      </c>
      <c r="P321" s="2">
        <f t="shared" si="4"/>
        <v>14.8</v>
      </c>
      <c r="Q321" s="2">
        <v>7.0</v>
      </c>
      <c r="R321" s="2">
        <v>10.0</v>
      </c>
      <c r="S321" s="2">
        <v>9.0</v>
      </c>
      <c r="T321" s="2">
        <v>7.0</v>
      </c>
      <c r="U321" s="2">
        <v>12.0</v>
      </c>
      <c r="V321" s="2">
        <v>15.0</v>
      </c>
      <c r="W321" s="2">
        <v>20.0</v>
      </c>
      <c r="X321" s="2">
        <v>28.0</v>
      </c>
      <c r="Y321" s="2">
        <v>26.0</v>
      </c>
      <c r="Z321" s="2">
        <v>30.0</v>
      </c>
      <c r="AB321" s="2">
        <f t="shared" si="5"/>
        <v>8.2</v>
      </c>
      <c r="AC321" s="2">
        <v>50.0</v>
      </c>
      <c r="AD321" s="2">
        <v>350.0</v>
      </c>
      <c r="AF321" s="3">
        <f t="shared" si="6"/>
        <v>10</v>
      </c>
      <c r="AG321" s="4">
        <f t="shared" si="7"/>
        <v>89.97222222</v>
      </c>
      <c r="AH321" s="2" t="s">
        <v>42</v>
      </c>
    </row>
    <row r="322">
      <c r="A322" s="1" t="s">
        <v>420</v>
      </c>
      <c r="B322" s="1" t="s">
        <v>421</v>
      </c>
      <c r="C322" s="2" t="s">
        <v>422</v>
      </c>
      <c r="D322" s="2">
        <f>VLOOKUP(B322,'EC-Nitin'!$B$2:$F$46,5)</f>
        <v>49</v>
      </c>
      <c r="E322" s="2">
        <v>36.0</v>
      </c>
      <c r="F322" s="2">
        <f t="shared" si="1"/>
        <v>42.5</v>
      </c>
      <c r="G322" s="2">
        <v>16.0</v>
      </c>
      <c r="H322" s="2">
        <v>17.0</v>
      </c>
      <c r="I322" s="2">
        <v>39.0</v>
      </c>
      <c r="J322" s="3">
        <f t="shared" si="2"/>
        <v>12.58333333</v>
      </c>
      <c r="K322" s="2">
        <v>100.0</v>
      </c>
      <c r="L322" s="2">
        <v>200.0</v>
      </c>
      <c r="N322" s="3">
        <f t="shared" si="3"/>
        <v>200</v>
      </c>
      <c r="O322" s="2">
        <v>99.0</v>
      </c>
      <c r="P322" s="2">
        <f t="shared" si="4"/>
        <v>14.95</v>
      </c>
      <c r="Q322" s="2">
        <v>7.0</v>
      </c>
      <c r="R322" s="2">
        <v>9.0</v>
      </c>
      <c r="S322" s="2">
        <v>12.0</v>
      </c>
      <c r="T322" s="2">
        <v>14.0</v>
      </c>
      <c r="U322" s="2">
        <v>15.0</v>
      </c>
      <c r="V322" s="2">
        <v>14.0</v>
      </c>
      <c r="W322" s="2">
        <v>20.0</v>
      </c>
      <c r="X322" s="2">
        <v>30.0</v>
      </c>
      <c r="Y322" s="2">
        <v>27.0</v>
      </c>
      <c r="Z322" s="2">
        <v>30.0</v>
      </c>
      <c r="AA322" s="2">
        <v>30.0</v>
      </c>
      <c r="AB322" s="2">
        <f t="shared" si="5"/>
        <v>10.4</v>
      </c>
      <c r="AC322" s="2">
        <v>40.0</v>
      </c>
      <c r="AD322" s="2">
        <v>343.0</v>
      </c>
      <c r="AF322" s="3">
        <f t="shared" si="6"/>
        <v>9.575</v>
      </c>
      <c r="AG322" s="4">
        <f t="shared" si="7"/>
        <v>90.00833333</v>
      </c>
      <c r="AH322" s="2" t="s">
        <v>42</v>
      </c>
    </row>
    <row r="323">
      <c r="A323" s="1" t="s">
        <v>44</v>
      </c>
      <c r="B323" s="1" t="s">
        <v>45</v>
      </c>
      <c r="C323" s="2" t="s">
        <v>46</v>
      </c>
      <c r="D323" s="2">
        <f>VLOOKUP(B323, 'CSE-Sandeep'!$B$2:$G$61,5)</f>
        <v>46</v>
      </c>
      <c r="E323" s="2">
        <v>37.0</v>
      </c>
      <c r="F323" s="2">
        <f t="shared" si="1"/>
        <v>41.5</v>
      </c>
      <c r="G323" s="2">
        <v>19.0</v>
      </c>
      <c r="H323" s="2">
        <v>19.0</v>
      </c>
      <c r="I323" s="2">
        <v>45.0</v>
      </c>
      <c r="J323" s="3">
        <f t="shared" si="2"/>
        <v>14.5</v>
      </c>
      <c r="K323" s="2">
        <v>100.0</v>
      </c>
      <c r="L323" s="2">
        <v>200.0</v>
      </c>
      <c r="N323" s="3">
        <f t="shared" si="3"/>
        <v>200</v>
      </c>
      <c r="O323" s="2">
        <v>95.0</v>
      </c>
      <c r="P323" s="2">
        <f t="shared" si="4"/>
        <v>14.75</v>
      </c>
      <c r="Q323" s="2">
        <v>7.0</v>
      </c>
      <c r="R323" s="2">
        <v>9.0</v>
      </c>
      <c r="S323" s="2">
        <v>15.0</v>
      </c>
      <c r="T323" s="2">
        <v>11.0</v>
      </c>
      <c r="U323" s="2">
        <v>15.0</v>
      </c>
      <c r="V323" s="2">
        <v>14.0</v>
      </c>
      <c r="W323" s="2">
        <v>20.0</v>
      </c>
      <c r="X323" s="2">
        <v>30.0</v>
      </c>
      <c r="Y323" s="2">
        <v>30.0</v>
      </c>
      <c r="Z323" s="2">
        <v>30.0</v>
      </c>
      <c r="AA323" s="2">
        <v>30.0</v>
      </c>
      <c r="AB323" s="2">
        <f t="shared" si="5"/>
        <v>10.55</v>
      </c>
      <c r="AC323" s="2">
        <v>30.0</v>
      </c>
      <c r="AD323" s="2">
        <v>340.0</v>
      </c>
      <c r="AF323" s="3">
        <f t="shared" si="6"/>
        <v>9.25</v>
      </c>
      <c r="AG323" s="4">
        <f t="shared" si="7"/>
        <v>90.55</v>
      </c>
      <c r="AH323" s="2" t="s">
        <v>42</v>
      </c>
    </row>
    <row r="324">
      <c r="A324" s="1" t="s">
        <v>113</v>
      </c>
      <c r="B324" s="1" t="s">
        <v>114</v>
      </c>
      <c r="C324" s="2" t="s">
        <v>115</v>
      </c>
      <c r="D324" s="2">
        <f>VLOOKUP(B324, 'CSE-Sandeep'!$B$2:$G$61,5)</f>
        <v>52</v>
      </c>
      <c r="E324" s="2">
        <v>38.0</v>
      </c>
      <c r="F324" s="2">
        <f t="shared" si="1"/>
        <v>45</v>
      </c>
      <c r="G324" s="2">
        <v>10.0</v>
      </c>
      <c r="H324" s="2">
        <v>19.0</v>
      </c>
      <c r="I324" s="2">
        <v>30.0</v>
      </c>
      <c r="J324" s="3">
        <f t="shared" si="2"/>
        <v>10.58333333</v>
      </c>
      <c r="K324" s="2">
        <v>100.0</v>
      </c>
      <c r="L324" s="2">
        <v>200.0</v>
      </c>
      <c r="N324" s="3">
        <f t="shared" si="3"/>
        <v>200</v>
      </c>
      <c r="O324" s="2">
        <v>100.0</v>
      </c>
      <c r="P324" s="2">
        <f t="shared" si="4"/>
        <v>15</v>
      </c>
      <c r="Q324" s="2">
        <v>7.0</v>
      </c>
      <c r="R324" s="2">
        <v>7.0</v>
      </c>
      <c r="S324" s="2">
        <v>15.0</v>
      </c>
      <c r="T324" s="2">
        <v>11.0</v>
      </c>
      <c r="U324" s="2">
        <v>14.0</v>
      </c>
      <c r="V324" s="2">
        <v>15.0</v>
      </c>
      <c r="W324" s="2">
        <v>20.0</v>
      </c>
      <c r="X324" s="2">
        <v>29.0</v>
      </c>
      <c r="Y324" s="2">
        <v>25.0</v>
      </c>
      <c r="Z324" s="2">
        <v>30.0</v>
      </c>
      <c r="AA324" s="2">
        <v>30.0</v>
      </c>
      <c r="AB324" s="2">
        <f t="shared" si="5"/>
        <v>10.15</v>
      </c>
      <c r="AC324" s="2">
        <v>45.0</v>
      </c>
      <c r="AD324" s="2">
        <v>350.0</v>
      </c>
      <c r="AF324" s="3">
        <f t="shared" si="6"/>
        <v>9.875</v>
      </c>
      <c r="AG324" s="4">
        <f t="shared" si="7"/>
        <v>90.60833333</v>
      </c>
      <c r="AH324" s="2" t="s">
        <v>42</v>
      </c>
    </row>
    <row r="325">
      <c r="A325" s="1" t="s">
        <v>518</v>
      </c>
      <c r="B325" s="1" t="s">
        <v>519</v>
      </c>
      <c r="C325" s="2" t="s">
        <v>520</v>
      </c>
      <c r="D325" s="2">
        <f>VLOOKUP(B325, 'EE-Nitin'!$B$2:$F$57,5)</f>
        <v>51</v>
      </c>
      <c r="E325" s="2">
        <v>35.0</v>
      </c>
      <c r="F325" s="2">
        <f t="shared" si="1"/>
        <v>43</v>
      </c>
      <c r="G325" s="2">
        <v>15.0</v>
      </c>
      <c r="H325" s="2">
        <v>18.5</v>
      </c>
      <c r="I325" s="2">
        <v>43.0</v>
      </c>
      <c r="J325" s="3">
        <f t="shared" si="2"/>
        <v>13.15277778</v>
      </c>
      <c r="K325" s="2">
        <v>100.0</v>
      </c>
      <c r="L325" s="2">
        <v>200.0</v>
      </c>
      <c r="N325" s="3">
        <f t="shared" si="3"/>
        <v>200</v>
      </c>
      <c r="O325" s="2">
        <v>100.0</v>
      </c>
      <c r="P325" s="2">
        <f t="shared" si="4"/>
        <v>15</v>
      </c>
      <c r="Q325" s="2">
        <v>7.0</v>
      </c>
      <c r="R325" s="2">
        <v>8.0</v>
      </c>
      <c r="S325" s="2">
        <v>9.0</v>
      </c>
      <c r="T325" s="2">
        <v>14.0</v>
      </c>
      <c r="U325" s="2">
        <v>15.0</v>
      </c>
      <c r="V325" s="2">
        <v>15.0</v>
      </c>
      <c r="W325" s="2">
        <v>20.0</v>
      </c>
      <c r="X325" s="2">
        <v>30.0</v>
      </c>
      <c r="Y325" s="2">
        <v>29.0</v>
      </c>
      <c r="Z325" s="2">
        <v>30.0</v>
      </c>
      <c r="AA325" s="2">
        <v>30.0</v>
      </c>
      <c r="AB325" s="2">
        <f t="shared" si="5"/>
        <v>10.35</v>
      </c>
      <c r="AC325" s="2">
        <v>40.0</v>
      </c>
      <c r="AD325" s="2">
        <v>350.0</v>
      </c>
      <c r="AF325" s="3">
        <f t="shared" si="6"/>
        <v>9.75</v>
      </c>
      <c r="AG325" s="4">
        <f t="shared" si="7"/>
        <v>91.25277778</v>
      </c>
      <c r="AH325" s="2" t="s">
        <v>42</v>
      </c>
    </row>
    <row r="326">
      <c r="A326" s="1" t="s">
        <v>405</v>
      </c>
      <c r="B326" s="1" t="s">
        <v>406</v>
      </c>
      <c r="C326" s="2" t="s">
        <v>407</v>
      </c>
      <c r="D326" s="20">
        <f>VLOOKUP(B326,'EC-Nitin'!$B$2:$F$46,5)</f>
        <v>51</v>
      </c>
      <c r="E326" s="2">
        <v>39.0</v>
      </c>
      <c r="F326" s="2">
        <f t="shared" si="1"/>
        <v>45</v>
      </c>
      <c r="G326" s="2">
        <v>19.0</v>
      </c>
      <c r="H326" s="2">
        <v>20.0</v>
      </c>
      <c r="I326" s="2">
        <v>39.0</v>
      </c>
      <c r="J326" s="3">
        <f t="shared" si="2"/>
        <v>14.08333333</v>
      </c>
      <c r="K326" s="2">
        <v>90.0</v>
      </c>
      <c r="L326" s="2">
        <v>200.0</v>
      </c>
      <c r="N326" s="3">
        <f t="shared" si="3"/>
        <v>200</v>
      </c>
      <c r="O326" s="2">
        <v>100.0</v>
      </c>
      <c r="P326" s="2">
        <f t="shared" si="4"/>
        <v>14.5</v>
      </c>
      <c r="Q326" s="2">
        <v>7.0</v>
      </c>
      <c r="R326" s="2">
        <v>10.0</v>
      </c>
      <c r="S326" s="2">
        <v>15.0</v>
      </c>
      <c r="U326" s="2">
        <v>15.0</v>
      </c>
      <c r="V326" s="2">
        <v>15.0</v>
      </c>
      <c r="W326" s="2">
        <v>20.0</v>
      </c>
      <c r="X326" s="2">
        <v>30.0</v>
      </c>
      <c r="Y326" s="2">
        <v>27.0</v>
      </c>
      <c r="Z326" s="2">
        <v>30.0</v>
      </c>
      <c r="AA326" s="2">
        <v>30.0</v>
      </c>
      <c r="AB326" s="2">
        <f t="shared" si="5"/>
        <v>9.95</v>
      </c>
      <c r="AC326" s="2">
        <v>20.0</v>
      </c>
      <c r="AD326" s="2">
        <v>346.0</v>
      </c>
      <c r="AF326" s="3">
        <f t="shared" si="6"/>
        <v>9.15</v>
      </c>
      <c r="AG326" s="4">
        <f t="shared" si="7"/>
        <v>92.68333333</v>
      </c>
      <c r="AH326" s="2" t="s">
        <v>42</v>
      </c>
    </row>
    <row r="327">
      <c r="A327" s="1" t="s">
        <v>384</v>
      </c>
      <c r="B327" s="1" t="s">
        <v>385</v>
      </c>
      <c r="C327" s="2" t="s">
        <v>386</v>
      </c>
      <c r="D327" s="2">
        <f>VLOOKUP(B327,'EC-Nitin'!$B$2:$F$46,5)</f>
        <v>54</v>
      </c>
      <c r="E327" s="2">
        <v>37.0</v>
      </c>
      <c r="F327" s="2">
        <f t="shared" si="1"/>
        <v>45.5</v>
      </c>
      <c r="G327" s="2">
        <v>16.0</v>
      </c>
      <c r="H327" s="2">
        <v>19.0</v>
      </c>
      <c r="I327" s="2">
        <v>33.0</v>
      </c>
      <c r="J327" s="3">
        <f t="shared" si="2"/>
        <v>12.41666667</v>
      </c>
      <c r="K327" s="2">
        <v>100.0</v>
      </c>
      <c r="L327" s="2">
        <v>200.0</v>
      </c>
      <c r="N327" s="3">
        <f t="shared" si="3"/>
        <v>200</v>
      </c>
      <c r="O327" s="2">
        <v>100.0</v>
      </c>
      <c r="P327" s="2">
        <f t="shared" si="4"/>
        <v>15</v>
      </c>
      <c r="Q327" s="2">
        <v>7.0</v>
      </c>
      <c r="R327" s="2">
        <v>7.0</v>
      </c>
      <c r="S327" s="2">
        <v>15.0</v>
      </c>
      <c r="T327" s="2">
        <v>13.0</v>
      </c>
      <c r="U327" s="2">
        <v>13.0</v>
      </c>
      <c r="V327" s="2">
        <v>12.0</v>
      </c>
      <c r="W327" s="2">
        <v>20.0</v>
      </c>
      <c r="X327" s="2">
        <v>30.0</v>
      </c>
      <c r="Y327" s="2">
        <v>30.0</v>
      </c>
      <c r="Z327" s="2">
        <v>30.0</v>
      </c>
      <c r="AA327" s="2">
        <v>30.0</v>
      </c>
      <c r="AB327" s="2">
        <f t="shared" si="5"/>
        <v>10.35</v>
      </c>
      <c r="AC327" s="2">
        <v>40.0</v>
      </c>
      <c r="AD327" s="2">
        <v>350.0</v>
      </c>
      <c r="AF327" s="3">
        <f t="shared" si="6"/>
        <v>9.75</v>
      </c>
      <c r="AG327" s="4">
        <f t="shared" si="7"/>
        <v>93.01666667</v>
      </c>
      <c r="AH327" s="2" t="s">
        <v>42</v>
      </c>
    </row>
    <row r="328">
      <c r="A328" s="1" t="s">
        <v>61</v>
      </c>
      <c r="B328" s="1" t="s">
        <v>62</v>
      </c>
      <c r="C328" s="2" t="s">
        <v>63</v>
      </c>
      <c r="D328" s="2">
        <f>VLOOKUP(B328, 'CSE-Sandeep'!$B$2:$G$61,5)</f>
        <v>54</v>
      </c>
      <c r="E328" s="2">
        <v>36.0</v>
      </c>
      <c r="F328" s="2">
        <f t="shared" si="1"/>
        <v>45</v>
      </c>
      <c r="G328" s="2">
        <v>20.0</v>
      </c>
      <c r="H328" s="2">
        <v>20.0</v>
      </c>
      <c r="I328" s="2">
        <v>36.0</v>
      </c>
      <c r="J328" s="3">
        <f t="shared" si="2"/>
        <v>14</v>
      </c>
      <c r="K328" s="2">
        <v>100.0</v>
      </c>
      <c r="L328" s="2">
        <v>180.0</v>
      </c>
      <c r="N328" s="3">
        <f t="shared" si="3"/>
        <v>180</v>
      </c>
      <c r="O328" s="2">
        <v>100.0</v>
      </c>
      <c r="P328" s="2">
        <f t="shared" si="4"/>
        <v>14.5</v>
      </c>
      <c r="Q328" s="2">
        <v>7.0</v>
      </c>
      <c r="R328" s="2">
        <v>9.0</v>
      </c>
      <c r="S328" s="2">
        <v>14.0</v>
      </c>
      <c r="T328" s="2">
        <v>8.0</v>
      </c>
      <c r="U328" s="2">
        <v>15.0</v>
      </c>
      <c r="V328" s="2">
        <v>14.0</v>
      </c>
      <c r="W328" s="2">
        <v>20.0</v>
      </c>
      <c r="X328" s="2">
        <v>30.0</v>
      </c>
      <c r="Y328" s="2">
        <v>21.0</v>
      </c>
      <c r="Z328" s="2">
        <v>30.0</v>
      </c>
      <c r="AA328" s="2">
        <v>30.0</v>
      </c>
      <c r="AB328" s="2">
        <f t="shared" si="5"/>
        <v>9.9</v>
      </c>
      <c r="AC328" s="2">
        <v>50.0</v>
      </c>
      <c r="AD328" s="2">
        <v>340.0</v>
      </c>
      <c r="AF328" s="3">
        <f t="shared" si="6"/>
        <v>9.75</v>
      </c>
      <c r="AG328" s="4">
        <f t="shared" si="7"/>
        <v>93.15</v>
      </c>
      <c r="AH328" s="2" t="s">
        <v>42</v>
      </c>
    </row>
    <row r="329">
      <c r="A329" s="1" t="s">
        <v>40</v>
      </c>
      <c r="B329" s="1" t="s">
        <v>41</v>
      </c>
      <c r="C329" s="2" t="s">
        <v>43</v>
      </c>
      <c r="D329" s="2">
        <f>VLOOKUP(B329, 'CSE-Sandeep'!$B$2:$G$61,5)</f>
        <v>51</v>
      </c>
      <c r="E329" s="2">
        <v>40.0</v>
      </c>
      <c r="F329" s="2">
        <f t="shared" si="1"/>
        <v>45.5</v>
      </c>
      <c r="G329" s="2">
        <v>19.0</v>
      </c>
      <c r="H329" s="2">
        <v>19.0</v>
      </c>
      <c r="I329" s="2">
        <v>40.0</v>
      </c>
      <c r="J329" s="3">
        <f t="shared" si="2"/>
        <v>13.94444444</v>
      </c>
      <c r="K329" s="2">
        <v>100.0</v>
      </c>
      <c r="L329" s="2">
        <v>190.0</v>
      </c>
      <c r="N329" s="3">
        <f t="shared" si="3"/>
        <v>190</v>
      </c>
      <c r="O329" s="2">
        <v>85.0</v>
      </c>
      <c r="P329" s="2">
        <f t="shared" si="4"/>
        <v>14</v>
      </c>
      <c r="Q329" s="2">
        <v>7.0</v>
      </c>
      <c r="R329" s="2">
        <v>9.0</v>
      </c>
      <c r="S329" s="2">
        <v>15.0</v>
      </c>
      <c r="T329" s="2">
        <v>11.0</v>
      </c>
      <c r="U329" s="2">
        <v>15.0</v>
      </c>
      <c r="V329" s="2">
        <v>15.0</v>
      </c>
      <c r="W329" s="2">
        <v>20.0</v>
      </c>
      <c r="X329" s="2">
        <v>30.0</v>
      </c>
      <c r="Y329" s="2">
        <v>30.0</v>
      </c>
      <c r="Z329" s="2">
        <v>30.0</v>
      </c>
      <c r="AA329" s="2">
        <v>30.0</v>
      </c>
      <c r="AB329" s="2">
        <f t="shared" si="5"/>
        <v>10.6</v>
      </c>
      <c r="AC329" s="2">
        <v>50.0</v>
      </c>
      <c r="AD329" s="2">
        <v>335.0</v>
      </c>
      <c r="AF329" s="3">
        <f t="shared" si="6"/>
        <v>9.625</v>
      </c>
      <c r="AG329" s="4">
        <f t="shared" si="7"/>
        <v>93.66944444</v>
      </c>
      <c r="AH329" s="2" t="s">
        <v>42</v>
      </c>
    </row>
    <row r="330">
      <c r="A330" s="1" t="s">
        <v>131</v>
      </c>
      <c r="B330" s="1" t="s">
        <v>132</v>
      </c>
      <c r="C330" s="2" t="s">
        <v>133</v>
      </c>
      <c r="D330" s="2">
        <f>VLOOKUP(B330, 'CSE-Sandeep'!$B$2:$G$61,5)</f>
        <v>57</v>
      </c>
      <c r="E330" s="2">
        <v>38.0</v>
      </c>
      <c r="F330" s="2">
        <f t="shared" si="1"/>
        <v>47.5</v>
      </c>
      <c r="G330" s="2">
        <v>17.0</v>
      </c>
      <c r="H330" s="2">
        <v>19.0</v>
      </c>
      <c r="I330" s="2">
        <v>40.0</v>
      </c>
      <c r="J330" s="3">
        <f t="shared" si="2"/>
        <v>13.44444444</v>
      </c>
      <c r="K330" s="2">
        <v>100.0</v>
      </c>
      <c r="L330" s="2">
        <v>200.0</v>
      </c>
      <c r="N330" s="3">
        <f t="shared" si="3"/>
        <v>200</v>
      </c>
      <c r="O330" s="2">
        <v>100.0</v>
      </c>
      <c r="P330" s="2">
        <f t="shared" si="4"/>
        <v>15</v>
      </c>
      <c r="Q330" s="2">
        <v>6.0</v>
      </c>
      <c r="R330" s="2">
        <v>9.0</v>
      </c>
      <c r="S330" s="2">
        <v>14.0</v>
      </c>
      <c r="T330" s="2">
        <v>11.0</v>
      </c>
      <c r="U330" s="2">
        <v>15.0</v>
      </c>
      <c r="V330" s="2">
        <v>15.0</v>
      </c>
      <c r="W330" s="2">
        <v>20.0</v>
      </c>
      <c r="X330" s="2">
        <v>30.0</v>
      </c>
      <c r="Y330" s="2">
        <v>28.0</v>
      </c>
      <c r="Z330" s="2">
        <v>30.0</v>
      </c>
      <c r="AA330" s="2">
        <v>30.0</v>
      </c>
      <c r="AB330" s="2">
        <f t="shared" si="5"/>
        <v>10.4</v>
      </c>
      <c r="AC330" s="2">
        <v>50.0</v>
      </c>
      <c r="AD330" s="2">
        <v>350.0</v>
      </c>
      <c r="AF330" s="3">
        <f t="shared" si="6"/>
        <v>10</v>
      </c>
      <c r="AG330" s="4">
        <f t="shared" si="7"/>
        <v>96.34444444</v>
      </c>
      <c r="AH330" s="2" t="s">
        <v>42</v>
      </c>
    </row>
    <row r="331">
      <c r="A331" s="1" t="s">
        <v>910</v>
      </c>
      <c r="B331" s="1" t="s">
        <v>911</v>
      </c>
      <c r="C331" s="2" t="s">
        <v>912</v>
      </c>
      <c r="D331" s="2" t="str">
        <f>VLOOKUP(B331, 'CSE-Sandeep'!B322:G381,5)</f>
        <v>#N/A</v>
      </c>
      <c r="E331" s="2">
        <v>21.0</v>
      </c>
      <c r="F331" s="2" t="str">
        <f t="shared" si="1"/>
        <v>#N/A</v>
      </c>
      <c r="G331" s="2">
        <v>7.0</v>
      </c>
      <c r="H331" s="2">
        <v>6.0</v>
      </c>
      <c r="I331" s="2">
        <v>6.0</v>
      </c>
      <c r="J331" s="3">
        <f t="shared" si="2"/>
        <v>3.916666667</v>
      </c>
      <c r="K331" s="2">
        <v>95.0</v>
      </c>
      <c r="L331" s="2">
        <v>190.0</v>
      </c>
      <c r="N331" s="3">
        <f t="shared" si="3"/>
        <v>190</v>
      </c>
      <c r="O331" s="2">
        <v>85.0</v>
      </c>
      <c r="P331" s="2">
        <f t="shared" si="4"/>
        <v>13.75</v>
      </c>
      <c r="Q331" s="2">
        <v>7.0</v>
      </c>
      <c r="R331" s="2">
        <v>5.0</v>
      </c>
      <c r="S331" s="2">
        <v>8.0</v>
      </c>
      <c r="T331" s="2">
        <v>14.0</v>
      </c>
      <c r="U331" s="2">
        <v>12.0</v>
      </c>
      <c r="V331" s="2">
        <v>13.0</v>
      </c>
      <c r="W331" s="2">
        <v>17.0</v>
      </c>
      <c r="X331" s="2">
        <v>29.0</v>
      </c>
      <c r="Y331" s="2">
        <v>28.0</v>
      </c>
      <c r="Z331" s="2">
        <v>28.0</v>
      </c>
      <c r="AA331" s="2">
        <v>29.0</v>
      </c>
      <c r="AB331" s="2">
        <f t="shared" si="5"/>
        <v>9.5</v>
      </c>
      <c r="AC331" s="2">
        <v>0.0</v>
      </c>
      <c r="AD331" s="2">
        <v>325.0</v>
      </c>
      <c r="AF331" s="3">
        <f t="shared" si="6"/>
        <v>8.125</v>
      </c>
      <c r="AG331" s="4" t="str">
        <f t="shared" si="7"/>
        <v>#N/A</v>
      </c>
      <c r="AH331" s="2" t="s">
        <v>96</v>
      </c>
    </row>
    <row r="332">
      <c r="AG332" s="4"/>
    </row>
    <row r="333">
      <c r="AG333" s="4"/>
    </row>
    <row r="334">
      <c r="AG33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9.88"/>
    <col customWidth="1" min="3" max="3" width="26.25"/>
    <col customWidth="1" min="4" max="5" width="16.38"/>
    <col customWidth="1" min="6" max="6" width="11.25"/>
    <col customWidth="1" hidden="1" min="7" max="7" width="21.25"/>
    <col customWidth="1" hidden="1" min="8" max="8" width="20.13"/>
    <col customWidth="1" hidden="1" min="9" max="9" width="20.38"/>
    <col customWidth="1" hidden="1" min="11" max="11" width="4.75"/>
    <col hidden="1" min="12" max="12" width="12.63"/>
    <col customWidth="1" hidden="1" min="13" max="13" width="8.5"/>
    <col customWidth="1" hidden="1" min="14" max="14" width="10.75"/>
    <col hidden="1" min="15" max="15" width="12.63"/>
    <col customWidth="1" min="28" max="28" width="14.88"/>
    <col customWidth="1" min="29" max="29" width="21.63"/>
    <col customWidth="1" min="31" max="31" width="17.25"/>
    <col customWidth="1" min="32" max="32" width="10.63"/>
    <col customWidth="1" min="33" max="33" width="16.88"/>
    <col customWidth="1" min="34" max="34" width="24.5"/>
    <col customWidth="1" min="35" max="35" width="15.0"/>
    <col customWidth="1" min="36" max="36" width="22.63"/>
    <col customWidth="1" min="37" max="37" width="21.63"/>
    <col customWidth="1" min="38" max="38" width="19.75"/>
    <col customWidth="1" min="39" max="39" width="21.38"/>
    <col customWidth="1" min="40" max="40" width="29.0"/>
    <col customWidth="1" min="41" max="41" width="19.38"/>
    <col customWidth="1" min="42" max="42" width="27.0"/>
    <col customWidth="1" min="43" max="43" width="15.5"/>
    <col customWidth="1" min="44" max="44" width="13.63"/>
    <col customWidth="1" min="45" max="45" width="15.25"/>
    <col customWidth="1" min="46" max="46" width="22.88"/>
    <col customWidth="1" min="47" max="47" width="13.38"/>
    <col customWidth="1" min="48" max="48" width="20.88"/>
    <col customWidth="1" min="49" max="49" width="23.75"/>
    <col customWidth="1" min="50" max="50" width="21.88"/>
    <col customWidth="1" min="51" max="51" width="23.5"/>
    <col customWidth="1" min="52" max="52" width="31.13"/>
    <col customWidth="1" min="53" max="53" width="21.5"/>
    <col customWidth="1" min="54" max="54" width="29.13"/>
    <col customWidth="1" min="55" max="55" width="23.13"/>
    <col customWidth="1" min="56" max="56" width="21.25"/>
    <col customWidth="1" min="57" max="57" width="22.88"/>
    <col customWidth="1" min="58" max="58" width="30.5"/>
    <col customWidth="1" min="59" max="59" width="20.88"/>
    <col customWidth="1" min="60" max="60" width="28.5"/>
    <col customWidth="1" min="61" max="61" width="11.63"/>
    <col customWidth="1" min="62" max="62" width="9.75"/>
    <col customWidth="1" min="63" max="63" width="11.38"/>
    <col customWidth="1" min="64" max="64" width="19.0"/>
    <col customWidth="1" min="65" max="65" width="9.38"/>
    <col customWidth="1" min="66" max="66" width="17.0"/>
  </cols>
  <sheetData>
    <row r="1">
      <c r="A1" s="2" t="s">
        <v>961</v>
      </c>
      <c r="B1" s="2" t="s">
        <v>962</v>
      </c>
      <c r="C1" s="2" t="s">
        <v>964</v>
      </c>
      <c r="D1" s="2" t="s">
        <v>965</v>
      </c>
      <c r="E1" s="2" t="s">
        <v>966</v>
      </c>
      <c r="F1" s="18" t="s">
        <v>967</v>
      </c>
      <c r="G1" s="2" t="s">
        <v>968</v>
      </c>
      <c r="H1" s="2" t="s">
        <v>969</v>
      </c>
      <c r="I1" s="2" t="s">
        <v>970</v>
      </c>
      <c r="J1" s="18" t="s">
        <v>971</v>
      </c>
      <c r="K1" s="2" t="s">
        <v>972</v>
      </c>
      <c r="L1" s="2" t="s">
        <v>973</v>
      </c>
      <c r="M1" s="2" t="s">
        <v>974</v>
      </c>
      <c r="N1" s="2" t="s">
        <v>975</v>
      </c>
      <c r="O1" s="2" t="s">
        <v>976</v>
      </c>
      <c r="P1" s="18" t="s">
        <v>977</v>
      </c>
      <c r="Q1" s="2" t="s">
        <v>978</v>
      </c>
      <c r="R1" s="2" t="s">
        <v>979</v>
      </c>
      <c r="S1" s="2" t="s">
        <v>980</v>
      </c>
      <c r="T1" s="2" t="s">
        <v>981</v>
      </c>
      <c r="U1" s="2" t="s">
        <v>982</v>
      </c>
      <c r="V1" s="2" t="s">
        <v>983</v>
      </c>
      <c r="W1" s="2" t="s">
        <v>984</v>
      </c>
      <c r="X1" s="2" t="s">
        <v>985</v>
      </c>
      <c r="Y1" s="2" t="s">
        <v>986</v>
      </c>
      <c r="Z1" s="2" t="s">
        <v>987</v>
      </c>
      <c r="AA1" s="2" t="s">
        <v>988</v>
      </c>
      <c r="AB1" s="18" t="s">
        <v>989</v>
      </c>
      <c r="AC1" s="2" t="s">
        <v>990</v>
      </c>
      <c r="AD1" s="2" t="s">
        <v>991</v>
      </c>
      <c r="AE1" s="18" t="s">
        <v>993</v>
      </c>
      <c r="AF1" s="19" t="s">
        <v>994</v>
      </c>
    </row>
    <row r="2">
      <c r="A2" s="1" t="s">
        <v>0</v>
      </c>
      <c r="B2" s="1" t="s">
        <v>1</v>
      </c>
      <c r="C2" s="2" t="s">
        <v>3</v>
      </c>
      <c r="D2" s="2">
        <v>36.5</v>
      </c>
      <c r="E2" s="2">
        <v>29.0</v>
      </c>
      <c r="F2" s="2">
        <f t="shared" ref="F2:F331" si="1">0.5*(D2+E2)</f>
        <v>32.75</v>
      </c>
      <c r="G2" s="2">
        <v>15.0</v>
      </c>
      <c r="H2" s="2">
        <v>18.0</v>
      </c>
      <c r="I2" s="2">
        <v>18.0</v>
      </c>
      <c r="J2" s="3">
        <f t="shared" ref="J2:J331" si="2">G2/4+H2/4+I2/9</f>
        <v>10.25</v>
      </c>
      <c r="K2" s="2">
        <v>80.0</v>
      </c>
      <c r="L2" s="2">
        <v>198.0</v>
      </c>
      <c r="M2" s="2">
        <v>190.0</v>
      </c>
      <c r="N2" s="3">
        <f t="shared" ref="N2:N331" si="3">max(L2:M2)</f>
        <v>198</v>
      </c>
      <c r="O2" s="2">
        <v>95.0</v>
      </c>
      <c r="P2" s="2">
        <f t="shared" ref="P2:P331" si="4">K2/20+N2/40+O2/20</f>
        <v>13.7</v>
      </c>
      <c r="Q2" s="2">
        <v>7.0</v>
      </c>
      <c r="R2" s="2">
        <v>9.0</v>
      </c>
      <c r="S2" s="2">
        <v>7.0</v>
      </c>
      <c r="T2" s="2">
        <v>12.0</v>
      </c>
      <c r="U2" s="2">
        <v>15.0</v>
      </c>
      <c r="V2" s="2">
        <v>14.0</v>
      </c>
      <c r="W2" s="2">
        <v>20.0</v>
      </c>
      <c r="X2" s="2">
        <v>29.0</v>
      </c>
      <c r="Y2" s="2">
        <v>29.0</v>
      </c>
      <c r="Z2" s="2">
        <v>30.0</v>
      </c>
      <c r="AA2" s="2">
        <v>30.0</v>
      </c>
      <c r="AB2" s="2">
        <f t="shared" ref="AB2:AB331" si="5">SUM(Q2:AA2)/20</f>
        <v>10.1</v>
      </c>
      <c r="AC2" s="2">
        <v>50.0</v>
      </c>
      <c r="AD2" s="2">
        <v>330.0</v>
      </c>
      <c r="AE2" s="3">
        <f t="shared" ref="AE2:AE331" si="6">(AC2+AD2)/40</f>
        <v>9.5</v>
      </c>
      <c r="AF2" s="4">
        <f t="shared" ref="AF2:AF331" si="7">F2+J2+P2+AB2+AE2</f>
        <v>76.3</v>
      </c>
    </row>
    <row r="3">
      <c r="A3" s="1" t="s">
        <v>4</v>
      </c>
      <c r="B3" s="1" t="s">
        <v>5</v>
      </c>
      <c r="C3" s="2" t="s">
        <v>7</v>
      </c>
      <c r="D3" s="2">
        <v>44.0</v>
      </c>
      <c r="E3" s="2">
        <v>30.0</v>
      </c>
      <c r="F3" s="2">
        <f t="shared" si="1"/>
        <v>37</v>
      </c>
      <c r="G3" s="2">
        <v>15.0</v>
      </c>
      <c r="H3" s="2">
        <v>17.0</v>
      </c>
      <c r="I3" s="2">
        <v>24.0</v>
      </c>
      <c r="J3" s="3">
        <f t="shared" si="2"/>
        <v>10.66666667</v>
      </c>
      <c r="K3" s="2">
        <v>90.0</v>
      </c>
      <c r="L3" s="2">
        <v>190.0</v>
      </c>
      <c r="M3" s="2">
        <v>200.0</v>
      </c>
      <c r="N3" s="3">
        <f t="shared" si="3"/>
        <v>200</v>
      </c>
      <c r="O3" s="2">
        <v>95.0</v>
      </c>
      <c r="P3" s="2">
        <f t="shared" si="4"/>
        <v>14.25</v>
      </c>
      <c r="Q3" s="2">
        <v>7.0</v>
      </c>
      <c r="R3" s="2">
        <v>6.0</v>
      </c>
      <c r="S3" s="2">
        <v>8.0</v>
      </c>
      <c r="T3" s="2">
        <v>12.0</v>
      </c>
      <c r="U3" s="2">
        <v>15.0</v>
      </c>
      <c r="V3" s="2">
        <v>15.0</v>
      </c>
      <c r="W3" s="2">
        <v>20.0</v>
      </c>
      <c r="Z3" s="2">
        <v>30.0</v>
      </c>
      <c r="AB3" s="2">
        <f t="shared" si="5"/>
        <v>5.65</v>
      </c>
      <c r="AC3" s="2">
        <v>50.0</v>
      </c>
      <c r="AD3" s="2">
        <v>330.0</v>
      </c>
      <c r="AE3" s="3">
        <f t="shared" si="6"/>
        <v>9.5</v>
      </c>
      <c r="AF3" s="4">
        <f t="shared" si="7"/>
        <v>77.06666667</v>
      </c>
    </row>
    <row r="4">
      <c r="A4" s="1" t="s">
        <v>11</v>
      </c>
      <c r="B4" s="1" t="s">
        <v>12</v>
      </c>
      <c r="C4" s="2" t="s">
        <v>13</v>
      </c>
      <c r="D4" s="2">
        <v>45.0</v>
      </c>
      <c r="E4" s="2">
        <v>25.0</v>
      </c>
      <c r="F4" s="2">
        <f t="shared" si="1"/>
        <v>35</v>
      </c>
      <c r="G4" s="2">
        <v>8.0</v>
      </c>
      <c r="H4" s="2">
        <v>18.0</v>
      </c>
      <c r="I4" s="2">
        <v>26.0</v>
      </c>
      <c r="J4" s="3">
        <f t="shared" si="2"/>
        <v>9.388888889</v>
      </c>
      <c r="K4" s="2">
        <v>95.0</v>
      </c>
      <c r="L4" s="2">
        <v>190.0</v>
      </c>
      <c r="M4" s="2">
        <v>190.0</v>
      </c>
      <c r="N4" s="3">
        <f t="shared" si="3"/>
        <v>190</v>
      </c>
      <c r="O4" s="2">
        <v>95.0</v>
      </c>
      <c r="P4" s="2">
        <f t="shared" si="4"/>
        <v>14.25</v>
      </c>
      <c r="Q4" s="2">
        <v>6.0</v>
      </c>
      <c r="T4" s="2">
        <v>12.0</v>
      </c>
      <c r="U4" s="2">
        <v>15.0</v>
      </c>
      <c r="V4" s="2">
        <v>15.0</v>
      </c>
      <c r="W4" s="2">
        <v>20.0</v>
      </c>
      <c r="X4" s="2">
        <v>25.0</v>
      </c>
      <c r="Y4" s="2">
        <v>30.0</v>
      </c>
      <c r="Z4" s="2">
        <v>30.0</v>
      </c>
      <c r="AB4" s="2">
        <f t="shared" si="5"/>
        <v>7.65</v>
      </c>
      <c r="AC4" s="2">
        <v>50.0</v>
      </c>
      <c r="AD4" s="2">
        <v>330.0</v>
      </c>
      <c r="AE4" s="3">
        <f t="shared" si="6"/>
        <v>9.5</v>
      </c>
      <c r="AF4" s="4">
        <f t="shared" si="7"/>
        <v>75.78888889</v>
      </c>
    </row>
    <row r="5">
      <c r="A5" s="1" t="s">
        <v>14</v>
      </c>
      <c r="B5" s="1" t="s">
        <v>15</v>
      </c>
      <c r="C5" s="2" t="s">
        <v>16</v>
      </c>
      <c r="D5" s="2">
        <f>VLOOKUP(B5, 'CSE-Sandeep'!$B$2:$G$61,5)</f>
        <v>45</v>
      </c>
      <c r="E5" s="2">
        <v>32.0</v>
      </c>
      <c r="F5" s="2">
        <f t="shared" si="1"/>
        <v>38.5</v>
      </c>
      <c r="G5" s="2">
        <v>13.0</v>
      </c>
      <c r="H5" s="2">
        <v>13.0</v>
      </c>
      <c r="I5" s="2">
        <v>43.0</v>
      </c>
      <c r="J5" s="3">
        <f t="shared" si="2"/>
        <v>11.27777778</v>
      </c>
      <c r="K5" s="2">
        <v>100.0</v>
      </c>
      <c r="L5" s="2">
        <v>200.0</v>
      </c>
      <c r="N5" s="3">
        <f t="shared" si="3"/>
        <v>200</v>
      </c>
      <c r="O5" s="2">
        <v>98.0</v>
      </c>
      <c r="P5" s="2">
        <f t="shared" si="4"/>
        <v>14.9</v>
      </c>
      <c r="Q5" s="2">
        <v>7.0</v>
      </c>
      <c r="R5" s="2">
        <v>8.0</v>
      </c>
      <c r="S5" s="2">
        <v>15.0</v>
      </c>
      <c r="T5" s="2">
        <v>15.0</v>
      </c>
      <c r="U5" s="2">
        <v>14.0</v>
      </c>
      <c r="V5" s="2">
        <v>15.0</v>
      </c>
      <c r="W5" s="2">
        <v>20.0</v>
      </c>
      <c r="X5" s="2">
        <v>30.0</v>
      </c>
      <c r="Y5" s="2">
        <v>30.0</v>
      </c>
      <c r="Z5" s="2">
        <v>3.0</v>
      </c>
      <c r="AB5" s="2">
        <f t="shared" si="5"/>
        <v>7.85</v>
      </c>
      <c r="AC5" s="2">
        <v>40.0</v>
      </c>
      <c r="AD5" s="2">
        <v>335.0</v>
      </c>
      <c r="AE5" s="3">
        <f t="shared" si="6"/>
        <v>9.375</v>
      </c>
      <c r="AF5" s="4">
        <f t="shared" si="7"/>
        <v>81.90277778</v>
      </c>
    </row>
    <row r="6">
      <c r="A6" s="1" t="s">
        <v>17</v>
      </c>
      <c r="B6" s="1" t="s">
        <v>18</v>
      </c>
      <c r="C6" s="2" t="s">
        <v>19</v>
      </c>
      <c r="D6" s="2">
        <f>VLOOKUP(B6, 'CSE-Sandeep'!$B$2:$G$61,5)</f>
        <v>36</v>
      </c>
      <c r="E6" s="2">
        <v>31.0</v>
      </c>
      <c r="F6" s="2">
        <f t="shared" si="1"/>
        <v>33.5</v>
      </c>
      <c r="G6" s="2">
        <v>17.0</v>
      </c>
      <c r="H6" s="2">
        <v>17.0</v>
      </c>
      <c r="I6" s="2">
        <v>32.5</v>
      </c>
      <c r="J6" s="3">
        <f t="shared" si="2"/>
        <v>12.11111111</v>
      </c>
      <c r="K6" s="2">
        <v>100.0</v>
      </c>
      <c r="L6" s="2">
        <v>200.0</v>
      </c>
      <c r="N6" s="3">
        <f t="shared" si="3"/>
        <v>200</v>
      </c>
      <c r="O6" s="2">
        <v>100.0</v>
      </c>
      <c r="P6" s="2">
        <f t="shared" si="4"/>
        <v>15</v>
      </c>
      <c r="Q6" s="2">
        <v>6.0</v>
      </c>
      <c r="R6" s="2">
        <v>8.0</v>
      </c>
      <c r="S6" s="2">
        <v>14.0</v>
      </c>
      <c r="T6" s="2">
        <v>10.0</v>
      </c>
      <c r="U6" s="2">
        <v>15.0</v>
      </c>
      <c r="V6" s="2">
        <v>13.0</v>
      </c>
      <c r="W6" s="2">
        <v>19.0</v>
      </c>
      <c r="X6" s="2">
        <v>30.0</v>
      </c>
      <c r="Y6" s="2">
        <v>0.0</v>
      </c>
      <c r="Z6" s="2">
        <v>29.0</v>
      </c>
      <c r="AA6" s="2">
        <v>30.0</v>
      </c>
      <c r="AB6" s="2">
        <f t="shared" si="5"/>
        <v>8.7</v>
      </c>
      <c r="AC6" s="2">
        <v>50.0</v>
      </c>
      <c r="AD6" s="2">
        <v>340.0</v>
      </c>
      <c r="AE6" s="3">
        <f t="shared" si="6"/>
        <v>9.75</v>
      </c>
      <c r="AF6" s="4">
        <f t="shared" si="7"/>
        <v>79.06111111</v>
      </c>
    </row>
    <row r="7">
      <c r="A7" s="1" t="s">
        <v>20</v>
      </c>
      <c r="B7" s="5" t="s">
        <v>21</v>
      </c>
      <c r="C7" s="2" t="s">
        <v>22</v>
      </c>
      <c r="D7" s="2">
        <f>VLOOKUP(B7, 'CSE-Sandeep'!$B$2:$G$61,5)</f>
        <v>50</v>
      </c>
      <c r="E7" s="2">
        <v>35.0</v>
      </c>
      <c r="F7" s="2">
        <f t="shared" si="1"/>
        <v>42.5</v>
      </c>
      <c r="G7" s="2">
        <v>16.0</v>
      </c>
      <c r="H7" s="2">
        <v>16.0</v>
      </c>
      <c r="I7" s="2">
        <v>45.0</v>
      </c>
      <c r="J7" s="3">
        <f t="shared" si="2"/>
        <v>13</v>
      </c>
      <c r="K7" s="2">
        <v>90.0</v>
      </c>
      <c r="L7" s="2">
        <v>200.0</v>
      </c>
      <c r="N7" s="3">
        <f t="shared" si="3"/>
        <v>200</v>
      </c>
      <c r="O7" s="2">
        <v>100.0</v>
      </c>
      <c r="P7" s="2">
        <f t="shared" si="4"/>
        <v>14.5</v>
      </c>
      <c r="Q7" s="2">
        <v>7.0</v>
      </c>
      <c r="R7" s="2">
        <v>6.0</v>
      </c>
      <c r="S7" s="2">
        <v>14.0</v>
      </c>
      <c r="T7" s="2">
        <v>0.0</v>
      </c>
      <c r="U7" s="2">
        <v>15.0</v>
      </c>
      <c r="V7" s="2">
        <v>15.0</v>
      </c>
      <c r="W7" s="2">
        <v>20.0</v>
      </c>
      <c r="X7" s="2">
        <v>30.0</v>
      </c>
      <c r="Y7" s="2">
        <v>30.0</v>
      </c>
      <c r="Z7" s="2">
        <v>30.0</v>
      </c>
      <c r="AA7" s="2">
        <v>30.0</v>
      </c>
      <c r="AB7" s="2">
        <f t="shared" si="5"/>
        <v>9.85</v>
      </c>
      <c r="AC7" s="2">
        <v>30.0</v>
      </c>
      <c r="AD7" s="2">
        <v>335.0</v>
      </c>
      <c r="AE7" s="3">
        <f t="shared" si="6"/>
        <v>9.125</v>
      </c>
      <c r="AF7" s="4">
        <f t="shared" si="7"/>
        <v>88.975</v>
      </c>
    </row>
    <row r="8">
      <c r="A8" s="1" t="s">
        <v>23</v>
      </c>
      <c r="B8" s="1" t="s">
        <v>24</v>
      </c>
      <c r="C8" s="2" t="s">
        <v>26</v>
      </c>
      <c r="D8" s="2">
        <f>VLOOKUP(B8, 'CSE-Sandeep'!$B$2:$G$61,5)</f>
        <v>37</v>
      </c>
      <c r="E8" s="2">
        <v>33.0</v>
      </c>
      <c r="F8" s="2">
        <f t="shared" si="1"/>
        <v>35</v>
      </c>
      <c r="G8" s="2">
        <v>11.0</v>
      </c>
      <c r="H8" s="2">
        <v>11.0</v>
      </c>
      <c r="I8" s="2">
        <v>32.0</v>
      </c>
      <c r="J8" s="3">
        <f t="shared" si="2"/>
        <v>9.055555556</v>
      </c>
      <c r="K8" s="2">
        <v>100.0</v>
      </c>
      <c r="L8" s="2">
        <v>200.0</v>
      </c>
      <c r="N8" s="3">
        <f t="shared" si="3"/>
        <v>200</v>
      </c>
      <c r="O8" s="2">
        <v>85.0</v>
      </c>
      <c r="P8" s="2">
        <f t="shared" si="4"/>
        <v>14.25</v>
      </c>
      <c r="Q8" s="2">
        <v>6.0</v>
      </c>
      <c r="R8" s="2">
        <v>8.0</v>
      </c>
      <c r="S8" s="2">
        <v>15.0</v>
      </c>
      <c r="T8" s="2">
        <v>10.0</v>
      </c>
      <c r="U8" s="2">
        <v>11.0</v>
      </c>
      <c r="V8" s="2">
        <v>14.0</v>
      </c>
      <c r="W8" s="2">
        <v>20.0</v>
      </c>
      <c r="X8" s="2">
        <v>30.0</v>
      </c>
      <c r="Y8" s="2">
        <v>30.0</v>
      </c>
      <c r="Z8" s="2">
        <v>30.0</v>
      </c>
      <c r="AB8" s="2">
        <f t="shared" si="5"/>
        <v>8.7</v>
      </c>
      <c r="AC8" s="2">
        <v>50.0</v>
      </c>
      <c r="AD8" s="2">
        <v>340.0</v>
      </c>
      <c r="AE8" s="3">
        <f t="shared" si="6"/>
        <v>9.75</v>
      </c>
      <c r="AF8" s="4">
        <f t="shared" si="7"/>
        <v>76.75555556</v>
      </c>
    </row>
    <row r="9">
      <c r="A9" s="1" t="s">
        <v>27</v>
      </c>
      <c r="B9" s="1" t="s">
        <v>28</v>
      </c>
      <c r="C9" s="2" t="s">
        <v>29</v>
      </c>
      <c r="D9" s="2">
        <f>VLOOKUP(B9, 'CSE-Sandeep'!$B$2:$G$61,5)</f>
        <v>46</v>
      </c>
      <c r="E9" s="2">
        <v>37.0</v>
      </c>
      <c r="F9" s="2">
        <f t="shared" si="1"/>
        <v>41.5</v>
      </c>
      <c r="G9" s="2">
        <v>17.0</v>
      </c>
      <c r="H9" s="2">
        <v>17.0</v>
      </c>
      <c r="I9" s="2">
        <v>37.0</v>
      </c>
      <c r="J9" s="3">
        <f t="shared" si="2"/>
        <v>12.61111111</v>
      </c>
      <c r="K9" s="2">
        <v>95.0</v>
      </c>
      <c r="L9" s="2">
        <v>200.0</v>
      </c>
      <c r="N9" s="3">
        <f t="shared" si="3"/>
        <v>200</v>
      </c>
      <c r="P9" s="2">
        <f t="shared" si="4"/>
        <v>9.75</v>
      </c>
      <c r="Q9" s="2">
        <v>6.0</v>
      </c>
      <c r="R9" s="2">
        <v>7.0</v>
      </c>
      <c r="S9" s="2">
        <v>15.0</v>
      </c>
      <c r="T9" s="2">
        <v>8.0</v>
      </c>
      <c r="U9" s="2">
        <v>15.0</v>
      </c>
      <c r="V9" s="2">
        <v>14.0</v>
      </c>
      <c r="W9" s="2">
        <v>20.0</v>
      </c>
      <c r="X9" s="2">
        <v>30.0</v>
      </c>
      <c r="Y9" s="2">
        <v>0.0</v>
      </c>
      <c r="Z9" s="2">
        <v>30.0</v>
      </c>
      <c r="AB9" s="2">
        <f t="shared" si="5"/>
        <v>7.25</v>
      </c>
      <c r="AC9" s="2">
        <v>30.0</v>
      </c>
      <c r="AD9" s="2">
        <v>340.0</v>
      </c>
      <c r="AE9" s="3">
        <f t="shared" si="6"/>
        <v>9.25</v>
      </c>
      <c r="AF9" s="4">
        <f t="shared" si="7"/>
        <v>80.36111111</v>
      </c>
    </row>
    <row r="10">
      <c r="A10" s="1" t="s">
        <v>30</v>
      </c>
      <c r="B10" s="1" t="s">
        <v>31</v>
      </c>
      <c r="C10" s="2" t="s">
        <v>33</v>
      </c>
      <c r="D10" s="2">
        <f>VLOOKUP(B10, 'CSE-Sandeep'!$B$2:$G$61,5)</f>
        <v>24</v>
      </c>
      <c r="E10" s="2">
        <v>18.0</v>
      </c>
      <c r="F10" s="2">
        <f t="shared" si="1"/>
        <v>21</v>
      </c>
      <c r="G10" s="2">
        <v>15.0</v>
      </c>
      <c r="H10" s="2">
        <v>15.0</v>
      </c>
      <c r="I10" s="2">
        <v>35.0</v>
      </c>
      <c r="J10" s="3">
        <f t="shared" si="2"/>
        <v>11.38888889</v>
      </c>
      <c r="K10" s="2">
        <v>85.0</v>
      </c>
      <c r="L10" s="2">
        <v>180.0</v>
      </c>
      <c r="N10" s="3">
        <f t="shared" si="3"/>
        <v>180</v>
      </c>
      <c r="P10" s="2">
        <f t="shared" si="4"/>
        <v>8.75</v>
      </c>
      <c r="Q10" s="2">
        <v>5.0</v>
      </c>
      <c r="R10" s="2">
        <v>5.0</v>
      </c>
      <c r="S10" s="2">
        <v>14.0</v>
      </c>
      <c r="T10" s="2">
        <v>10.0</v>
      </c>
      <c r="U10" s="2">
        <v>15.0</v>
      </c>
      <c r="V10" s="2">
        <v>12.0</v>
      </c>
      <c r="W10" s="2">
        <v>20.0</v>
      </c>
      <c r="X10" s="2">
        <v>30.0</v>
      </c>
      <c r="Y10" s="2">
        <v>24.0</v>
      </c>
      <c r="Z10" s="2">
        <v>29.0</v>
      </c>
      <c r="AA10" s="2">
        <v>29.0</v>
      </c>
      <c r="AB10" s="2">
        <f t="shared" si="5"/>
        <v>9.65</v>
      </c>
      <c r="AC10" s="2">
        <v>40.0</v>
      </c>
      <c r="AD10" s="2">
        <v>340.0</v>
      </c>
      <c r="AE10" s="3">
        <f t="shared" si="6"/>
        <v>9.5</v>
      </c>
      <c r="AF10" s="4">
        <f t="shared" si="7"/>
        <v>60.28888889</v>
      </c>
    </row>
    <row r="11">
      <c r="A11" s="1" t="s">
        <v>34</v>
      </c>
      <c r="B11" s="1" t="s">
        <v>35</v>
      </c>
      <c r="C11" s="2" t="s">
        <v>36</v>
      </c>
      <c r="D11" s="2">
        <f>VLOOKUP(B11, 'CSE-Sandeep'!$B$2:$G$61,5)</f>
        <v>47</v>
      </c>
      <c r="E11" s="2">
        <v>33.0</v>
      </c>
      <c r="F11" s="2">
        <f t="shared" si="1"/>
        <v>40</v>
      </c>
      <c r="G11" s="2">
        <v>11.0</v>
      </c>
      <c r="H11" s="2">
        <v>11.0</v>
      </c>
      <c r="I11" s="2">
        <v>35.5</v>
      </c>
      <c r="J11" s="3">
        <f t="shared" si="2"/>
        <v>9.444444444</v>
      </c>
      <c r="K11" s="2">
        <v>95.0</v>
      </c>
      <c r="L11" s="2">
        <v>190.0</v>
      </c>
      <c r="N11" s="3">
        <f t="shared" si="3"/>
        <v>190</v>
      </c>
      <c r="O11" s="2">
        <v>92.0</v>
      </c>
      <c r="P11" s="2">
        <f t="shared" si="4"/>
        <v>14.1</v>
      </c>
      <c r="Q11" s="2">
        <v>6.0</v>
      </c>
      <c r="R11" s="2">
        <v>8.0</v>
      </c>
      <c r="S11" s="2">
        <v>14.0</v>
      </c>
      <c r="T11" s="2">
        <v>10.0</v>
      </c>
      <c r="U11" s="2">
        <v>15.0</v>
      </c>
      <c r="V11" s="2">
        <v>14.0</v>
      </c>
      <c r="W11" s="2">
        <v>20.0</v>
      </c>
      <c r="X11" s="2">
        <v>30.0</v>
      </c>
      <c r="Y11" s="2">
        <v>30.0</v>
      </c>
      <c r="Z11" s="2">
        <v>30.0</v>
      </c>
      <c r="AB11" s="2">
        <f t="shared" si="5"/>
        <v>8.85</v>
      </c>
      <c r="AC11" s="2">
        <v>50.0</v>
      </c>
      <c r="AD11" s="2">
        <v>330.0</v>
      </c>
      <c r="AE11" s="3">
        <f t="shared" si="6"/>
        <v>9.5</v>
      </c>
      <c r="AF11" s="4">
        <f t="shared" si="7"/>
        <v>81.89444444</v>
      </c>
    </row>
    <row r="12">
      <c r="A12" s="1" t="s">
        <v>37</v>
      </c>
      <c r="B12" s="1" t="s">
        <v>38</v>
      </c>
      <c r="C12" s="2" t="s">
        <v>39</v>
      </c>
      <c r="D12" s="2">
        <f>VLOOKUP(B12, 'CSE-Sandeep'!$B$2:$G$61,5)</f>
        <v>40</v>
      </c>
      <c r="E12" s="2">
        <v>35.0</v>
      </c>
      <c r="F12" s="2">
        <f t="shared" si="1"/>
        <v>37.5</v>
      </c>
      <c r="G12" s="2">
        <v>16.0</v>
      </c>
      <c r="H12" s="2">
        <v>16.0</v>
      </c>
      <c r="I12" s="2">
        <v>45.0</v>
      </c>
      <c r="J12" s="3">
        <f t="shared" si="2"/>
        <v>13</v>
      </c>
      <c r="K12" s="2">
        <v>95.0</v>
      </c>
      <c r="L12" s="2">
        <v>170.0</v>
      </c>
      <c r="M12" s="2">
        <v>195.0</v>
      </c>
      <c r="N12" s="3">
        <f t="shared" si="3"/>
        <v>195</v>
      </c>
      <c r="O12" s="2">
        <v>95.0</v>
      </c>
      <c r="P12" s="2">
        <f t="shared" si="4"/>
        <v>14.375</v>
      </c>
      <c r="Q12" s="2">
        <v>7.0</v>
      </c>
      <c r="R12" s="2">
        <v>5.0</v>
      </c>
      <c r="S12" s="2">
        <v>14.0</v>
      </c>
      <c r="T12" s="2">
        <v>8.0</v>
      </c>
      <c r="U12" s="2">
        <v>15.0</v>
      </c>
      <c r="V12" s="2">
        <v>14.0</v>
      </c>
      <c r="W12" s="2">
        <v>20.0</v>
      </c>
      <c r="X12" s="2">
        <v>30.0</v>
      </c>
      <c r="Y12" s="2">
        <v>30.0</v>
      </c>
      <c r="Z12" s="2">
        <v>30.0</v>
      </c>
      <c r="AA12" s="2">
        <v>30.0</v>
      </c>
      <c r="AB12" s="2">
        <f t="shared" si="5"/>
        <v>10.15</v>
      </c>
      <c r="AC12" s="2">
        <v>50.0</v>
      </c>
      <c r="AD12" s="2">
        <v>340.0</v>
      </c>
      <c r="AE12" s="3">
        <f t="shared" si="6"/>
        <v>9.75</v>
      </c>
      <c r="AF12" s="4">
        <f t="shared" si="7"/>
        <v>84.775</v>
      </c>
    </row>
    <row r="13">
      <c r="A13" s="1" t="s">
        <v>40</v>
      </c>
      <c r="B13" s="1" t="s">
        <v>41</v>
      </c>
      <c r="C13" s="2" t="s">
        <v>43</v>
      </c>
      <c r="D13" s="2">
        <f>VLOOKUP(B13, 'CSE-Sandeep'!$B$2:$G$61,5)</f>
        <v>51</v>
      </c>
      <c r="E13" s="2">
        <v>40.0</v>
      </c>
      <c r="F13" s="2">
        <f t="shared" si="1"/>
        <v>45.5</v>
      </c>
      <c r="G13" s="2">
        <v>19.0</v>
      </c>
      <c r="H13" s="2">
        <v>19.0</v>
      </c>
      <c r="I13" s="2">
        <v>40.0</v>
      </c>
      <c r="J13" s="3">
        <f t="shared" si="2"/>
        <v>13.94444444</v>
      </c>
      <c r="K13" s="2">
        <v>100.0</v>
      </c>
      <c r="L13" s="2">
        <v>190.0</v>
      </c>
      <c r="N13" s="3">
        <f t="shared" si="3"/>
        <v>190</v>
      </c>
      <c r="O13" s="2">
        <v>85.0</v>
      </c>
      <c r="P13" s="2">
        <f t="shared" si="4"/>
        <v>14</v>
      </c>
      <c r="Q13" s="2">
        <v>7.0</v>
      </c>
      <c r="R13" s="2">
        <v>9.0</v>
      </c>
      <c r="S13" s="2">
        <v>15.0</v>
      </c>
      <c r="T13" s="2">
        <v>11.0</v>
      </c>
      <c r="U13" s="2">
        <v>15.0</v>
      </c>
      <c r="V13" s="2">
        <v>15.0</v>
      </c>
      <c r="W13" s="2">
        <v>20.0</v>
      </c>
      <c r="X13" s="2">
        <v>30.0</v>
      </c>
      <c r="Y13" s="2">
        <v>30.0</v>
      </c>
      <c r="Z13" s="2">
        <v>30.0</v>
      </c>
      <c r="AA13" s="2">
        <v>30.0</v>
      </c>
      <c r="AB13" s="2">
        <f t="shared" si="5"/>
        <v>10.6</v>
      </c>
      <c r="AC13" s="2">
        <v>50.0</v>
      </c>
      <c r="AD13" s="2">
        <v>335.0</v>
      </c>
      <c r="AE13" s="3">
        <f t="shared" si="6"/>
        <v>9.625</v>
      </c>
      <c r="AF13" s="4">
        <f t="shared" si="7"/>
        <v>93.66944444</v>
      </c>
    </row>
    <row r="14">
      <c r="A14" s="1" t="s">
        <v>44</v>
      </c>
      <c r="B14" s="1" t="s">
        <v>45</v>
      </c>
      <c r="C14" s="2" t="s">
        <v>46</v>
      </c>
      <c r="D14" s="2">
        <f>VLOOKUP(B14, 'CSE-Sandeep'!$B$2:$G$61,5)</f>
        <v>46</v>
      </c>
      <c r="E14" s="2">
        <v>37.0</v>
      </c>
      <c r="F14" s="2">
        <f t="shared" si="1"/>
        <v>41.5</v>
      </c>
      <c r="G14" s="2">
        <v>19.0</v>
      </c>
      <c r="H14" s="2">
        <v>19.0</v>
      </c>
      <c r="I14" s="2">
        <v>45.0</v>
      </c>
      <c r="J14" s="3">
        <f t="shared" si="2"/>
        <v>14.5</v>
      </c>
      <c r="K14" s="2">
        <v>100.0</v>
      </c>
      <c r="L14" s="2">
        <v>200.0</v>
      </c>
      <c r="N14" s="3">
        <f t="shared" si="3"/>
        <v>200</v>
      </c>
      <c r="O14" s="2">
        <v>95.0</v>
      </c>
      <c r="P14" s="2">
        <f t="shared" si="4"/>
        <v>14.75</v>
      </c>
      <c r="Q14" s="2">
        <v>7.0</v>
      </c>
      <c r="R14" s="2">
        <v>9.0</v>
      </c>
      <c r="S14" s="2">
        <v>15.0</v>
      </c>
      <c r="T14" s="2">
        <v>11.0</v>
      </c>
      <c r="U14" s="2">
        <v>15.0</v>
      </c>
      <c r="V14" s="2">
        <v>14.0</v>
      </c>
      <c r="W14" s="2">
        <v>20.0</v>
      </c>
      <c r="X14" s="2">
        <v>30.0</v>
      </c>
      <c r="Y14" s="2">
        <v>30.0</v>
      </c>
      <c r="Z14" s="2">
        <v>30.0</v>
      </c>
      <c r="AA14" s="2">
        <v>30.0</v>
      </c>
      <c r="AB14" s="2">
        <f t="shared" si="5"/>
        <v>10.55</v>
      </c>
      <c r="AC14" s="2">
        <v>30.0</v>
      </c>
      <c r="AD14" s="2">
        <v>340.0</v>
      </c>
      <c r="AE14" s="3">
        <f t="shared" si="6"/>
        <v>9.25</v>
      </c>
      <c r="AF14" s="4">
        <f t="shared" si="7"/>
        <v>90.55</v>
      </c>
    </row>
    <row r="15">
      <c r="A15" s="1" t="s">
        <v>47</v>
      </c>
      <c r="B15" s="1" t="s">
        <v>48</v>
      </c>
      <c r="C15" s="2" t="s">
        <v>49</v>
      </c>
      <c r="D15" s="2">
        <f>VLOOKUP(B15, 'CSE-Sandeep'!$B$2:$G$61,5)</f>
        <v>50</v>
      </c>
      <c r="E15" s="2">
        <v>35.0</v>
      </c>
      <c r="F15" s="2">
        <f t="shared" si="1"/>
        <v>42.5</v>
      </c>
      <c r="G15" s="2">
        <v>17.0</v>
      </c>
      <c r="H15" s="2">
        <v>17.0</v>
      </c>
      <c r="I15" s="2">
        <v>34.0</v>
      </c>
      <c r="J15" s="3">
        <f t="shared" si="2"/>
        <v>12.27777778</v>
      </c>
      <c r="K15" s="2">
        <v>76.0</v>
      </c>
      <c r="L15" s="2">
        <v>190.0</v>
      </c>
      <c r="N15" s="3">
        <f t="shared" si="3"/>
        <v>190</v>
      </c>
      <c r="O15" s="2">
        <v>89.0</v>
      </c>
      <c r="P15" s="2">
        <f t="shared" si="4"/>
        <v>13</v>
      </c>
      <c r="Q15" s="2">
        <v>7.0</v>
      </c>
      <c r="R15" s="2">
        <v>7.0</v>
      </c>
      <c r="S15" s="2">
        <v>14.0</v>
      </c>
      <c r="T15" s="2">
        <v>0.0</v>
      </c>
      <c r="U15" s="2">
        <v>14.0</v>
      </c>
      <c r="V15" s="2">
        <v>14.0</v>
      </c>
      <c r="W15" s="2">
        <v>0.0</v>
      </c>
      <c r="X15" s="2">
        <v>30.0</v>
      </c>
      <c r="Y15" s="2">
        <v>26.0</v>
      </c>
      <c r="Z15" s="2">
        <v>29.0</v>
      </c>
      <c r="AA15" s="2">
        <v>28.0</v>
      </c>
      <c r="AB15" s="2">
        <f t="shared" si="5"/>
        <v>8.45</v>
      </c>
      <c r="AC15" s="2">
        <v>30.0</v>
      </c>
      <c r="AD15" s="2">
        <v>340.0</v>
      </c>
      <c r="AE15" s="3">
        <f t="shared" si="6"/>
        <v>9.25</v>
      </c>
      <c r="AF15" s="4">
        <f t="shared" si="7"/>
        <v>85.47777778</v>
      </c>
    </row>
    <row r="16">
      <c r="A16" s="1" t="s">
        <v>50</v>
      </c>
      <c r="B16" s="1" t="s">
        <v>51</v>
      </c>
      <c r="C16" s="2" t="s">
        <v>52</v>
      </c>
      <c r="D16" s="2">
        <f>VLOOKUP(B16, 'CSE-Sandeep'!$B$2:$G$61,5)</f>
        <v>38</v>
      </c>
      <c r="E16" s="2">
        <v>19.0</v>
      </c>
      <c r="F16" s="2">
        <f t="shared" si="1"/>
        <v>28.5</v>
      </c>
      <c r="G16" s="2">
        <v>6.0</v>
      </c>
      <c r="H16" s="2">
        <v>6.0</v>
      </c>
      <c r="I16" s="2">
        <v>35.0</v>
      </c>
      <c r="J16" s="3">
        <f t="shared" si="2"/>
        <v>6.888888889</v>
      </c>
      <c r="K16" s="2">
        <v>90.0</v>
      </c>
      <c r="L16" s="2">
        <v>180.0</v>
      </c>
      <c r="N16" s="3">
        <f t="shared" si="3"/>
        <v>180</v>
      </c>
      <c r="O16" s="2">
        <v>89.0</v>
      </c>
      <c r="P16" s="2">
        <f t="shared" si="4"/>
        <v>13.45</v>
      </c>
      <c r="Q16" s="2">
        <v>7.0</v>
      </c>
      <c r="R16" s="2">
        <v>2.0</v>
      </c>
      <c r="S16" s="2">
        <v>15.0</v>
      </c>
      <c r="T16" s="2">
        <v>10.0</v>
      </c>
      <c r="U16" s="2">
        <v>14.0</v>
      </c>
      <c r="V16" s="2">
        <v>14.0</v>
      </c>
      <c r="W16" s="2">
        <v>20.0</v>
      </c>
      <c r="X16" s="2">
        <v>30.0</v>
      </c>
      <c r="Y16" s="2">
        <v>30.0</v>
      </c>
      <c r="Z16" s="2">
        <v>28.0</v>
      </c>
      <c r="AA16" s="2">
        <v>28.0</v>
      </c>
      <c r="AB16" s="2">
        <f t="shared" si="5"/>
        <v>9.9</v>
      </c>
      <c r="AC16" s="2">
        <v>30.0</v>
      </c>
      <c r="AD16" s="2">
        <v>335.0</v>
      </c>
      <c r="AE16" s="3">
        <f t="shared" si="6"/>
        <v>9.125</v>
      </c>
      <c r="AF16" s="4">
        <f t="shared" si="7"/>
        <v>67.86388889</v>
      </c>
    </row>
    <row r="17">
      <c r="A17" s="1" t="s">
        <v>53</v>
      </c>
      <c r="B17" s="1" t="s">
        <v>54</v>
      </c>
      <c r="C17" s="2" t="s">
        <v>56</v>
      </c>
      <c r="D17" s="2">
        <f>VLOOKUP(B17, 'CSE-Sandeep'!$B$2:$G$61,5)</f>
        <v>23</v>
      </c>
      <c r="E17" s="2">
        <v>2.0</v>
      </c>
      <c r="F17" s="2">
        <f t="shared" si="1"/>
        <v>12.5</v>
      </c>
      <c r="G17" s="2">
        <v>7.0</v>
      </c>
      <c r="H17" s="2">
        <v>7.0</v>
      </c>
      <c r="I17" s="2">
        <v>19.0</v>
      </c>
      <c r="J17" s="3">
        <f t="shared" si="2"/>
        <v>5.611111111</v>
      </c>
      <c r="K17" s="2">
        <v>90.0</v>
      </c>
      <c r="L17" s="2">
        <v>180.0</v>
      </c>
      <c r="N17" s="3">
        <f t="shared" si="3"/>
        <v>180</v>
      </c>
      <c r="O17" s="2">
        <v>95.0</v>
      </c>
      <c r="P17" s="2">
        <f t="shared" si="4"/>
        <v>13.75</v>
      </c>
      <c r="Q17" s="2">
        <v>6.0</v>
      </c>
      <c r="R17" s="2">
        <v>7.0</v>
      </c>
      <c r="S17" s="2">
        <v>14.0</v>
      </c>
      <c r="T17" s="2">
        <v>0.0</v>
      </c>
      <c r="U17" s="2">
        <v>14.0</v>
      </c>
      <c r="V17" s="2">
        <v>14.0</v>
      </c>
      <c r="W17" s="2">
        <v>20.0</v>
      </c>
      <c r="X17" s="2">
        <v>30.0</v>
      </c>
      <c r="Y17" s="2">
        <v>30.0</v>
      </c>
      <c r="Z17" s="2">
        <v>28.0</v>
      </c>
      <c r="AA17" s="2">
        <v>28.0</v>
      </c>
      <c r="AB17" s="2">
        <f t="shared" si="5"/>
        <v>9.55</v>
      </c>
      <c r="AC17" s="2">
        <v>50.0</v>
      </c>
      <c r="AD17" s="2">
        <v>340.0</v>
      </c>
      <c r="AE17" s="3">
        <f t="shared" si="6"/>
        <v>9.75</v>
      </c>
      <c r="AF17" s="4">
        <f t="shared" si="7"/>
        <v>51.16111111</v>
      </c>
    </row>
    <row r="18">
      <c r="A18" s="1" t="s">
        <v>57</v>
      </c>
      <c r="B18" s="1" t="s">
        <v>58</v>
      </c>
      <c r="C18" s="2" t="s">
        <v>60</v>
      </c>
      <c r="D18" s="2">
        <f>VLOOKUP(B18, 'CSE-Sandeep'!$B$2:$G$61,5)</f>
        <v>21</v>
      </c>
      <c r="E18" s="2">
        <v>11.0</v>
      </c>
      <c r="F18" s="2">
        <f t="shared" si="1"/>
        <v>16</v>
      </c>
      <c r="G18" s="2">
        <v>6.0</v>
      </c>
      <c r="H18" s="2">
        <v>6.0</v>
      </c>
      <c r="I18" s="2">
        <v>18.0</v>
      </c>
      <c r="J18" s="3">
        <f t="shared" si="2"/>
        <v>5</v>
      </c>
      <c r="K18" s="2">
        <v>87.0</v>
      </c>
      <c r="L18" s="2">
        <v>180.0</v>
      </c>
      <c r="N18" s="3">
        <f t="shared" si="3"/>
        <v>180</v>
      </c>
      <c r="O18" s="2">
        <v>85.0</v>
      </c>
      <c r="P18" s="2">
        <f t="shared" si="4"/>
        <v>13.1</v>
      </c>
      <c r="Q18" s="2">
        <v>5.0</v>
      </c>
      <c r="R18" s="2">
        <v>4.0</v>
      </c>
      <c r="S18" s="2">
        <v>15.0</v>
      </c>
      <c r="T18" s="2">
        <v>5.0</v>
      </c>
      <c r="U18" s="2">
        <v>5.0</v>
      </c>
      <c r="V18" s="2">
        <v>14.0</v>
      </c>
      <c r="W18" s="2">
        <v>0.0</v>
      </c>
      <c r="X18" s="2">
        <v>30.0</v>
      </c>
      <c r="Z18" s="2">
        <v>28.0</v>
      </c>
      <c r="AB18" s="2">
        <f t="shared" si="5"/>
        <v>5.3</v>
      </c>
      <c r="AC18" s="2">
        <v>50.0</v>
      </c>
      <c r="AD18" s="2">
        <v>330.0</v>
      </c>
      <c r="AE18" s="3">
        <f t="shared" si="6"/>
        <v>9.5</v>
      </c>
      <c r="AF18" s="4">
        <f t="shared" si="7"/>
        <v>48.9</v>
      </c>
    </row>
    <row r="19">
      <c r="A19" s="1" t="s">
        <v>61</v>
      </c>
      <c r="B19" s="1" t="s">
        <v>62</v>
      </c>
      <c r="C19" s="2" t="s">
        <v>63</v>
      </c>
      <c r="D19" s="2">
        <f>VLOOKUP(B19, 'CSE-Sandeep'!$B$2:$G$61,5)</f>
        <v>54</v>
      </c>
      <c r="E19" s="2">
        <v>36.0</v>
      </c>
      <c r="F19" s="2">
        <f t="shared" si="1"/>
        <v>45</v>
      </c>
      <c r="G19" s="2">
        <v>20.0</v>
      </c>
      <c r="H19" s="2">
        <v>20.0</v>
      </c>
      <c r="I19" s="2">
        <v>36.0</v>
      </c>
      <c r="J19" s="3">
        <f t="shared" si="2"/>
        <v>14</v>
      </c>
      <c r="K19" s="2">
        <v>100.0</v>
      </c>
      <c r="L19" s="2">
        <v>180.0</v>
      </c>
      <c r="N19" s="3">
        <f t="shared" si="3"/>
        <v>180</v>
      </c>
      <c r="O19" s="2">
        <v>100.0</v>
      </c>
      <c r="P19" s="2">
        <f t="shared" si="4"/>
        <v>14.5</v>
      </c>
      <c r="Q19" s="2">
        <v>7.0</v>
      </c>
      <c r="R19" s="2">
        <v>9.0</v>
      </c>
      <c r="S19" s="2">
        <v>14.0</v>
      </c>
      <c r="T19" s="2">
        <v>8.0</v>
      </c>
      <c r="U19" s="2">
        <v>15.0</v>
      </c>
      <c r="V19" s="2">
        <v>14.0</v>
      </c>
      <c r="W19" s="2">
        <v>20.0</v>
      </c>
      <c r="X19" s="2">
        <v>30.0</v>
      </c>
      <c r="Y19" s="2">
        <v>21.0</v>
      </c>
      <c r="Z19" s="2">
        <v>30.0</v>
      </c>
      <c r="AA19" s="2">
        <v>30.0</v>
      </c>
      <c r="AB19" s="2">
        <f t="shared" si="5"/>
        <v>9.9</v>
      </c>
      <c r="AC19" s="2">
        <v>50.0</v>
      </c>
      <c r="AD19" s="2">
        <v>340.0</v>
      </c>
      <c r="AE19" s="3">
        <f t="shared" si="6"/>
        <v>9.75</v>
      </c>
      <c r="AF19" s="4">
        <f t="shared" si="7"/>
        <v>93.15</v>
      </c>
    </row>
    <row r="20">
      <c r="A20" s="1" t="s">
        <v>64</v>
      </c>
      <c r="B20" s="1" t="s">
        <v>65</v>
      </c>
      <c r="C20" s="2" t="s">
        <v>66</v>
      </c>
      <c r="D20" s="2">
        <f>VLOOKUP(B20, 'CSE-Sandeep'!$B$2:$G$61,5)</f>
        <v>41</v>
      </c>
      <c r="E20" s="2">
        <v>28.0</v>
      </c>
      <c r="F20" s="2">
        <f t="shared" si="1"/>
        <v>34.5</v>
      </c>
      <c r="G20" s="2">
        <v>8.0</v>
      </c>
      <c r="H20" s="2">
        <v>8.0</v>
      </c>
      <c r="I20" s="2">
        <v>29.0</v>
      </c>
      <c r="J20" s="3">
        <f t="shared" si="2"/>
        <v>7.222222222</v>
      </c>
      <c r="K20" s="2">
        <v>80.0</v>
      </c>
      <c r="L20" s="2">
        <v>180.0</v>
      </c>
      <c r="N20" s="3">
        <f t="shared" si="3"/>
        <v>180</v>
      </c>
      <c r="O20" s="2">
        <v>91.0</v>
      </c>
      <c r="P20" s="2">
        <f t="shared" si="4"/>
        <v>13.05</v>
      </c>
      <c r="Q20" s="2">
        <v>6.0</v>
      </c>
      <c r="R20" s="2">
        <v>5.0</v>
      </c>
      <c r="S20" s="2">
        <v>14.0</v>
      </c>
      <c r="T20" s="2">
        <v>8.0</v>
      </c>
      <c r="U20" s="2">
        <v>13.0</v>
      </c>
      <c r="V20" s="2">
        <v>14.0</v>
      </c>
      <c r="W20" s="2">
        <v>19.0</v>
      </c>
      <c r="X20" s="2">
        <v>30.0</v>
      </c>
      <c r="Z20" s="2">
        <v>28.0</v>
      </c>
      <c r="AA20" s="2">
        <v>28.0</v>
      </c>
      <c r="AB20" s="2">
        <f t="shared" si="5"/>
        <v>8.25</v>
      </c>
      <c r="AC20" s="2">
        <v>30.0</v>
      </c>
      <c r="AD20" s="2">
        <v>330.0</v>
      </c>
      <c r="AE20" s="3">
        <f t="shared" si="6"/>
        <v>9</v>
      </c>
      <c r="AF20" s="4">
        <f t="shared" si="7"/>
        <v>72.02222222</v>
      </c>
    </row>
    <row r="21">
      <c r="A21" s="1" t="s">
        <v>67</v>
      </c>
      <c r="B21" s="1" t="s">
        <v>68</v>
      </c>
      <c r="C21" s="2" t="s">
        <v>69</v>
      </c>
      <c r="D21" s="2">
        <f>VLOOKUP(B21, 'CSE-Sandeep'!$B$2:$G$61,5)</f>
        <v>43</v>
      </c>
      <c r="E21" s="2">
        <v>20.0</v>
      </c>
      <c r="F21" s="2">
        <f t="shared" si="1"/>
        <v>31.5</v>
      </c>
      <c r="G21" s="2">
        <v>10.0</v>
      </c>
      <c r="H21" s="2">
        <v>10.0</v>
      </c>
      <c r="I21" s="2">
        <v>20.5</v>
      </c>
      <c r="J21" s="3">
        <f t="shared" si="2"/>
        <v>7.277777778</v>
      </c>
      <c r="K21" s="2">
        <v>80.0</v>
      </c>
      <c r="L21" s="2">
        <v>180.0</v>
      </c>
      <c r="N21" s="3">
        <f t="shared" si="3"/>
        <v>180</v>
      </c>
      <c r="O21" s="2">
        <v>98.0</v>
      </c>
      <c r="P21" s="2">
        <f t="shared" si="4"/>
        <v>13.4</v>
      </c>
      <c r="Q21" s="2">
        <v>7.0</v>
      </c>
      <c r="R21" s="2">
        <v>6.0</v>
      </c>
      <c r="S21" s="2">
        <v>14.0</v>
      </c>
      <c r="T21" s="2">
        <v>8.0</v>
      </c>
      <c r="U21" s="2">
        <v>15.0</v>
      </c>
      <c r="V21" s="2">
        <v>9.0</v>
      </c>
      <c r="W21" s="2">
        <v>20.0</v>
      </c>
      <c r="X21" s="2">
        <v>30.0</v>
      </c>
      <c r="Y21" s="2">
        <v>18.0</v>
      </c>
      <c r="Z21" s="2">
        <v>28.0</v>
      </c>
      <c r="AB21" s="2">
        <f t="shared" si="5"/>
        <v>7.75</v>
      </c>
      <c r="AC21" s="2">
        <v>40.0</v>
      </c>
      <c r="AD21" s="2">
        <v>340.0</v>
      </c>
      <c r="AE21" s="3">
        <f t="shared" si="6"/>
        <v>9.5</v>
      </c>
      <c r="AF21" s="4">
        <f t="shared" si="7"/>
        <v>69.42777778</v>
      </c>
    </row>
    <row r="22">
      <c r="A22" s="1" t="s">
        <v>70</v>
      </c>
      <c r="B22" s="1" t="s">
        <v>71</v>
      </c>
      <c r="C22" s="2" t="s">
        <v>72</v>
      </c>
      <c r="D22" s="2">
        <f>VLOOKUP(B22, 'CSE-Sandeep'!$B$2:$G$61,5)</f>
        <v>43</v>
      </c>
      <c r="E22" s="2">
        <v>37.0</v>
      </c>
      <c r="F22" s="2">
        <f t="shared" si="1"/>
        <v>40</v>
      </c>
      <c r="G22" s="2">
        <v>12.0</v>
      </c>
      <c r="H22" s="2">
        <v>12.0</v>
      </c>
      <c r="I22" s="2">
        <v>25.0</v>
      </c>
      <c r="J22" s="3">
        <f t="shared" si="2"/>
        <v>8.777777778</v>
      </c>
      <c r="K22" s="2">
        <v>90.0</v>
      </c>
      <c r="L22" s="2">
        <v>190.0</v>
      </c>
      <c r="N22" s="3">
        <f t="shared" si="3"/>
        <v>190</v>
      </c>
      <c r="O22" s="2">
        <v>90.0</v>
      </c>
      <c r="P22" s="2">
        <f t="shared" si="4"/>
        <v>13.75</v>
      </c>
      <c r="Q22" s="2">
        <v>7.0</v>
      </c>
      <c r="R22" s="2">
        <v>8.0</v>
      </c>
      <c r="S22" s="2">
        <v>14.0</v>
      </c>
      <c r="T22" s="2">
        <v>12.0</v>
      </c>
      <c r="U22" s="2">
        <v>15.0</v>
      </c>
      <c r="V22" s="2">
        <v>14.0</v>
      </c>
      <c r="W22" s="2">
        <v>20.0</v>
      </c>
      <c r="X22" s="2">
        <v>30.0</v>
      </c>
      <c r="Y22" s="2">
        <v>20.0</v>
      </c>
      <c r="Z22" s="2">
        <v>30.0</v>
      </c>
      <c r="AA22" s="2">
        <v>30.0</v>
      </c>
      <c r="AB22" s="2">
        <f t="shared" si="5"/>
        <v>10</v>
      </c>
      <c r="AD22" s="2">
        <v>340.0</v>
      </c>
      <c r="AE22" s="3">
        <f t="shared" si="6"/>
        <v>8.5</v>
      </c>
      <c r="AF22" s="4">
        <f t="shared" si="7"/>
        <v>81.02777778</v>
      </c>
    </row>
    <row r="23">
      <c r="A23" s="1" t="s">
        <v>73</v>
      </c>
      <c r="B23" s="1" t="s">
        <v>74</v>
      </c>
      <c r="C23" s="2" t="s">
        <v>75</v>
      </c>
      <c r="D23" s="2">
        <f>VLOOKUP(B23, 'CSE-Sandeep'!$B$2:$G$61,5)</f>
        <v>37</v>
      </c>
      <c r="E23" s="2">
        <v>28.0</v>
      </c>
      <c r="F23" s="2">
        <f t="shared" si="1"/>
        <v>32.5</v>
      </c>
      <c r="G23" s="2">
        <v>14.0</v>
      </c>
      <c r="H23" s="2">
        <v>14.0</v>
      </c>
      <c r="I23" s="2">
        <v>40.0</v>
      </c>
      <c r="J23" s="3">
        <f t="shared" si="2"/>
        <v>11.44444444</v>
      </c>
      <c r="K23" s="2">
        <v>95.0</v>
      </c>
      <c r="L23" s="2">
        <v>190.0</v>
      </c>
      <c r="N23" s="3">
        <f t="shared" si="3"/>
        <v>190</v>
      </c>
      <c r="O23" s="2">
        <v>100.0</v>
      </c>
      <c r="P23" s="2">
        <f t="shared" si="4"/>
        <v>14.5</v>
      </c>
      <c r="Q23" s="2">
        <v>6.0</v>
      </c>
      <c r="R23" s="2">
        <v>7.0</v>
      </c>
      <c r="S23" s="2">
        <v>15.0</v>
      </c>
      <c r="T23" s="2">
        <v>10.0</v>
      </c>
      <c r="U23" s="2">
        <v>15.0</v>
      </c>
      <c r="V23" s="2">
        <v>14.0</v>
      </c>
      <c r="W23" s="2">
        <v>17.0</v>
      </c>
      <c r="X23" s="2">
        <v>30.0</v>
      </c>
      <c r="Y23" s="2">
        <v>20.0</v>
      </c>
      <c r="Z23" s="2">
        <v>30.0</v>
      </c>
      <c r="AA23" s="2">
        <v>30.0</v>
      </c>
      <c r="AB23" s="2">
        <f t="shared" si="5"/>
        <v>9.7</v>
      </c>
      <c r="AC23" s="2">
        <v>50.0</v>
      </c>
      <c r="AD23" s="2">
        <v>330.0</v>
      </c>
      <c r="AE23" s="3">
        <f t="shared" si="6"/>
        <v>9.5</v>
      </c>
      <c r="AF23" s="4">
        <f t="shared" si="7"/>
        <v>77.64444444</v>
      </c>
    </row>
    <row r="24">
      <c r="A24" s="1" t="s">
        <v>76</v>
      </c>
      <c r="B24" s="1" t="s">
        <v>77</v>
      </c>
      <c r="C24" s="2" t="s">
        <v>78</v>
      </c>
      <c r="D24" s="2">
        <f>VLOOKUP(B24, 'CSE-Sandeep'!$B$2:$G$61,5)</f>
        <v>45</v>
      </c>
      <c r="E24" s="2">
        <v>36.0</v>
      </c>
      <c r="F24" s="2">
        <f t="shared" si="1"/>
        <v>40.5</v>
      </c>
      <c r="G24" s="2">
        <v>13.0</v>
      </c>
      <c r="H24" s="2">
        <v>13.0</v>
      </c>
      <c r="I24" s="2">
        <v>30.5</v>
      </c>
      <c r="J24" s="3">
        <f t="shared" si="2"/>
        <v>9.888888889</v>
      </c>
      <c r="K24" s="2">
        <v>95.0</v>
      </c>
      <c r="L24" s="2">
        <v>190.0</v>
      </c>
      <c r="N24" s="3">
        <f t="shared" si="3"/>
        <v>190</v>
      </c>
      <c r="O24" s="2">
        <v>100.0</v>
      </c>
      <c r="P24" s="2">
        <f t="shared" si="4"/>
        <v>14.5</v>
      </c>
      <c r="Q24" s="2">
        <v>7.0</v>
      </c>
      <c r="R24" s="2">
        <v>8.0</v>
      </c>
      <c r="S24" s="2">
        <v>15.0</v>
      </c>
      <c r="T24" s="2">
        <v>12.0</v>
      </c>
      <c r="U24" s="2">
        <v>15.0</v>
      </c>
      <c r="V24" s="2">
        <v>14.0</v>
      </c>
      <c r="W24" s="2">
        <v>18.0</v>
      </c>
      <c r="X24" s="2">
        <v>30.0</v>
      </c>
      <c r="Y24" s="2">
        <v>23.0</v>
      </c>
      <c r="Z24" s="2">
        <v>30.0</v>
      </c>
      <c r="AA24" s="2">
        <v>30.0</v>
      </c>
      <c r="AB24" s="2">
        <f t="shared" si="5"/>
        <v>10.1</v>
      </c>
      <c r="AC24" s="2">
        <v>30.0</v>
      </c>
      <c r="AD24" s="2">
        <v>335.0</v>
      </c>
      <c r="AE24" s="3">
        <f t="shared" si="6"/>
        <v>9.125</v>
      </c>
      <c r="AF24" s="4">
        <f t="shared" si="7"/>
        <v>84.11388889</v>
      </c>
    </row>
    <row r="25">
      <c r="A25" s="1" t="s">
        <v>79</v>
      </c>
      <c r="B25" s="1" t="s">
        <v>80</v>
      </c>
      <c r="C25" s="2" t="s">
        <v>81</v>
      </c>
      <c r="D25" s="2">
        <f>VLOOKUP(B25, 'CSE-Sandeep'!$B$2:$G$61,5)</f>
        <v>41</v>
      </c>
      <c r="E25" s="2">
        <v>30.0</v>
      </c>
      <c r="F25" s="2">
        <f t="shared" si="1"/>
        <v>35.5</v>
      </c>
      <c r="G25" s="2">
        <v>7.0</v>
      </c>
      <c r="H25" s="2">
        <v>16.5</v>
      </c>
      <c r="I25" s="2">
        <v>40.0</v>
      </c>
      <c r="J25" s="3">
        <f t="shared" si="2"/>
        <v>10.31944444</v>
      </c>
      <c r="K25" s="2">
        <v>100.0</v>
      </c>
      <c r="L25" s="2">
        <v>200.0</v>
      </c>
      <c r="N25" s="3">
        <f t="shared" si="3"/>
        <v>200</v>
      </c>
      <c r="O25" s="2">
        <v>100.0</v>
      </c>
      <c r="P25" s="2">
        <f t="shared" si="4"/>
        <v>15</v>
      </c>
      <c r="Q25" s="2">
        <v>7.0</v>
      </c>
      <c r="R25" s="2">
        <v>7.0</v>
      </c>
      <c r="S25" s="2">
        <v>15.0</v>
      </c>
      <c r="T25" s="2">
        <v>11.0</v>
      </c>
      <c r="U25" s="2">
        <v>15.0</v>
      </c>
      <c r="V25" s="2">
        <v>15.0</v>
      </c>
      <c r="W25" s="2">
        <v>18.0</v>
      </c>
      <c r="X25" s="2">
        <v>30.0</v>
      </c>
      <c r="Y25" s="2">
        <v>30.0</v>
      </c>
      <c r="Z25" s="2">
        <v>30.0</v>
      </c>
      <c r="AA25" s="2">
        <v>30.0</v>
      </c>
      <c r="AB25" s="2">
        <f t="shared" si="5"/>
        <v>10.4</v>
      </c>
      <c r="AC25" s="2">
        <v>50.0</v>
      </c>
      <c r="AD25" s="2">
        <v>340.0</v>
      </c>
      <c r="AE25" s="3">
        <f t="shared" si="6"/>
        <v>9.75</v>
      </c>
      <c r="AF25" s="4">
        <f t="shared" si="7"/>
        <v>80.96944444</v>
      </c>
    </row>
    <row r="26">
      <c r="A26" s="1" t="s">
        <v>82</v>
      </c>
      <c r="B26" s="1" t="s">
        <v>83</v>
      </c>
      <c r="C26" s="2" t="s">
        <v>84</v>
      </c>
      <c r="D26" s="2">
        <f>VLOOKUP(B26, 'CSE-Sandeep'!$B$2:$G$61,5)</f>
        <v>50</v>
      </c>
      <c r="E26" s="2">
        <v>30.0</v>
      </c>
      <c r="F26" s="2">
        <f t="shared" si="1"/>
        <v>40</v>
      </c>
      <c r="G26" s="2">
        <v>12.0</v>
      </c>
      <c r="H26" s="2">
        <v>14.5</v>
      </c>
      <c r="I26" s="2">
        <v>28.0</v>
      </c>
      <c r="J26" s="3">
        <f t="shared" si="2"/>
        <v>9.736111111</v>
      </c>
      <c r="K26" s="2">
        <v>100.0</v>
      </c>
      <c r="L26" s="2">
        <v>170.0</v>
      </c>
      <c r="M26" s="2">
        <v>195.0</v>
      </c>
      <c r="N26" s="3">
        <f t="shared" si="3"/>
        <v>195</v>
      </c>
      <c r="P26" s="2">
        <f t="shared" si="4"/>
        <v>9.875</v>
      </c>
      <c r="Q26" s="2">
        <v>7.0</v>
      </c>
      <c r="R26" s="2">
        <v>5.0</v>
      </c>
      <c r="S26" s="2">
        <v>7.5</v>
      </c>
      <c r="T26" s="2">
        <v>4.0</v>
      </c>
      <c r="U26" s="2">
        <v>10.0</v>
      </c>
      <c r="V26" s="2">
        <v>15.0</v>
      </c>
      <c r="W26" s="2">
        <v>16.0</v>
      </c>
      <c r="X26" s="2">
        <v>30.0</v>
      </c>
      <c r="Y26" s="2">
        <v>30.0</v>
      </c>
      <c r="Z26" s="2">
        <v>29.0</v>
      </c>
      <c r="AA26" s="2">
        <v>28.0</v>
      </c>
      <c r="AB26" s="2">
        <f t="shared" si="5"/>
        <v>9.075</v>
      </c>
      <c r="AC26" s="2">
        <v>50.0</v>
      </c>
      <c r="AD26" s="2">
        <v>300.0</v>
      </c>
      <c r="AE26" s="3">
        <f t="shared" si="6"/>
        <v>8.75</v>
      </c>
      <c r="AF26" s="4">
        <f t="shared" si="7"/>
        <v>77.43611111</v>
      </c>
    </row>
    <row r="27">
      <c r="A27" s="1" t="s">
        <v>85</v>
      </c>
      <c r="B27" s="1" t="s">
        <v>86</v>
      </c>
      <c r="C27" s="2" t="s">
        <v>87</v>
      </c>
      <c r="D27" s="2">
        <f>VLOOKUP(B27, 'CSE-Sandeep'!$B$2:$G$61,5)</f>
        <v>47</v>
      </c>
      <c r="E27" s="2">
        <v>31.0</v>
      </c>
      <c r="F27" s="2">
        <f t="shared" si="1"/>
        <v>39</v>
      </c>
      <c r="G27" s="2">
        <v>16.5</v>
      </c>
      <c r="H27" s="2">
        <v>16.0</v>
      </c>
      <c r="I27" s="2">
        <v>33.0</v>
      </c>
      <c r="J27" s="3">
        <f t="shared" si="2"/>
        <v>11.79166667</v>
      </c>
      <c r="K27" s="2">
        <v>100.0</v>
      </c>
      <c r="L27" s="2">
        <v>153.0</v>
      </c>
      <c r="N27" s="3">
        <f t="shared" si="3"/>
        <v>153</v>
      </c>
      <c r="O27" s="2">
        <v>98.0</v>
      </c>
      <c r="P27" s="2">
        <f t="shared" si="4"/>
        <v>13.725</v>
      </c>
      <c r="R27" s="2">
        <v>5.0</v>
      </c>
      <c r="S27" s="2">
        <v>15.0</v>
      </c>
      <c r="T27" s="2">
        <v>11.0</v>
      </c>
      <c r="U27" s="2">
        <v>11.0</v>
      </c>
      <c r="V27" s="2">
        <v>15.0</v>
      </c>
      <c r="W27" s="2">
        <v>20.0</v>
      </c>
      <c r="X27" s="2">
        <v>30.0</v>
      </c>
      <c r="Y27" s="2">
        <v>30.0</v>
      </c>
      <c r="Z27" s="2">
        <v>30.0</v>
      </c>
      <c r="AA27" s="2">
        <v>30.0</v>
      </c>
      <c r="AB27" s="2">
        <f t="shared" si="5"/>
        <v>9.85</v>
      </c>
      <c r="AC27" s="2">
        <v>50.0</v>
      </c>
      <c r="AD27" s="2">
        <v>350.0</v>
      </c>
      <c r="AE27" s="3">
        <f t="shared" si="6"/>
        <v>10</v>
      </c>
      <c r="AF27" s="4">
        <f t="shared" si="7"/>
        <v>84.36666667</v>
      </c>
    </row>
    <row r="28">
      <c r="A28" s="1" t="s">
        <v>88</v>
      </c>
      <c r="B28" s="1" t="s">
        <v>89</v>
      </c>
      <c r="C28" s="2" t="s">
        <v>90</v>
      </c>
      <c r="D28" s="2">
        <f>VLOOKUP(B28, 'CSE-Sandeep'!$B$2:$G$61,5)</f>
        <v>36</v>
      </c>
      <c r="E28" s="2">
        <v>29.0</v>
      </c>
      <c r="F28" s="2">
        <f t="shared" si="1"/>
        <v>32.5</v>
      </c>
      <c r="G28" s="2">
        <v>16.0</v>
      </c>
      <c r="H28" s="2">
        <v>13.5</v>
      </c>
      <c r="I28" s="2">
        <v>35.0</v>
      </c>
      <c r="J28" s="3">
        <f t="shared" si="2"/>
        <v>11.26388889</v>
      </c>
      <c r="K28" s="2">
        <v>100.0</v>
      </c>
      <c r="L28" s="2">
        <v>200.0</v>
      </c>
      <c r="N28" s="3">
        <f t="shared" si="3"/>
        <v>200</v>
      </c>
      <c r="O28" s="2">
        <v>96.0</v>
      </c>
      <c r="P28" s="2">
        <f t="shared" si="4"/>
        <v>14.8</v>
      </c>
      <c r="Q28" s="2">
        <v>7.0</v>
      </c>
      <c r="R28" s="2">
        <v>7.0</v>
      </c>
      <c r="S28" s="2">
        <v>10.0</v>
      </c>
      <c r="T28" s="2">
        <v>12.0</v>
      </c>
      <c r="U28" s="2">
        <v>14.0</v>
      </c>
      <c r="V28" s="2">
        <v>15.0</v>
      </c>
      <c r="W28" s="2">
        <v>20.0</v>
      </c>
      <c r="X28" s="2">
        <v>30.0</v>
      </c>
      <c r="Y28" s="2">
        <v>30.0</v>
      </c>
      <c r="Z28" s="2">
        <v>29.0</v>
      </c>
      <c r="AA28" s="2">
        <v>30.0</v>
      </c>
      <c r="AB28" s="2">
        <f t="shared" si="5"/>
        <v>10.2</v>
      </c>
      <c r="AC28" s="2">
        <v>30.0</v>
      </c>
      <c r="AD28" s="2">
        <v>330.0</v>
      </c>
      <c r="AE28" s="3">
        <f t="shared" si="6"/>
        <v>9</v>
      </c>
      <c r="AF28" s="4">
        <f t="shared" si="7"/>
        <v>77.76388889</v>
      </c>
    </row>
    <row r="29">
      <c r="A29" s="1" t="s">
        <v>91</v>
      </c>
      <c r="B29" s="1" t="s">
        <v>92</v>
      </c>
      <c r="C29" s="2" t="s">
        <v>93</v>
      </c>
      <c r="D29" s="2">
        <f>VLOOKUP(B29, 'CSE-Sandeep'!$B$2:$G$61,5)</f>
        <v>47</v>
      </c>
      <c r="E29" s="2">
        <v>27.0</v>
      </c>
      <c r="F29" s="2">
        <f t="shared" si="1"/>
        <v>37</v>
      </c>
      <c r="G29" s="2">
        <v>15.0</v>
      </c>
      <c r="H29" s="2">
        <v>15.0</v>
      </c>
      <c r="I29" s="2">
        <v>35.0</v>
      </c>
      <c r="J29" s="3">
        <f t="shared" si="2"/>
        <v>11.38888889</v>
      </c>
      <c r="K29" s="2">
        <v>100.0</v>
      </c>
      <c r="L29" s="2">
        <v>195.0</v>
      </c>
      <c r="N29" s="3">
        <f t="shared" si="3"/>
        <v>195</v>
      </c>
      <c r="O29" s="2">
        <v>98.0</v>
      </c>
      <c r="P29" s="2">
        <f t="shared" si="4"/>
        <v>14.775</v>
      </c>
      <c r="Q29" s="2">
        <v>6.0</v>
      </c>
      <c r="R29" s="2">
        <v>6.0</v>
      </c>
      <c r="S29" s="2">
        <v>11.5</v>
      </c>
      <c r="T29" s="2">
        <v>8.0</v>
      </c>
      <c r="U29" s="2">
        <v>15.0</v>
      </c>
      <c r="V29" s="2">
        <v>14.0</v>
      </c>
      <c r="W29" s="2">
        <v>20.0</v>
      </c>
      <c r="X29" s="2">
        <v>29.0</v>
      </c>
      <c r="Y29" s="2">
        <v>30.0</v>
      </c>
      <c r="Z29" s="2">
        <v>30.0</v>
      </c>
      <c r="AA29" s="2">
        <v>30.0</v>
      </c>
      <c r="AB29" s="2">
        <f t="shared" si="5"/>
        <v>9.975</v>
      </c>
      <c r="AC29" s="2">
        <v>50.0</v>
      </c>
      <c r="AD29" s="2">
        <v>330.0</v>
      </c>
      <c r="AE29" s="3">
        <f t="shared" si="6"/>
        <v>9.5</v>
      </c>
      <c r="AF29" s="4">
        <f t="shared" si="7"/>
        <v>82.63888889</v>
      </c>
    </row>
    <row r="30">
      <c r="A30" s="1" t="s">
        <v>94</v>
      </c>
      <c r="B30" s="1" t="s">
        <v>95</v>
      </c>
      <c r="C30" s="2" t="s">
        <v>97</v>
      </c>
      <c r="D30" s="2">
        <f>VLOOKUP(B30, 'CSE-Sandeep'!$B$2:$G$61,5)</f>
        <v>18</v>
      </c>
      <c r="E30" s="2">
        <v>4.0</v>
      </c>
      <c r="F30" s="2">
        <f t="shared" si="1"/>
        <v>11</v>
      </c>
      <c r="G30" s="2">
        <v>3.5</v>
      </c>
      <c r="H30" s="2">
        <v>8.5</v>
      </c>
      <c r="I30" s="2">
        <v>30.0</v>
      </c>
      <c r="J30" s="3">
        <f t="shared" si="2"/>
        <v>6.333333333</v>
      </c>
      <c r="K30" s="2">
        <v>85.0</v>
      </c>
      <c r="L30" s="2">
        <v>145.0</v>
      </c>
      <c r="N30" s="3">
        <f t="shared" si="3"/>
        <v>145</v>
      </c>
      <c r="O30" s="2">
        <v>100.0</v>
      </c>
      <c r="P30" s="2">
        <f t="shared" si="4"/>
        <v>12.875</v>
      </c>
      <c r="Q30" s="2">
        <v>6.0</v>
      </c>
      <c r="R30" s="2">
        <v>6.0</v>
      </c>
      <c r="S30" s="2">
        <v>7.0</v>
      </c>
      <c r="T30" s="2">
        <v>11.0</v>
      </c>
      <c r="U30" s="2">
        <v>2.0</v>
      </c>
      <c r="V30" s="2">
        <v>8.0</v>
      </c>
      <c r="W30" s="2">
        <v>20.0</v>
      </c>
      <c r="X30" s="2">
        <v>30.0</v>
      </c>
      <c r="Y30" s="2">
        <v>30.0</v>
      </c>
      <c r="Z30" s="2">
        <v>28.0</v>
      </c>
      <c r="AA30" s="2">
        <v>28.0</v>
      </c>
      <c r="AB30" s="2">
        <f t="shared" si="5"/>
        <v>8.8</v>
      </c>
      <c r="AC30" s="2">
        <v>40.0</v>
      </c>
      <c r="AD30" s="2">
        <v>350.0</v>
      </c>
      <c r="AE30" s="3">
        <f t="shared" si="6"/>
        <v>9.75</v>
      </c>
      <c r="AF30" s="4">
        <f t="shared" si="7"/>
        <v>48.75833333</v>
      </c>
    </row>
    <row r="31">
      <c r="A31" s="1" t="s">
        <v>98</v>
      </c>
      <c r="B31" s="1" t="s">
        <v>99</v>
      </c>
      <c r="C31" s="2" t="s">
        <v>100</v>
      </c>
      <c r="D31" s="2">
        <f>VLOOKUP(B31, 'CSE-Sandeep'!$B$2:$G$61,5)</f>
        <v>53</v>
      </c>
      <c r="E31" s="2">
        <v>31.0</v>
      </c>
      <c r="F31" s="2">
        <f t="shared" si="1"/>
        <v>42</v>
      </c>
      <c r="G31" s="2">
        <v>16.0</v>
      </c>
      <c r="H31" s="2">
        <v>17.0</v>
      </c>
      <c r="I31" s="2">
        <v>40.0</v>
      </c>
      <c r="J31" s="3">
        <f t="shared" si="2"/>
        <v>12.69444444</v>
      </c>
      <c r="K31" s="2">
        <v>100.0</v>
      </c>
      <c r="L31" s="2">
        <v>80.0</v>
      </c>
      <c r="N31" s="3">
        <f t="shared" si="3"/>
        <v>80</v>
      </c>
      <c r="O31" s="2">
        <v>90.0</v>
      </c>
      <c r="P31" s="2">
        <f t="shared" si="4"/>
        <v>11.5</v>
      </c>
      <c r="Q31" s="2">
        <v>7.0</v>
      </c>
      <c r="R31" s="2">
        <v>4.0</v>
      </c>
      <c r="S31" s="2">
        <v>13.0</v>
      </c>
      <c r="T31" s="2">
        <v>7.0</v>
      </c>
      <c r="U31" s="2">
        <v>14.0</v>
      </c>
      <c r="V31" s="2">
        <v>15.0</v>
      </c>
      <c r="W31" s="2">
        <v>20.0</v>
      </c>
      <c r="X31" s="2">
        <v>29.0</v>
      </c>
      <c r="Y31" s="2">
        <v>0.0</v>
      </c>
      <c r="Z31" s="2">
        <v>28.0</v>
      </c>
      <c r="AA31" s="2">
        <v>28.0</v>
      </c>
      <c r="AB31" s="2">
        <f t="shared" si="5"/>
        <v>8.25</v>
      </c>
      <c r="AC31" s="2">
        <v>50.0</v>
      </c>
      <c r="AD31" s="2">
        <v>350.0</v>
      </c>
      <c r="AE31" s="3">
        <f t="shared" si="6"/>
        <v>10</v>
      </c>
      <c r="AF31" s="4">
        <f t="shared" si="7"/>
        <v>84.44444444</v>
      </c>
    </row>
    <row r="32">
      <c r="A32" s="1" t="s">
        <v>101</v>
      </c>
      <c r="B32" s="1" t="s">
        <v>102</v>
      </c>
      <c r="C32" s="2" t="s">
        <v>103</v>
      </c>
      <c r="D32" s="2">
        <f>VLOOKUP(B32, 'CSE-Sandeep'!$B$2:$G$61,5)</f>
        <v>47</v>
      </c>
      <c r="E32" s="2">
        <v>33.0</v>
      </c>
      <c r="F32" s="2">
        <f t="shared" si="1"/>
        <v>40</v>
      </c>
      <c r="G32" s="2">
        <v>10.5</v>
      </c>
      <c r="H32" s="2">
        <v>15.0</v>
      </c>
      <c r="I32" s="2">
        <v>40.0</v>
      </c>
      <c r="J32" s="3">
        <f t="shared" si="2"/>
        <v>10.81944444</v>
      </c>
      <c r="K32" s="2">
        <v>100.0</v>
      </c>
      <c r="L32" s="2">
        <v>200.0</v>
      </c>
      <c r="N32" s="3">
        <f t="shared" si="3"/>
        <v>200</v>
      </c>
      <c r="O32" s="2">
        <v>98.0</v>
      </c>
      <c r="P32" s="2">
        <f t="shared" si="4"/>
        <v>14.9</v>
      </c>
      <c r="Q32" s="2">
        <v>7.0</v>
      </c>
      <c r="R32" s="2">
        <v>6.0</v>
      </c>
      <c r="S32" s="2">
        <v>8.0</v>
      </c>
      <c r="T32" s="2">
        <v>3.0</v>
      </c>
      <c r="U32" s="2">
        <v>14.0</v>
      </c>
      <c r="V32" s="2">
        <v>13.0</v>
      </c>
      <c r="W32" s="2">
        <v>18.0</v>
      </c>
      <c r="X32" s="2">
        <v>29.0</v>
      </c>
      <c r="Y32" s="2">
        <v>30.0</v>
      </c>
      <c r="Z32" s="2">
        <v>29.0</v>
      </c>
      <c r="AA32" s="2">
        <v>30.0</v>
      </c>
      <c r="AB32" s="2">
        <f t="shared" si="5"/>
        <v>9.35</v>
      </c>
      <c r="AC32" s="2">
        <v>40.0</v>
      </c>
      <c r="AD32" s="2">
        <v>350.0</v>
      </c>
      <c r="AE32" s="3">
        <f t="shared" si="6"/>
        <v>9.75</v>
      </c>
      <c r="AF32" s="4">
        <f t="shared" si="7"/>
        <v>84.81944444</v>
      </c>
    </row>
    <row r="33">
      <c r="A33" s="1" t="s">
        <v>104</v>
      </c>
      <c r="B33" s="1" t="s">
        <v>105</v>
      </c>
      <c r="C33" s="2" t="s">
        <v>106</v>
      </c>
      <c r="D33" s="2">
        <f>VLOOKUP(B33, 'CSE-Sandeep'!$B$2:$G$61,5)</f>
        <v>44</v>
      </c>
      <c r="E33" s="2">
        <v>29.0</v>
      </c>
      <c r="F33" s="2">
        <f t="shared" si="1"/>
        <v>36.5</v>
      </c>
      <c r="G33" s="2">
        <v>15.0</v>
      </c>
      <c r="H33" s="2">
        <v>11.0</v>
      </c>
      <c r="I33" s="2">
        <v>34.0</v>
      </c>
      <c r="J33" s="3">
        <f t="shared" si="2"/>
        <v>10.27777778</v>
      </c>
      <c r="K33" s="2">
        <v>100.0</v>
      </c>
      <c r="L33" s="2">
        <v>184.0</v>
      </c>
      <c r="N33" s="3">
        <f t="shared" si="3"/>
        <v>184</v>
      </c>
      <c r="O33" s="2">
        <v>100.0</v>
      </c>
      <c r="P33" s="2">
        <f t="shared" si="4"/>
        <v>14.6</v>
      </c>
      <c r="Q33" s="2">
        <v>6.0</v>
      </c>
      <c r="R33" s="2">
        <v>8.0</v>
      </c>
      <c r="S33" s="2">
        <v>14.0</v>
      </c>
      <c r="T33" s="2">
        <v>12.0</v>
      </c>
      <c r="U33" s="2">
        <v>15.0</v>
      </c>
      <c r="V33" s="2">
        <v>15.0</v>
      </c>
      <c r="W33" s="2">
        <v>20.0</v>
      </c>
      <c r="X33" s="2">
        <v>30.0</v>
      </c>
      <c r="Y33" s="2">
        <v>30.0</v>
      </c>
      <c r="Z33" s="2">
        <v>30.0</v>
      </c>
      <c r="AA33" s="2">
        <v>29.0</v>
      </c>
      <c r="AB33" s="2">
        <f t="shared" si="5"/>
        <v>10.45</v>
      </c>
      <c r="AC33" s="2">
        <v>50.0</v>
      </c>
      <c r="AD33" s="2">
        <v>350.0</v>
      </c>
      <c r="AE33" s="3">
        <f t="shared" si="6"/>
        <v>10</v>
      </c>
      <c r="AF33" s="4">
        <f t="shared" si="7"/>
        <v>81.82777778</v>
      </c>
    </row>
    <row r="34">
      <c r="A34" s="1" t="s">
        <v>107</v>
      </c>
      <c r="B34" s="1" t="s">
        <v>108</v>
      </c>
      <c r="C34" s="2" t="s">
        <v>109</v>
      </c>
      <c r="D34" s="2">
        <f>VLOOKUP(B34, 'CSE-Sandeep'!$B$2:$G$61,5)</f>
        <v>35</v>
      </c>
      <c r="E34" s="2">
        <v>33.0</v>
      </c>
      <c r="F34" s="2">
        <f t="shared" si="1"/>
        <v>34</v>
      </c>
      <c r="G34" s="2">
        <v>10.0</v>
      </c>
      <c r="H34" s="2">
        <v>11.0</v>
      </c>
      <c r="I34" s="2">
        <v>25.0</v>
      </c>
      <c r="J34" s="3">
        <f t="shared" si="2"/>
        <v>8.027777778</v>
      </c>
      <c r="K34" s="2">
        <v>100.0</v>
      </c>
      <c r="L34" s="2">
        <v>170.0</v>
      </c>
      <c r="N34" s="3">
        <f t="shared" si="3"/>
        <v>170</v>
      </c>
      <c r="O34" s="2">
        <v>97.0</v>
      </c>
      <c r="P34" s="2">
        <f t="shared" si="4"/>
        <v>14.1</v>
      </c>
      <c r="Q34" s="2">
        <v>5.0</v>
      </c>
      <c r="R34" s="2">
        <v>5.0</v>
      </c>
      <c r="S34" s="2">
        <v>12.0</v>
      </c>
      <c r="T34" s="2">
        <v>8.0</v>
      </c>
      <c r="U34" s="2">
        <v>9.0</v>
      </c>
      <c r="V34" s="2">
        <v>8.0</v>
      </c>
      <c r="W34" s="2">
        <v>12.0</v>
      </c>
      <c r="X34" s="2">
        <v>28.0</v>
      </c>
      <c r="Y34" s="2">
        <v>30.0</v>
      </c>
      <c r="Z34" s="2">
        <v>29.0</v>
      </c>
      <c r="AB34" s="2">
        <f t="shared" si="5"/>
        <v>7.3</v>
      </c>
      <c r="AC34" s="2">
        <v>40.0</v>
      </c>
      <c r="AD34" s="2">
        <v>330.0</v>
      </c>
      <c r="AE34" s="3">
        <f t="shared" si="6"/>
        <v>9.25</v>
      </c>
      <c r="AF34" s="4">
        <f t="shared" si="7"/>
        <v>72.67777778</v>
      </c>
    </row>
    <row r="35">
      <c r="A35" s="1" t="s">
        <v>110</v>
      </c>
      <c r="B35" s="1" t="s">
        <v>111</v>
      </c>
      <c r="C35" s="2" t="s">
        <v>112</v>
      </c>
      <c r="D35" s="2">
        <f>VLOOKUP(B35, 'CSE-Sandeep'!$B$2:$G$61,5)</f>
        <v>35</v>
      </c>
      <c r="E35" s="2">
        <v>21.0</v>
      </c>
      <c r="F35" s="2">
        <f t="shared" si="1"/>
        <v>28</v>
      </c>
      <c r="G35" s="2">
        <v>11.5</v>
      </c>
      <c r="H35" s="2">
        <v>4.5</v>
      </c>
      <c r="I35" s="2">
        <v>17.5</v>
      </c>
      <c r="J35" s="3">
        <f t="shared" si="2"/>
        <v>5.944444444</v>
      </c>
      <c r="K35" s="2">
        <v>90.0</v>
      </c>
      <c r="L35" s="2">
        <v>96.0</v>
      </c>
      <c r="N35" s="3">
        <f t="shared" si="3"/>
        <v>96</v>
      </c>
      <c r="O35" s="2">
        <v>95.0</v>
      </c>
      <c r="P35" s="2">
        <f t="shared" si="4"/>
        <v>11.65</v>
      </c>
      <c r="Q35" s="2">
        <v>4.0</v>
      </c>
      <c r="R35" s="2">
        <v>2.0</v>
      </c>
      <c r="S35" s="2">
        <v>14.0</v>
      </c>
      <c r="T35" s="2">
        <v>8.0</v>
      </c>
      <c r="U35" s="2">
        <v>11.0</v>
      </c>
      <c r="V35" s="2">
        <v>8.0</v>
      </c>
      <c r="W35" s="2">
        <v>8.0</v>
      </c>
      <c r="X35" s="2">
        <v>28.0</v>
      </c>
      <c r="Y35" s="2">
        <v>26.0</v>
      </c>
      <c r="Z35" s="2">
        <v>30.0</v>
      </c>
      <c r="AA35" s="2">
        <v>28.0</v>
      </c>
      <c r="AB35" s="2">
        <f t="shared" si="5"/>
        <v>8.35</v>
      </c>
      <c r="AC35" s="2">
        <v>50.0</v>
      </c>
      <c r="AD35" s="2">
        <v>330.0</v>
      </c>
      <c r="AE35" s="3">
        <f t="shared" si="6"/>
        <v>9.5</v>
      </c>
      <c r="AF35" s="4">
        <f t="shared" si="7"/>
        <v>63.44444444</v>
      </c>
    </row>
    <row r="36">
      <c r="A36" s="1" t="s">
        <v>113</v>
      </c>
      <c r="B36" s="1" t="s">
        <v>114</v>
      </c>
      <c r="C36" s="2" t="s">
        <v>115</v>
      </c>
      <c r="D36" s="2">
        <f>VLOOKUP(B36, 'CSE-Sandeep'!$B$2:$G$61,5)</f>
        <v>52</v>
      </c>
      <c r="E36" s="2">
        <v>38.0</v>
      </c>
      <c r="F36" s="2">
        <f t="shared" si="1"/>
        <v>45</v>
      </c>
      <c r="G36" s="2">
        <v>10.0</v>
      </c>
      <c r="H36" s="2">
        <v>19.0</v>
      </c>
      <c r="I36" s="2">
        <v>30.0</v>
      </c>
      <c r="J36" s="3">
        <f t="shared" si="2"/>
        <v>10.58333333</v>
      </c>
      <c r="K36" s="2">
        <v>100.0</v>
      </c>
      <c r="L36" s="2">
        <v>200.0</v>
      </c>
      <c r="N36" s="3">
        <f t="shared" si="3"/>
        <v>200</v>
      </c>
      <c r="O36" s="2">
        <v>100.0</v>
      </c>
      <c r="P36" s="2">
        <f t="shared" si="4"/>
        <v>15</v>
      </c>
      <c r="Q36" s="2">
        <v>7.0</v>
      </c>
      <c r="R36" s="2">
        <v>7.0</v>
      </c>
      <c r="S36" s="2">
        <v>15.0</v>
      </c>
      <c r="T36" s="2">
        <v>11.0</v>
      </c>
      <c r="U36" s="2">
        <v>14.0</v>
      </c>
      <c r="V36" s="2">
        <v>15.0</v>
      </c>
      <c r="W36" s="2">
        <v>20.0</v>
      </c>
      <c r="X36" s="2">
        <v>29.0</v>
      </c>
      <c r="Y36" s="2">
        <v>25.0</v>
      </c>
      <c r="Z36" s="2">
        <v>30.0</v>
      </c>
      <c r="AA36" s="2">
        <v>30.0</v>
      </c>
      <c r="AB36" s="2">
        <f t="shared" si="5"/>
        <v>10.15</v>
      </c>
      <c r="AC36" s="2">
        <v>45.0</v>
      </c>
      <c r="AD36" s="2">
        <v>350.0</v>
      </c>
      <c r="AE36" s="3">
        <f t="shared" si="6"/>
        <v>9.875</v>
      </c>
      <c r="AF36" s="4">
        <f t="shared" si="7"/>
        <v>90.60833333</v>
      </c>
    </row>
    <row r="37">
      <c r="A37" s="1" t="s">
        <v>116</v>
      </c>
      <c r="B37" s="1" t="s">
        <v>117</v>
      </c>
      <c r="C37" s="2" t="s">
        <v>118</v>
      </c>
      <c r="D37" s="2">
        <f>VLOOKUP(B37, 'CSE-Sandeep'!$B$2:$G$61,5)</f>
        <v>44</v>
      </c>
      <c r="E37" s="2">
        <v>32.0</v>
      </c>
      <c r="F37" s="2">
        <f t="shared" si="1"/>
        <v>38</v>
      </c>
      <c r="G37" s="2">
        <v>12.0</v>
      </c>
      <c r="H37" s="2">
        <v>12.0</v>
      </c>
      <c r="I37" s="2">
        <v>21.0</v>
      </c>
      <c r="J37" s="3">
        <f t="shared" si="2"/>
        <v>8.333333333</v>
      </c>
      <c r="K37" s="2">
        <v>100.0</v>
      </c>
      <c r="L37" s="2">
        <v>180.0</v>
      </c>
      <c r="N37" s="3">
        <f t="shared" si="3"/>
        <v>180</v>
      </c>
      <c r="O37" s="2">
        <v>94.0</v>
      </c>
      <c r="P37" s="2">
        <f t="shared" si="4"/>
        <v>14.2</v>
      </c>
      <c r="Q37" s="2">
        <v>0.0</v>
      </c>
      <c r="R37" s="2">
        <v>6.0</v>
      </c>
      <c r="S37" s="2">
        <v>10.5</v>
      </c>
      <c r="T37" s="2">
        <v>9.0</v>
      </c>
      <c r="U37" s="2">
        <v>15.0</v>
      </c>
      <c r="V37" s="2">
        <v>15.0</v>
      </c>
      <c r="W37" s="2">
        <v>19.0</v>
      </c>
      <c r="X37" s="2">
        <v>26.0</v>
      </c>
      <c r="Y37" s="2">
        <v>27.0</v>
      </c>
      <c r="Z37" s="2">
        <v>29.0</v>
      </c>
      <c r="AA37" s="2">
        <v>27.0</v>
      </c>
      <c r="AB37" s="2">
        <f t="shared" si="5"/>
        <v>9.175</v>
      </c>
      <c r="AC37" s="2">
        <v>50.0</v>
      </c>
      <c r="AD37" s="2">
        <v>340.0</v>
      </c>
      <c r="AE37" s="3">
        <f t="shared" si="6"/>
        <v>9.75</v>
      </c>
      <c r="AF37" s="4">
        <f t="shared" si="7"/>
        <v>79.45833333</v>
      </c>
    </row>
    <row r="38">
      <c r="A38" s="1" t="s">
        <v>119</v>
      </c>
      <c r="B38" s="1" t="s">
        <v>120</v>
      </c>
      <c r="C38" s="2" t="s">
        <v>121</v>
      </c>
      <c r="D38" s="2">
        <f>VLOOKUP(B38, 'CSE-Sandeep'!$B$2:$G$61,5)</f>
        <v>44</v>
      </c>
      <c r="E38" s="2">
        <v>36.0</v>
      </c>
      <c r="F38" s="2">
        <f t="shared" si="1"/>
        <v>40</v>
      </c>
      <c r="G38" s="2">
        <v>15.0</v>
      </c>
      <c r="H38" s="2">
        <v>11.0</v>
      </c>
      <c r="I38" s="2">
        <v>36.0</v>
      </c>
      <c r="J38" s="3">
        <f t="shared" si="2"/>
        <v>10.5</v>
      </c>
      <c r="K38" s="2">
        <v>100.0</v>
      </c>
      <c r="L38" s="2">
        <v>187.0</v>
      </c>
      <c r="N38" s="3">
        <f t="shared" si="3"/>
        <v>187</v>
      </c>
      <c r="O38" s="2">
        <v>89.0</v>
      </c>
      <c r="P38" s="2">
        <f t="shared" si="4"/>
        <v>14.125</v>
      </c>
      <c r="Q38" s="2">
        <v>7.0</v>
      </c>
      <c r="R38" s="2">
        <v>10.0</v>
      </c>
      <c r="S38" s="2">
        <v>14.0</v>
      </c>
      <c r="T38" s="2">
        <v>8.0</v>
      </c>
      <c r="U38" s="2">
        <v>12.0</v>
      </c>
      <c r="V38" s="2">
        <v>15.0</v>
      </c>
      <c r="W38" s="2">
        <v>17.0</v>
      </c>
      <c r="X38" s="2">
        <v>28.0</v>
      </c>
      <c r="Y38" s="2">
        <v>26.0</v>
      </c>
      <c r="Z38" s="2">
        <v>29.0</v>
      </c>
      <c r="AA38" s="2">
        <v>30.0</v>
      </c>
      <c r="AB38" s="2">
        <f t="shared" si="5"/>
        <v>9.8</v>
      </c>
      <c r="AC38" s="2">
        <v>50.0</v>
      </c>
      <c r="AD38" s="2">
        <v>350.0</v>
      </c>
      <c r="AE38" s="3">
        <f t="shared" si="6"/>
        <v>10</v>
      </c>
      <c r="AF38" s="4">
        <f t="shared" si="7"/>
        <v>84.425</v>
      </c>
    </row>
    <row r="39">
      <c r="A39" s="1" t="s">
        <v>122</v>
      </c>
      <c r="B39" s="1" t="s">
        <v>123</v>
      </c>
      <c r="C39" s="2" t="s">
        <v>124</v>
      </c>
      <c r="D39" s="2">
        <f>VLOOKUP(B39, 'CSE-Sandeep'!$B$2:$G$61,5)</f>
        <v>50</v>
      </c>
      <c r="E39" s="2">
        <v>29.0</v>
      </c>
      <c r="F39" s="2">
        <f t="shared" si="1"/>
        <v>39.5</v>
      </c>
      <c r="G39" s="2">
        <v>15.0</v>
      </c>
      <c r="H39" s="2">
        <v>10.0</v>
      </c>
      <c r="I39" s="2">
        <v>36.0</v>
      </c>
      <c r="J39" s="3">
        <f t="shared" si="2"/>
        <v>10.25</v>
      </c>
      <c r="K39" s="2">
        <v>85.0</v>
      </c>
      <c r="L39" s="2">
        <v>195.0</v>
      </c>
      <c r="N39" s="3">
        <f t="shared" si="3"/>
        <v>195</v>
      </c>
      <c r="O39" s="2">
        <v>100.0</v>
      </c>
      <c r="P39" s="2">
        <f t="shared" si="4"/>
        <v>14.125</v>
      </c>
      <c r="Q39" s="2">
        <v>7.0</v>
      </c>
      <c r="R39" s="2">
        <v>9.0</v>
      </c>
      <c r="S39" s="2">
        <v>12.0</v>
      </c>
      <c r="T39" s="2">
        <v>11.0</v>
      </c>
      <c r="U39" s="2">
        <v>15.0</v>
      </c>
      <c r="V39" s="2">
        <v>15.0</v>
      </c>
      <c r="W39" s="2">
        <v>20.0</v>
      </c>
      <c r="X39" s="2">
        <v>30.0</v>
      </c>
      <c r="Y39" s="2">
        <v>28.0</v>
      </c>
      <c r="Z39" s="2">
        <v>30.0</v>
      </c>
      <c r="AA39" s="2">
        <v>30.0</v>
      </c>
      <c r="AB39" s="2">
        <f t="shared" si="5"/>
        <v>10.35</v>
      </c>
      <c r="AC39" s="2">
        <v>30.0</v>
      </c>
      <c r="AD39" s="2">
        <v>330.0</v>
      </c>
      <c r="AE39" s="3">
        <f t="shared" si="6"/>
        <v>9</v>
      </c>
      <c r="AF39" s="4">
        <f t="shared" si="7"/>
        <v>83.225</v>
      </c>
    </row>
    <row r="40">
      <c r="A40" s="1" t="s">
        <v>125</v>
      </c>
      <c r="B40" s="1" t="s">
        <v>126</v>
      </c>
      <c r="C40" s="2" t="s">
        <v>127</v>
      </c>
      <c r="D40" s="2">
        <f>VLOOKUP(B40, 'CSE-Sandeep'!$B$2:$G$61,5)</f>
        <v>53</v>
      </c>
      <c r="E40" s="2">
        <v>32.0</v>
      </c>
      <c r="F40" s="2">
        <f t="shared" si="1"/>
        <v>42.5</v>
      </c>
      <c r="G40" s="2">
        <v>14.0</v>
      </c>
      <c r="H40" s="2">
        <v>20.0</v>
      </c>
      <c r="I40" s="2">
        <v>43.0</v>
      </c>
      <c r="J40" s="3">
        <f t="shared" si="2"/>
        <v>13.27777778</v>
      </c>
      <c r="K40" s="2">
        <v>100.0</v>
      </c>
      <c r="L40" s="2">
        <v>195.0</v>
      </c>
      <c r="N40" s="3">
        <f t="shared" si="3"/>
        <v>195</v>
      </c>
      <c r="O40" s="2">
        <v>90.0</v>
      </c>
      <c r="P40" s="2">
        <f t="shared" si="4"/>
        <v>14.375</v>
      </c>
      <c r="Q40" s="2">
        <v>7.0</v>
      </c>
      <c r="R40" s="2">
        <v>7.0</v>
      </c>
      <c r="S40" s="2">
        <v>13.0</v>
      </c>
      <c r="T40" s="2">
        <v>10.0</v>
      </c>
      <c r="U40" s="2">
        <v>14.0</v>
      </c>
      <c r="V40" s="2">
        <v>11.0</v>
      </c>
      <c r="W40" s="2">
        <v>20.0</v>
      </c>
      <c r="X40" s="2">
        <v>25.0</v>
      </c>
      <c r="Y40" s="2">
        <v>27.0</v>
      </c>
      <c r="Z40" s="2">
        <v>29.0</v>
      </c>
      <c r="AA40" s="2">
        <v>28.0</v>
      </c>
      <c r="AB40" s="2">
        <f t="shared" si="5"/>
        <v>9.55</v>
      </c>
      <c r="AC40" s="2">
        <v>0.0</v>
      </c>
      <c r="AD40" s="2">
        <v>330.0</v>
      </c>
      <c r="AE40" s="3">
        <f t="shared" si="6"/>
        <v>8.25</v>
      </c>
      <c r="AF40" s="4">
        <f t="shared" si="7"/>
        <v>87.95277778</v>
      </c>
    </row>
    <row r="41">
      <c r="A41" s="1" t="s">
        <v>128</v>
      </c>
      <c r="B41" s="1" t="s">
        <v>129</v>
      </c>
      <c r="C41" s="2" t="s">
        <v>130</v>
      </c>
      <c r="D41" s="2">
        <f>VLOOKUP(B41, 'CSE-Sandeep'!$B$2:$G$61,5)</f>
        <v>27</v>
      </c>
      <c r="E41" s="2">
        <v>14.0</v>
      </c>
      <c r="F41" s="2">
        <f t="shared" si="1"/>
        <v>20.5</v>
      </c>
      <c r="G41" s="2">
        <v>5.0</v>
      </c>
      <c r="H41" s="2">
        <v>7.0</v>
      </c>
      <c r="I41" s="2">
        <v>16.0</v>
      </c>
      <c r="J41" s="3">
        <f t="shared" si="2"/>
        <v>4.777777778</v>
      </c>
      <c r="K41" s="2">
        <v>100.0</v>
      </c>
      <c r="L41" s="2">
        <v>80.0</v>
      </c>
      <c r="N41" s="3">
        <f t="shared" si="3"/>
        <v>80</v>
      </c>
      <c r="O41" s="2">
        <v>96.0</v>
      </c>
      <c r="P41" s="2">
        <f t="shared" si="4"/>
        <v>11.8</v>
      </c>
      <c r="Q41" s="2">
        <v>5.0</v>
      </c>
      <c r="R41" s="2">
        <v>3.0</v>
      </c>
      <c r="S41" s="2">
        <v>9.5</v>
      </c>
      <c r="T41" s="2">
        <v>0.0</v>
      </c>
      <c r="U41" s="2">
        <v>8.0</v>
      </c>
      <c r="V41" s="2">
        <v>9.0</v>
      </c>
      <c r="W41" s="2">
        <v>15.0</v>
      </c>
      <c r="X41" s="2">
        <v>24.0</v>
      </c>
      <c r="Y41" s="2">
        <v>28.0</v>
      </c>
      <c r="Z41" s="2">
        <v>29.0</v>
      </c>
      <c r="AA41" s="2">
        <v>29.0</v>
      </c>
      <c r="AB41" s="2">
        <f t="shared" si="5"/>
        <v>7.975</v>
      </c>
      <c r="AC41" s="2">
        <v>50.0</v>
      </c>
      <c r="AD41" s="2">
        <v>350.0</v>
      </c>
      <c r="AE41" s="3">
        <f t="shared" si="6"/>
        <v>10</v>
      </c>
      <c r="AF41" s="4">
        <f t="shared" si="7"/>
        <v>55.05277778</v>
      </c>
    </row>
    <row r="42">
      <c r="A42" s="1" t="s">
        <v>131</v>
      </c>
      <c r="B42" s="1" t="s">
        <v>132</v>
      </c>
      <c r="C42" s="2" t="s">
        <v>133</v>
      </c>
      <c r="D42" s="2">
        <f>VLOOKUP(B42, 'CSE-Sandeep'!$B$2:$G$61,5)</f>
        <v>57</v>
      </c>
      <c r="E42" s="2">
        <v>38.0</v>
      </c>
      <c r="F42" s="2">
        <f t="shared" si="1"/>
        <v>47.5</v>
      </c>
      <c r="G42" s="2">
        <v>17.0</v>
      </c>
      <c r="H42" s="2">
        <v>19.0</v>
      </c>
      <c r="I42" s="2">
        <v>40.0</v>
      </c>
      <c r="J42" s="3">
        <f t="shared" si="2"/>
        <v>13.44444444</v>
      </c>
      <c r="K42" s="2">
        <v>100.0</v>
      </c>
      <c r="L42" s="2">
        <v>200.0</v>
      </c>
      <c r="N42" s="3">
        <f t="shared" si="3"/>
        <v>200</v>
      </c>
      <c r="O42" s="2">
        <v>100.0</v>
      </c>
      <c r="P42" s="2">
        <f t="shared" si="4"/>
        <v>15</v>
      </c>
      <c r="Q42" s="2">
        <v>6.0</v>
      </c>
      <c r="R42" s="2">
        <v>9.0</v>
      </c>
      <c r="S42" s="2">
        <v>14.0</v>
      </c>
      <c r="T42" s="2">
        <v>11.0</v>
      </c>
      <c r="U42" s="2">
        <v>15.0</v>
      </c>
      <c r="V42" s="2">
        <v>15.0</v>
      </c>
      <c r="W42" s="2">
        <v>20.0</v>
      </c>
      <c r="X42" s="2">
        <v>30.0</v>
      </c>
      <c r="Y42" s="2">
        <v>28.0</v>
      </c>
      <c r="Z42" s="2">
        <v>30.0</v>
      </c>
      <c r="AA42" s="2">
        <v>30.0</v>
      </c>
      <c r="AB42" s="2">
        <f t="shared" si="5"/>
        <v>10.4</v>
      </c>
      <c r="AC42" s="2">
        <v>50.0</v>
      </c>
      <c r="AD42" s="2">
        <v>350.0</v>
      </c>
      <c r="AE42" s="3">
        <f t="shared" si="6"/>
        <v>10</v>
      </c>
      <c r="AF42" s="4">
        <f t="shared" si="7"/>
        <v>96.34444444</v>
      </c>
    </row>
    <row r="43">
      <c r="A43" s="1" t="s">
        <v>134</v>
      </c>
      <c r="B43" s="1" t="s">
        <v>135</v>
      </c>
      <c r="C43" s="2" t="s">
        <v>136</v>
      </c>
      <c r="D43" s="2">
        <f>VLOOKUP(B43, 'CSE-Sandeep'!$B$2:$G$61,5)</f>
        <v>27</v>
      </c>
      <c r="E43" s="2">
        <v>21.0</v>
      </c>
      <c r="F43" s="2">
        <f t="shared" si="1"/>
        <v>24</v>
      </c>
      <c r="G43" s="2">
        <v>5.0</v>
      </c>
      <c r="H43" s="2">
        <v>5.5</v>
      </c>
      <c r="I43" s="2">
        <v>18.5</v>
      </c>
      <c r="J43" s="3">
        <f t="shared" si="2"/>
        <v>4.680555556</v>
      </c>
      <c r="K43" s="2">
        <v>100.0</v>
      </c>
      <c r="L43" s="2">
        <v>200.0</v>
      </c>
      <c r="N43" s="3">
        <f t="shared" si="3"/>
        <v>200</v>
      </c>
      <c r="O43" s="2">
        <v>80.0</v>
      </c>
      <c r="P43" s="2">
        <f t="shared" si="4"/>
        <v>14</v>
      </c>
      <c r="Q43" s="2">
        <v>4.0</v>
      </c>
      <c r="R43" s="2">
        <v>2.0</v>
      </c>
      <c r="S43" s="2">
        <v>11.0</v>
      </c>
      <c r="T43" s="2">
        <v>11.0</v>
      </c>
      <c r="U43" s="2">
        <v>0.0</v>
      </c>
      <c r="V43" s="2">
        <v>11.0</v>
      </c>
      <c r="W43" s="2">
        <v>16.0</v>
      </c>
      <c r="X43" s="2">
        <v>24.0</v>
      </c>
      <c r="Z43" s="2">
        <v>28.0</v>
      </c>
      <c r="AB43" s="2">
        <f t="shared" si="5"/>
        <v>5.35</v>
      </c>
      <c r="AC43" s="2">
        <v>50.0</v>
      </c>
      <c r="AD43" s="2">
        <v>350.0</v>
      </c>
      <c r="AE43" s="3">
        <f t="shared" si="6"/>
        <v>10</v>
      </c>
      <c r="AF43" s="4">
        <f t="shared" si="7"/>
        <v>58.03055556</v>
      </c>
    </row>
    <row r="44">
      <c r="A44" s="1" t="s">
        <v>137</v>
      </c>
      <c r="B44" s="1" t="s">
        <v>138</v>
      </c>
      <c r="C44" s="2" t="s">
        <v>139</v>
      </c>
      <c r="D44" s="2">
        <f>VLOOKUP(B44, 'CSE-Sandeep'!$B$2:$G$61,5)</f>
        <v>52</v>
      </c>
      <c r="E44" s="2">
        <v>36.0</v>
      </c>
      <c r="F44" s="2">
        <f t="shared" si="1"/>
        <v>44</v>
      </c>
      <c r="G44" s="2">
        <v>17.0</v>
      </c>
      <c r="H44" s="2">
        <v>18.0</v>
      </c>
      <c r="I44" s="2">
        <v>38.0</v>
      </c>
      <c r="J44" s="3">
        <f t="shared" si="2"/>
        <v>12.97222222</v>
      </c>
      <c r="K44" s="2">
        <v>100.0</v>
      </c>
      <c r="L44" s="2">
        <v>200.0</v>
      </c>
      <c r="N44" s="3">
        <f t="shared" si="3"/>
        <v>200</v>
      </c>
      <c r="O44" s="2">
        <v>96.0</v>
      </c>
      <c r="P44" s="2">
        <f t="shared" si="4"/>
        <v>14.8</v>
      </c>
      <c r="Q44" s="2">
        <v>7.0</v>
      </c>
      <c r="R44" s="2">
        <v>10.0</v>
      </c>
      <c r="S44" s="2">
        <v>9.0</v>
      </c>
      <c r="T44" s="2">
        <v>7.0</v>
      </c>
      <c r="U44" s="2">
        <v>12.0</v>
      </c>
      <c r="V44" s="2">
        <v>15.0</v>
      </c>
      <c r="W44" s="2">
        <v>20.0</v>
      </c>
      <c r="X44" s="2">
        <v>28.0</v>
      </c>
      <c r="Y44" s="2">
        <v>26.0</v>
      </c>
      <c r="Z44" s="2">
        <v>30.0</v>
      </c>
      <c r="AB44" s="2">
        <f t="shared" si="5"/>
        <v>8.2</v>
      </c>
      <c r="AC44" s="2">
        <v>50.0</v>
      </c>
      <c r="AD44" s="2">
        <v>350.0</v>
      </c>
      <c r="AE44" s="3">
        <f t="shared" si="6"/>
        <v>10</v>
      </c>
      <c r="AF44" s="4">
        <f t="shared" si="7"/>
        <v>89.97222222</v>
      </c>
    </row>
    <row r="45">
      <c r="A45" s="1" t="s">
        <v>140</v>
      </c>
      <c r="B45" s="1" t="s">
        <v>141</v>
      </c>
      <c r="C45" s="2" t="s">
        <v>142</v>
      </c>
      <c r="D45" s="2">
        <f>VLOOKUP(B45, 'CSE-Sandeep'!$B$2:$G$61,5)</f>
        <v>48</v>
      </c>
      <c r="E45" s="2">
        <v>27.0</v>
      </c>
      <c r="F45" s="2">
        <f t="shared" si="1"/>
        <v>37.5</v>
      </c>
      <c r="G45" s="2">
        <v>6.0</v>
      </c>
      <c r="H45" s="2">
        <v>11.0</v>
      </c>
      <c r="I45" s="2">
        <v>30.5</v>
      </c>
      <c r="J45" s="3">
        <f t="shared" si="2"/>
        <v>7.638888889</v>
      </c>
      <c r="K45" s="2">
        <v>70.0</v>
      </c>
      <c r="L45" s="2">
        <v>198.0</v>
      </c>
      <c r="N45" s="3">
        <f t="shared" si="3"/>
        <v>198</v>
      </c>
      <c r="O45" s="2">
        <v>90.0</v>
      </c>
      <c r="P45" s="2">
        <f t="shared" si="4"/>
        <v>12.95</v>
      </c>
      <c r="Q45" s="2">
        <v>7.0</v>
      </c>
      <c r="R45" s="2">
        <v>10.0</v>
      </c>
      <c r="T45" s="2">
        <v>8.0</v>
      </c>
      <c r="U45" s="2">
        <v>14.0</v>
      </c>
      <c r="W45" s="2">
        <v>20.0</v>
      </c>
      <c r="X45" s="2">
        <v>26.0</v>
      </c>
      <c r="Y45" s="2">
        <v>28.0</v>
      </c>
      <c r="Z45" s="2">
        <v>30.0</v>
      </c>
      <c r="AA45" s="2">
        <v>28.0</v>
      </c>
      <c r="AB45" s="2">
        <f t="shared" si="5"/>
        <v>8.55</v>
      </c>
      <c r="AC45" s="2">
        <v>10.0</v>
      </c>
      <c r="AD45" s="2">
        <v>280.0</v>
      </c>
      <c r="AE45" s="3">
        <f t="shared" si="6"/>
        <v>7.25</v>
      </c>
      <c r="AF45" s="4">
        <f t="shared" si="7"/>
        <v>73.88888889</v>
      </c>
    </row>
    <row r="46">
      <c r="A46" s="1" t="s">
        <v>143</v>
      </c>
      <c r="B46" s="1" t="s">
        <v>144</v>
      </c>
      <c r="C46" s="2" t="s">
        <v>145</v>
      </c>
      <c r="D46" s="2">
        <f>VLOOKUP(B46, 'CSE-Sandeep'!$B$2:$G$61,5)</f>
        <v>15</v>
      </c>
      <c r="E46" s="2">
        <v>6.0</v>
      </c>
      <c r="F46" s="2">
        <f t="shared" si="1"/>
        <v>10.5</v>
      </c>
      <c r="G46" s="2">
        <v>5.0</v>
      </c>
      <c r="H46" s="2">
        <v>15.0</v>
      </c>
      <c r="I46" s="2">
        <v>20.0</v>
      </c>
      <c r="J46" s="3">
        <f t="shared" si="2"/>
        <v>7.222222222</v>
      </c>
      <c r="K46" s="2">
        <v>100.0</v>
      </c>
      <c r="L46" s="2">
        <v>180.0</v>
      </c>
      <c r="N46" s="3">
        <f t="shared" si="3"/>
        <v>180</v>
      </c>
      <c r="O46" s="2">
        <v>92.0</v>
      </c>
      <c r="P46" s="2">
        <f t="shared" si="4"/>
        <v>14.1</v>
      </c>
      <c r="R46" s="2">
        <v>0.0</v>
      </c>
      <c r="T46" s="2">
        <v>11.0</v>
      </c>
      <c r="U46" s="2">
        <v>12.0</v>
      </c>
      <c r="V46" s="2">
        <v>15.0</v>
      </c>
      <c r="W46" s="2">
        <v>18.0</v>
      </c>
      <c r="X46" s="2">
        <v>26.0</v>
      </c>
      <c r="Y46" s="2">
        <v>25.0</v>
      </c>
      <c r="Z46" s="2">
        <v>28.0</v>
      </c>
      <c r="AA46" s="2">
        <v>28.0</v>
      </c>
      <c r="AB46" s="2">
        <f t="shared" si="5"/>
        <v>8.15</v>
      </c>
      <c r="AC46" s="2">
        <v>40.0</v>
      </c>
      <c r="AD46" s="2">
        <v>310.0</v>
      </c>
      <c r="AE46" s="3">
        <f t="shared" si="6"/>
        <v>8.75</v>
      </c>
      <c r="AF46" s="4">
        <f t="shared" si="7"/>
        <v>48.72222222</v>
      </c>
    </row>
    <row r="47">
      <c r="A47" s="1" t="s">
        <v>146</v>
      </c>
      <c r="B47" s="1" t="s">
        <v>147</v>
      </c>
      <c r="C47" s="2" t="s">
        <v>148</v>
      </c>
      <c r="D47" s="2">
        <f>VLOOKUP(B47, 'CSE-Sandeep'!$B$2:$G$61,5)</f>
        <v>50</v>
      </c>
      <c r="E47" s="2">
        <v>33.0</v>
      </c>
      <c r="F47" s="2">
        <f t="shared" si="1"/>
        <v>41.5</v>
      </c>
      <c r="G47" s="2">
        <v>7.0</v>
      </c>
      <c r="H47" s="2">
        <v>16.5</v>
      </c>
      <c r="J47" s="3">
        <f t="shared" si="2"/>
        <v>5.875</v>
      </c>
      <c r="K47" s="2">
        <v>100.0</v>
      </c>
      <c r="L47" s="2">
        <v>180.0</v>
      </c>
      <c r="M47" s="2">
        <v>195.0</v>
      </c>
      <c r="N47" s="3">
        <f t="shared" si="3"/>
        <v>195</v>
      </c>
      <c r="O47" s="2">
        <v>88.0</v>
      </c>
      <c r="P47" s="2">
        <f t="shared" si="4"/>
        <v>14.275</v>
      </c>
      <c r="Q47" s="2">
        <v>7.0</v>
      </c>
      <c r="R47" s="2">
        <v>8.0</v>
      </c>
      <c r="T47" s="2">
        <v>9.0</v>
      </c>
      <c r="U47" s="2">
        <v>15.0</v>
      </c>
      <c r="V47" s="2">
        <v>15.0</v>
      </c>
      <c r="W47" s="2">
        <v>18.0</v>
      </c>
      <c r="X47" s="2">
        <v>23.0</v>
      </c>
      <c r="Y47" s="2">
        <v>28.0</v>
      </c>
      <c r="Z47" s="2">
        <v>28.0</v>
      </c>
      <c r="AA47" s="2">
        <v>27.0</v>
      </c>
      <c r="AB47" s="2">
        <f t="shared" si="5"/>
        <v>8.9</v>
      </c>
      <c r="AC47" s="2">
        <v>50.0</v>
      </c>
      <c r="AD47" s="2">
        <v>310.0</v>
      </c>
      <c r="AE47" s="3">
        <f t="shared" si="6"/>
        <v>9</v>
      </c>
      <c r="AF47" s="4">
        <f t="shared" si="7"/>
        <v>79.55</v>
      </c>
    </row>
    <row r="48">
      <c r="A48" s="1" t="s">
        <v>149</v>
      </c>
      <c r="B48" s="1" t="s">
        <v>150</v>
      </c>
      <c r="C48" s="2" t="s">
        <v>151</v>
      </c>
      <c r="D48" s="2">
        <f>VLOOKUP(B48, 'CSE-Sandeep'!$B$2:$G$61,5)</f>
        <v>43</v>
      </c>
      <c r="E48" s="2">
        <v>26.0</v>
      </c>
      <c r="F48" s="2">
        <f t="shared" si="1"/>
        <v>34.5</v>
      </c>
      <c r="G48" s="2">
        <v>2.0</v>
      </c>
      <c r="H48" s="2">
        <v>8.5</v>
      </c>
      <c r="I48" s="2">
        <v>32.0</v>
      </c>
      <c r="J48" s="3">
        <f t="shared" si="2"/>
        <v>6.180555556</v>
      </c>
      <c r="K48" s="2">
        <v>100.0</v>
      </c>
      <c r="L48" s="2">
        <v>174.0</v>
      </c>
      <c r="N48" s="3">
        <f t="shared" si="3"/>
        <v>174</v>
      </c>
      <c r="O48" s="2">
        <v>92.0</v>
      </c>
      <c r="P48" s="2">
        <f t="shared" si="4"/>
        <v>13.95</v>
      </c>
      <c r="Q48" s="2">
        <v>7.0</v>
      </c>
      <c r="R48" s="2">
        <v>3.0</v>
      </c>
      <c r="T48" s="2">
        <v>12.0</v>
      </c>
      <c r="U48" s="2">
        <v>15.0</v>
      </c>
      <c r="V48" s="2">
        <v>15.0</v>
      </c>
      <c r="W48" s="2">
        <v>20.0</v>
      </c>
      <c r="X48" s="2">
        <v>28.0</v>
      </c>
      <c r="Y48" s="2">
        <v>30.0</v>
      </c>
      <c r="Z48" s="2">
        <v>28.0</v>
      </c>
      <c r="AA48" s="2">
        <v>28.0</v>
      </c>
      <c r="AB48" s="2">
        <f t="shared" si="5"/>
        <v>9.3</v>
      </c>
      <c r="AC48" s="2">
        <v>0.0</v>
      </c>
      <c r="AD48" s="2">
        <v>315.0</v>
      </c>
      <c r="AE48" s="3">
        <f t="shared" si="6"/>
        <v>7.875</v>
      </c>
      <c r="AF48" s="4">
        <f t="shared" si="7"/>
        <v>71.80555556</v>
      </c>
    </row>
    <row r="49">
      <c r="A49" s="1" t="s">
        <v>152</v>
      </c>
      <c r="B49" s="1" t="s">
        <v>153</v>
      </c>
      <c r="C49" s="2" t="s">
        <v>154</v>
      </c>
      <c r="D49" s="2">
        <f>VLOOKUP(B49, 'CSE-Sandeep'!$B$2:$G$61,5)</f>
        <v>46</v>
      </c>
      <c r="E49" s="2">
        <v>27.0</v>
      </c>
      <c r="F49" s="2">
        <f t="shared" si="1"/>
        <v>36.5</v>
      </c>
      <c r="G49" s="2">
        <v>7.0</v>
      </c>
      <c r="H49" s="2">
        <v>14.0</v>
      </c>
      <c r="I49" s="2">
        <v>31.5</v>
      </c>
      <c r="J49" s="3">
        <f t="shared" si="2"/>
        <v>8.75</v>
      </c>
      <c r="K49" s="2">
        <v>100.0</v>
      </c>
      <c r="L49" s="2">
        <v>180.0</v>
      </c>
      <c r="N49" s="3">
        <f t="shared" si="3"/>
        <v>180</v>
      </c>
      <c r="O49" s="2">
        <v>90.0</v>
      </c>
      <c r="P49" s="2">
        <f t="shared" si="4"/>
        <v>14</v>
      </c>
      <c r="Q49" s="2">
        <v>6.0</v>
      </c>
      <c r="R49" s="2">
        <v>7.0</v>
      </c>
      <c r="T49" s="2">
        <v>10.0</v>
      </c>
      <c r="U49" s="2">
        <v>15.0</v>
      </c>
      <c r="V49" s="2">
        <v>14.0</v>
      </c>
      <c r="W49" s="2">
        <v>20.0</v>
      </c>
      <c r="X49" s="2">
        <v>26.0</v>
      </c>
      <c r="Y49" s="2">
        <v>25.0</v>
      </c>
      <c r="Z49" s="2">
        <v>29.0</v>
      </c>
      <c r="AA49" s="2">
        <v>28.0</v>
      </c>
      <c r="AB49" s="2">
        <f t="shared" si="5"/>
        <v>9</v>
      </c>
      <c r="AC49" s="2">
        <v>40.0</v>
      </c>
      <c r="AD49" s="2">
        <v>310.0</v>
      </c>
      <c r="AE49" s="3">
        <f t="shared" si="6"/>
        <v>8.75</v>
      </c>
      <c r="AF49" s="4">
        <f t="shared" si="7"/>
        <v>77</v>
      </c>
    </row>
    <row r="50">
      <c r="A50" s="1" t="s">
        <v>155</v>
      </c>
      <c r="B50" s="1" t="s">
        <v>156</v>
      </c>
      <c r="C50" s="2" t="s">
        <v>157</v>
      </c>
      <c r="D50" s="2">
        <f>VLOOKUP(B50, 'CSE-Sandeep'!$B$2:$G$61,5)</f>
        <v>48</v>
      </c>
      <c r="E50" s="2">
        <v>36.0</v>
      </c>
      <c r="F50" s="2">
        <f t="shared" si="1"/>
        <v>42</v>
      </c>
      <c r="G50" s="2">
        <v>12.0</v>
      </c>
      <c r="H50" s="2">
        <v>19.5</v>
      </c>
      <c r="I50" s="2">
        <v>35.0</v>
      </c>
      <c r="J50" s="3">
        <f t="shared" si="2"/>
        <v>11.76388889</v>
      </c>
      <c r="K50" s="2">
        <v>100.0</v>
      </c>
      <c r="L50" s="2">
        <v>192.0</v>
      </c>
      <c r="N50" s="3">
        <f t="shared" si="3"/>
        <v>192</v>
      </c>
      <c r="O50" s="2">
        <v>92.0</v>
      </c>
      <c r="P50" s="2">
        <f t="shared" si="4"/>
        <v>14.4</v>
      </c>
      <c r="Q50" s="2">
        <v>6.0</v>
      </c>
      <c r="R50" s="2">
        <v>9.0</v>
      </c>
      <c r="T50" s="2">
        <v>13.0</v>
      </c>
      <c r="U50" s="2">
        <v>15.0</v>
      </c>
      <c r="V50" s="2">
        <v>15.0</v>
      </c>
      <c r="W50" s="2">
        <v>20.0</v>
      </c>
      <c r="X50" s="2">
        <v>30.0</v>
      </c>
      <c r="Y50" s="2">
        <v>30.0</v>
      </c>
      <c r="Z50" s="2">
        <v>30.0</v>
      </c>
      <c r="AA50" s="2">
        <v>30.0</v>
      </c>
      <c r="AB50" s="2">
        <f t="shared" si="5"/>
        <v>9.9</v>
      </c>
      <c r="AC50" s="2">
        <v>20.0</v>
      </c>
      <c r="AD50" s="2">
        <v>320.0</v>
      </c>
      <c r="AE50" s="3">
        <f t="shared" si="6"/>
        <v>8.5</v>
      </c>
      <c r="AF50" s="4">
        <f t="shared" si="7"/>
        <v>86.56388889</v>
      </c>
    </row>
    <row r="51">
      <c r="A51" s="1" t="s">
        <v>158</v>
      </c>
      <c r="B51" s="1" t="s">
        <v>159</v>
      </c>
      <c r="C51" s="2" t="s">
        <v>160</v>
      </c>
      <c r="D51" s="2">
        <f>VLOOKUP(B51, 'CSE-Sandeep'!$B$2:$G$61,5)</f>
        <v>46</v>
      </c>
      <c r="E51" s="2">
        <v>29.0</v>
      </c>
      <c r="F51" s="2">
        <f t="shared" si="1"/>
        <v>37.5</v>
      </c>
      <c r="G51" s="2">
        <v>16.0</v>
      </c>
      <c r="H51" s="2">
        <v>14.0</v>
      </c>
      <c r="I51" s="2">
        <v>25.0</v>
      </c>
      <c r="J51" s="3">
        <f t="shared" si="2"/>
        <v>10.27777778</v>
      </c>
      <c r="K51" s="2">
        <v>100.0</v>
      </c>
      <c r="L51" s="2">
        <v>170.0</v>
      </c>
      <c r="M51" s="2">
        <v>200.0</v>
      </c>
      <c r="N51" s="3">
        <f t="shared" si="3"/>
        <v>200</v>
      </c>
      <c r="O51" s="2">
        <v>90.0</v>
      </c>
      <c r="P51" s="2">
        <f t="shared" si="4"/>
        <v>14.5</v>
      </c>
      <c r="Q51" s="2">
        <v>6.0</v>
      </c>
      <c r="R51" s="2">
        <v>8.0</v>
      </c>
      <c r="T51" s="2">
        <v>11.0</v>
      </c>
      <c r="U51" s="2">
        <v>14.0</v>
      </c>
      <c r="W51" s="2">
        <v>18.0</v>
      </c>
      <c r="X51" s="2">
        <v>27.0</v>
      </c>
      <c r="Y51" s="2">
        <v>28.0</v>
      </c>
      <c r="Z51" s="2">
        <v>30.0</v>
      </c>
      <c r="AA51" s="2">
        <v>30.0</v>
      </c>
      <c r="AB51" s="2">
        <f t="shared" si="5"/>
        <v>8.6</v>
      </c>
      <c r="AC51" s="2">
        <v>50.0</v>
      </c>
      <c r="AD51" s="2">
        <v>315.0</v>
      </c>
      <c r="AE51" s="3">
        <f t="shared" si="6"/>
        <v>9.125</v>
      </c>
      <c r="AF51" s="4">
        <f t="shared" si="7"/>
        <v>80.00277778</v>
      </c>
    </row>
    <row r="52">
      <c r="A52" s="1" t="s">
        <v>161</v>
      </c>
      <c r="B52" s="1" t="s">
        <v>162</v>
      </c>
      <c r="C52" s="2" t="s">
        <v>163</v>
      </c>
      <c r="D52" s="2">
        <f>VLOOKUP(B52, 'CSE-Sandeep'!$B$2:$G$61,5)</f>
        <v>38</v>
      </c>
      <c r="E52" s="2">
        <v>21.0</v>
      </c>
      <c r="F52" s="2">
        <f t="shared" si="1"/>
        <v>29.5</v>
      </c>
      <c r="G52" s="2">
        <v>11.0</v>
      </c>
      <c r="H52" s="2">
        <v>14.0</v>
      </c>
      <c r="I52" s="2">
        <v>8.0</v>
      </c>
      <c r="J52" s="3">
        <f t="shared" si="2"/>
        <v>7.138888889</v>
      </c>
      <c r="K52" s="2">
        <v>100.0</v>
      </c>
      <c r="L52" s="2">
        <v>189.0</v>
      </c>
      <c r="N52" s="3">
        <f t="shared" si="3"/>
        <v>189</v>
      </c>
      <c r="O52" s="2">
        <v>90.0</v>
      </c>
      <c r="P52" s="2">
        <f t="shared" si="4"/>
        <v>14.225</v>
      </c>
      <c r="Q52" s="2">
        <v>7.0</v>
      </c>
      <c r="R52" s="2">
        <v>6.0</v>
      </c>
      <c r="T52" s="2">
        <v>8.0</v>
      </c>
      <c r="U52" s="2">
        <v>13.0</v>
      </c>
      <c r="V52" s="2">
        <v>15.0</v>
      </c>
      <c r="W52" s="2">
        <v>20.0</v>
      </c>
      <c r="X52" s="2">
        <v>28.0</v>
      </c>
      <c r="Y52" s="2">
        <v>26.0</v>
      </c>
      <c r="Z52" s="2">
        <v>28.0</v>
      </c>
      <c r="AA52" s="2">
        <v>28.0</v>
      </c>
      <c r="AB52" s="2">
        <f t="shared" si="5"/>
        <v>8.95</v>
      </c>
      <c r="AC52" s="2">
        <v>0.0</v>
      </c>
      <c r="AD52" s="2">
        <v>320.0</v>
      </c>
      <c r="AE52" s="3">
        <f t="shared" si="6"/>
        <v>8</v>
      </c>
      <c r="AF52" s="4">
        <f t="shared" si="7"/>
        <v>67.81388889</v>
      </c>
    </row>
    <row r="53">
      <c r="A53" s="1" t="s">
        <v>164</v>
      </c>
      <c r="B53" s="1" t="s">
        <v>165</v>
      </c>
      <c r="C53" s="2" t="s">
        <v>166</v>
      </c>
      <c r="D53" s="2">
        <f>VLOOKUP(B53, 'CSE-Sandeep'!$B$2:$G$61,5)</f>
        <v>46</v>
      </c>
      <c r="E53" s="2">
        <v>31.0</v>
      </c>
      <c r="F53" s="2">
        <f t="shared" si="1"/>
        <v>38.5</v>
      </c>
      <c r="G53" s="2">
        <v>16.0</v>
      </c>
      <c r="I53" s="2">
        <v>30.0</v>
      </c>
      <c r="J53" s="3">
        <f t="shared" si="2"/>
        <v>7.333333333</v>
      </c>
      <c r="K53" s="2">
        <v>100.0</v>
      </c>
      <c r="N53" s="3">
        <f t="shared" si="3"/>
        <v>0</v>
      </c>
      <c r="P53" s="2">
        <f t="shared" si="4"/>
        <v>5</v>
      </c>
      <c r="Q53" s="2">
        <v>7.0</v>
      </c>
      <c r="R53" s="2">
        <v>9.0</v>
      </c>
      <c r="T53" s="2">
        <v>9.0</v>
      </c>
      <c r="U53" s="2">
        <v>12.0</v>
      </c>
      <c r="V53" s="2">
        <v>12.0</v>
      </c>
      <c r="W53" s="2">
        <v>16.0</v>
      </c>
      <c r="Z53" s="2">
        <v>30.0</v>
      </c>
      <c r="AB53" s="2">
        <f t="shared" si="5"/>
        <v>4.75</v>
      </c>
      <c r="AC53" s="2">
        <v>10.0</v>
      </c>
      <c r="AE53" s="3">
        <f t="shared" si="6"/>
        <v>0.25</v>
      </c>
      <c r="AF53" s="4">
        <f t="shared" si="7"/>
        <v>55.83333333</v>
      </c>
    </row>
    <row r="54">
      <c r="A54" s="1" t="s">
        <v>167</v>
      </c>
      <c r="B54" s="1" t="s">
        <v>168</v>
      </c>
      <c r="C54" s="2" t="s">
        <v>169</v>
      </c>
      <c r="D54" s="2">
        <f>VLOOKUP(B54, 'CSE-Sandeep'!$B$2:$G$61,5)</f>
        <v>46</v>
      </c>
      <c r="E54" s="2">
        <v>30.0</v>
      </c>
      <c r="F54" s="2">
        <f t="shared" si="1"/>
        <v>38</v>
      </c>
      <c r="G54" s="2">
        <v>10.5</v>
      </c>
      <c r="H54" s="2">
        <v>9.0</v>
      </c>
      <c r="I54" s="2">
        <v>20.0</v>
      </c>
      <c r="J54" s="3">
        <f t="shared" si="2"/>
        <v>7.097222222</v>
      </c>
      <c r="K54" s="2">
        <v>100.0</v>
      </c>
      <c r="L54" s="2">
        <v>179.0</v>
      </c>
      <c r="N54" s="3">
        <f t="shared" si="3"/>
        <v>179</v>
      </c>
      <c r="O54" s="2">
        <v>94.0</v>
      </c>
      <c r="P54" s="2">
        <f t="shared" si="4"/>
        <v>14.175</v>
      </c>
      <c r="Q54" s="2">
        <v>7.0</v>
      </c>
      <c r="R54" s="2">
        <v>6.0</v>
      </c>
      <c r="T54" s="2">
        <v>9.0</v>
      </c>
      <c r="U54" s="2">
        <v>11.0</v>
      </c>
      <c r="V54" s="2">
        <v>15.0</v>
      </c>
      <c r="W54" s="2">
        <v>20.0</v>
      </c>
      <c r="X54" s="2">
        <v>26.0</v>
      </c>
      <c r="Y54" s="2">
        <v>28.0</v>
      </c>
      <c r="Z54" s="2">
        <v>28.0</v>
      </c>
      <c r="AA54" s="2">
        <v>29.0</v>
      </c>
      <c r="AB54" s="2">
        <f t="shared" si="5"/>
        <v>8.95</v>
      </c>
      <c r="AC54" s="2">
        <v>10.0</v>
      </c>
      <c r="AD54" s="2">
        <v>310.0</v>
      </c>
      <c r="AE54" s="3">
        <f t="shared" si="6"/>
        <v>8</v>
      </c>
      <c r="AF54" s="4">
        <f t="shared" si="7"/>
        <v>76.22222222</v>
      </c>
    </row>
    <row r="55">
      <c r="A55" s="1" t="s">
        <v>170</v>
      </c>
      <c r="B55" s="1" t="s">
        <v>171</v>
      </c>
      <c r="C55" s="2" t="s">
        <v>172</v>
      </c>
      <c r="D55" s="2">
        <f>VLOOKUP(B55, 'CSE-Sandeep'!$B$2:$G$61,5)</f>
        <v>41</v>
      </c>
      <c r="E55" s="2">
        <v>21.0</v>
      </c>
      <c r="F55" s="2">
        <f t="shared" si="1"/>
        <v>31</v>
      </c>
      <c r="G55" s="2">
        <v>9.5</v>
      </c>
      <c r="H55" s="2">
        <v>12.0</v>
      </c>
      <c r="I55" s="2">
        <v>30.0</v>
      </c>
      <c r="J55" s="3">
        <f t="shared" si="2"/>
        <v>8.708333333</v>
      </c>
      <c r="K55" s="2">
        <v>100.0</v>
      </c>
      <c r="L55" s="2">
        <v>100.0</v>
      </c>
      <c r="M55" s="2">
        <v>190.0</v>
      </c>
      <c r="N55" s="3">
        <f t="shared" si="3"/>
        <v>190</v>
      </c>
      <c r="P55" s="2">
        <f t="shared" si="4"/>
        <v>9.75</v>
      </c>
      <c r="Q55" s="2">
        <v>6.0</v>
      </c>
      <c r="R55" s="2">
        <v>2.0</v>
      </c>
      <c r="T55" s="2">
        <v>10.0</v>
      </c>
      <c r="V55" s="2">
        <v>10.0</v>
      </c>
      <c r="W55" s="2">
        <v>18.0</v>
      </c>
      <c r="AB55" s="2">
        <f t="shared" si="5"/>
        <v>2.3</v>
      </c>
      <c r="AC55" s="2">
        <v>50.0</v>
      </c>
      <c r="AD55" s="2">
        <v>290.0</v>
      </c>
      <c r="AE55" s="3">
        <f t="shared" si="6"/>
        <v>8.5</v>
      </c>
      <c r="AF55" s="4">
        <f t="shared" si="7"/>
        <v>60.25833333</v>
      </c>
    </row>
    <row r="56">
      <c r="A56" s="1" t="s">
        <v>173</v>
      </c>
      <c r="B56" s="1" t="s">
        <v>174</v>
      </c>
      <c r="C56" s="2" t="s">
        <v>175</v>
      </c>
      <c r="D56" s="2">
        <f>VLOOKUP(B56, 'CSE-Sandeep'!$B$2:$G$61,5)</f>
        <v>40</v>
      </c>
      <c r="E56" s="2">
        <v>38.0</v>
      </c>
      <c r="F56" s="2">
        <f t="shared" si="1"/>
        <v>39</v>
      </c>
      <c r="G56" s="2">
        <v>6.0</v>
      </c>
      <c r="H56" s="2">
        <v>16.0</v>
      </c>
      <c r="I56" s="2">
        <v>33.0</v>
      </c>
      <c r="J56" s="3">
        <f t="shared" si="2"/>
        <v>9.166666667</v>
      </c>
      <c r="K56" s="2">
        <v>100.0</v>
      </c>
      <c r="L56" s="2">
        <v>186.0</v>
      </c>
      <c r="N56" s="3">
        <f t="shared" si="3"/>
        <v>186</v>
      </c>
      <c r="O56" s="2">
        <v>88.0</v>
      </c>
      <c r="P56" s="2">
        <f t="shared" si="4"/>
        <v>14.05</v>
      </c>
      <c r="Q56" s="2">
        <v>7.0</v>
      </c>
      <c r="R56" s="2">
        <v>6.0</v>
      </c>
      <c r="T56" s="2">
        <v>12.0</v>
      </c>
      <c r="U56" s="2">
        <v>14.0</v>
      </c>
      <c r="V56" s="2">
        <v>14.0</v>
      </c>
      <c r="W56" s="2">
        <v>16.0</v>
      </c>
      <c r="X56" s="2">
        <v>24.0</v>
      </c>
      <c r="Y56" s="2">
        <v>26.0</v>
      </c>
      <c r="Z56" s="2">
        <v>28.0</v>
      </c>
      <c r="AA56" s="2">
        <v>29.0</v>
      </c>
      <c r="AB56" s="2">
        <f t="shared" si="5"/>
        <v>8.8</v>
      </c>
      <c r="AC56" s="2">
        <v>0.0</v>
      </c>
      <c r="AD56" s="2">
        <v>300.0</v>
      </c>
      <c r="AE56" s="3">
        <f t="shared" si="6"/>
        <v>7.5</v>
      </c>
      <c r="AF56" s="4">
        <f t="shared" si="7"/>
        <v>78.51666667</v>
      </c>
    </row>
    <row r="57">
      <c r="A57" s="1" t="s">
        <v>176</v>
      </c>
      <c r="B57" s="1" t="s">
        <v>177</v>
      </c>
      <c r="C57" s="2" t="s">
        <v>178</v>
      </c>
      <c r="D57" s="2">
        <f>VLOOKUP(B57, 'CSE-Sandeep'!$B$2:$G$61,5)</f>
        <v>53</v>
      </c>
      <c r="E57" s="2">
        <v>37.0</v>
      </c>
      <c r="F57" s="2">
        <f t="shared" si="1"/>
        <v>45</v>
      </c>
      <c r="G57" s="2">
        <v>14.0</v>
      </c>
      <c r="H57" s="2">
        <v>18.0</v>
      </c>
      <c r="J57" s="3">
        <f t="shared" si="2"/>
        <v>8</v>
      </c>
      <c r="K57" s="2">
        <v>100.0</v>
      </c>
      <c r="L57" s="2">
        <v>198.0</v>
      </c>
      <c r="N57" s="3">
        <f t="shared" si="3"/>
        <v>198</v>
      </c>
      <c r="O57" s="2">
        <v>94.0</v>
      </c>
      <c r="P57" s="2">
        <f t="shared" si="4"/>
        <v>14.65</v>
      </c>
      <c r="Q57" s="2">
        <v>6.0</v>
      </c>
      <c r="R57" s="2">
        <v>8.0</v>
      </c>
      <c r="T57" s="2">
        <v>11.0</v>
      </c>
      <c r="U57" s="2">
        <v>15.0</v>
      </c>
      <c r="V57" s="2">
        <v>15.0</v>
      </c>
      <c r="W57" s="2">
        <v>20.0</v>
      </c>
      <c r="X57" s="2">
        <v>28.0</v>
      </c>
      <c r="Y57" s="2">
        <v>25.0</v>
      </c>
      <c r="Z57" s="2">
        <v>30.0</v>
      </c>
      <c r="AA57" s="2">
        <v>30.0</v>
      </c>
      <c r="AB57" s="2">
        <f t="shared" si="5"/>
        <v>9.4</v>
      </c>
      <c r="AC57" s="2">
        <v>50.0</v>
      </c>
      <c r="AD57" s="2">
        <v>325.0</v>
      </c>
      <c r="AE57" s="3">
        <f t="shared" si="6"/>
        <v>9.375</v>
      </c>
      <c r="AF57" s="4">
        <f t="shared" si="7"/>
        <v>86.425</v>
      </c>
    </row>
    <row r="58">
      <c r="A58" s="1" t="s">
        <v>179</v>
      </c>
      <c r="B58" s="1" t="s">
        <v>180</v>
      </c>
      <c r="C58" s="2" t="s">
        <v>181</v>
      </c>
      <c r="D58" s="2">
        <f>VLOOKUP(B58, 'CSE-Sandeep'!$B$2:$G$61,5)</f>
        <v>54</v>
      </c>
      <c r="E58" s="2">
        <v>36.0</v>
      </c>
      <c r="F58" s="2">
        <f t="shared" si="1"/>
        <v>45</v>
      </c>
      <c r="G58" s="2">
        <v>16.0</v>
      </c>
      <c r="H58" s="2">
        <v>17.0</v>
      </c>
      <c r="I58" s="2">
        <v>27.0</v>
      </c>
      <c r="J58" s="3">
        <f t="shared" si="2"/>
        <v>11.25</v>
      </c>
      <c r="K58" s="2">
        <v>100.0</v>
      </c>
      <c r="L58" s="2">
        <v>190.0</v>
      </c>
      <c r="N58" s="3">
        <f t="shared" si="3"/>
        <v>190</v>
      </c>
      <c r="O58" s="2">
        <v>92.0</v>
      </c>
      <c r="P58" s="2">
        <f t="shared" si="4"/>
        <v>14.35</v>
      </c>
      <c r="Q58" s="2">
        <v>7.0</v>
      </c>
      <c r="R58" s="2">
        <v>6.0</v>
      </c>
      <c r="T58" s="2">
        <v>9.0</v>
      </c>
      <c r="U58" s="2">
        <v>12.0</v>
      </c>
      <c r="V58" s="2">
        <v>15.0</v>
      </c>
      <c r="W58" s="2">
        <v>20.0</v>
      </c>
      <c r="X58" s="2">
        <v>26.0</v>
      </c>
      <c r="Y58" s="2">
        <v>24.0</v>
      </c>
      <c r="Z58" s="2">
        <v>29.0</v>
      </c>
      <c r="AA58" s="2">
        <v>29.0</v>
      </c>
      <c r="AB58" s="2">
        <f t="shared" si="5"/>
        <v>8.85</v>
      </c>
      <c r="AC58" s="2">
        <v>50.0</v>
      </c>
      <c r="AD58" s="2">
        <v>310.0</v>
      </c>
      <c r="AE58" s="3">
        <f t="shared" si="6"/>
        <v>9</v>
      </c>
      <c r="AF58" s="4">
        <f t="shared" si="7"/>
        <v>88.45</v>
      </c>
    </row>
    <row r="59">
      <c r="A59" s="1" t="s">
        <v>182</v>
      </c>
      <c r="B59" s="1" t="s">
        <v>183</v>
      </c>
      <c r="C59" s="2" t="s">
        <v>184</v>
      </c>
      <c r="D59" s="2">
        <f>VLOOKUP(B59, 'CSE-Sandeep'!$B$2:$G$61,5)</f>
        <v>46</v>
      </c>
      <c r="E59" s="2">
        <v>33.0</v>
      </c>
      <c r="F59" s="2">
        <f t="shared" si="1"/>
        <v>39.5</v>
      </c>
      <c r="G59" s="2">
        <v>16.0</v>
      </c>
      <c r="H59" s="2">
        <v>19.0</v>
      </c>
      <c r="I59" s="2">
        <v>34.0</v>
      </c>
      <c r="J59" s="3">
        <f t="shared" si="2"/>
        <v>12.52777778</v>
      </c>
      <c r="K59" s="2">
        <v>100.0</v>
      </c>
      <c r="L59" s="2">
        <v>200.0</v>
      </c>
      <c r="N59" s="3">
        <f t="shared" si="3"/>
        <v>200</v>
      </c>
      <c r="O59" s="2">
        <v>95.0</v>
      </c>
      <c r="P59" s="2">
        <f t="shared" si="4"/>
        <v>14.75</v>
      </c>
      <c r="Q59" s="2">
        <v>6.0</v>
      </c>
      <c r="R59" s="2">
        <v>10.0</v>
      </c>
      <c r="T59" s="2">
        <v>13.0</v>
      </c>
      <c r="U59" s="2">
        <v>15.0</v>
      </c>
      <c r="V59" s="2">
        <v>14.0</v>
      </c>
      <c r="W59" s="2">
        <v>20.0</v>
      </c>
      <c r="X59" s="2">
        <v>28.0</v>
      </c>
      <c r="Y59" s="2">
        <v>30.0</v>
      </c>
      <c r="Z59" s="2">
        <v>30.0</v>
      </c>
      <c r="AA59" s="2">
        <v>30.0</v>
      </c>
      <c r="AB59" s="2">
        <f t="shared" si="5"/>
        <v>9.8</v>
      </c>
      <c r="AC59" s="2">
        <v>30.0</v>
      </c>
      <c r="AD59" s="2">
        <v>340.0</v>
      </c>
      <c r="AE59" s="3">
        <f t="shared" si="6"/>
        <v>9.25</v>
      </c>
      <c r="AF59" s="4">
        <f t="shared" si="7"/>
        <v>85.82777778</v>
      </c>
    </row>
    <row r="60">
      <c r="A60" s="1" t="s">
        <v>185</v>
      </c>
      <c r="B60" s="1" t="s">
        <v>186</v>
      </c>
      <c r="C60" s="2" t="s">
        <v>188</v>
      </c>
      <c r="D60" s="2">
        <f>VLOOKUP(B60, 'CSE-Sandeep'!$B$2:$G$61,5)</f>
        <v>0</v>
      </c>
      <c r="F60" s="2">
        <f t="shared" si="1"/>
        <v>0</v>
      </c>
      <c r="I60" s="2">
        <v>-1.0</v>
      </c>
      <c r="J60" s="3">
        <f t="shared" si="2"/>
        <v>-0.1111111111</v>
      </c>
      <c r="K60" s="2">
        <v>100.0</v>
      </c>
      <c r="N60" s="3">
        <f t="shared" si="3"/>
        <v>0</v>
      </c>
      <c r="P60" s="2">
        <f t="shared" si="4"/>
        <v>5</v>
      </c>
      <c r="Q60" s="2">
        <v>7.0</v>
      </c>
      <c r="R60" s="2">
        <v>10.0</v>
      </c>
      <c r="U60" s="2">
        <v>15.0</v>
      </c>
      <c r="V60" s="2">
        <v>15.0</v>
      </c>
      <c r="W60" s="2">
        <v>20.0</v>
      </c>
      <c r="AB60" s="2">
        <f t="shared" si="5"/>
        <v>3.35</v>
      </c>
      <c r="AE60" s="3">
        <f t="shared" si="6"/>
        <v>0</v>
      </c>
      <c r="AF60" s="4">
        <f t="shared" si="7"/>
        <v>8.238888889</v>
      </c>
    </row>
    <row r="61">
      <c r="A61" s="1" t="s">
        <v>189</v>
      </c>
      <c r="B61" s="1" t="s">
        <v>190</v>
      </c>
      <c r="C61" s="2" t="s">
        <v>191</v>
      </c>
      <c r="D61" s="2">
        <f>VLOOKUP(B61, 'CSE-Sandeep'!$B$2:$G$61,5)</f>
        <v>49</v>
      </c>
      <c r="E61" s="2">
        <v>37.0</v>
      </c>
      <c r="F61" s="2">
        <f t="shared" si="1"/>
        <v>43</v>
      </c>
      <c r="G61" s="2">
        <v>19.0</v>
      </c>
      <c r="H61" s="2">
        <v>17.0</v>
      </c>
      <c r="I61" s="2">
        <v>41.0</v>
      </c>
      <c r="J61" s="3">
        <f t="shared" si="2"/>
        <v>13.55555556</v>
      </c>
      <c r="K61" s="2">
        <v>100.0</v>
      </c>
      <c r="L61" s="2">
        <v>200.0</v>
      </c>
      <c r="N61" s="3">
        <f t="shared" si="3"/>
        <v>200</v>
      </c>
      <c r="O61" s="2">
        <v>93.0</v>
      </c>
      <c r="P61" s="2">
        <f t="shared" si="4"/>
        <v>14.65</v>
      </c>
      <c r="Q61" s="2">
        <v>7.0</v>
      </c>
      <c r="R61" s="2">
        <v>10.0</v>
      </c>
      <c r="T61" s="2">
        <v>7.0</v>
      </c>
      <c r="U61" s="2">
        <v>13.0</v>
      </c>
      <c r="V61" s="2">
        <v>14.0</v>
      </c>
      <c r="W61" s="2">
        <v>18.0</v>
      </c>
      <c r="X61" s="2">
        <v>24.0</v>
      </c>
      <c r="Y61" s="2">
        <v>26.0</v>
      </c>
      <c r="Z61" s="2">
        <v>29.0</v>
      </c>
      <c r="AA61" s="2">
        <v>28.0</v>
      </c>
      <c r="AB61" s="2">
        <f t="shared" si="5"/>
        <v>8.8</v>
      </c>
      <c r="AC61" s="2">
        <v>30.0</v>
      </c>
      <c r="AD61" s="2">
        <v>290.0</v>
      </c>
      <c r="AE61" s="3">
        <f t="shared" si="6"/>
        <v>8</v>
      </c>
      <c r="AF61" s="4">
        <f t="shared" si="7"/>
        <v>88.00555556</v>
      </c>
    </row>
    <row r="62">
      <c r="A62" s="1" t="s">
        <v>192</v>
      </c>
      <c r="B62" s="1" t="s">
        <v>193</v>
      </c>
      <c r="C62" s="2" t="s">
        <v>194</v>
      </c>
      <c r="D62" s="2">
        <f>VLOOKUP(B62, 'CSE-Sandeep'!$B$2:$G$61,5)</f>
        <v>47</v>
      </c>
      <c r="E62" s="2">
        <v>33.0</v>
      </c>
      <c r="F62" s="2">
        <f t="shared" si="1"/>
        <v>40</v>
      </c>
      <c r="G62" s="2">
        <v>14.0</v>
      </c>
      <c r="H62" s="2">
        <v>16.0</v>
      </c>
      <c r="I62" s="2">
        <v>34.0</v>
      </c>
      <c r="J62" s="3">
        <f t="shared" si="2"/>
        <v>11.27777778</v>
      </c>
      <c r="K62" s="2">
        <v>100.0</v>
      </c>
      <c r="L62" s="2">
        <v>150.0</v>
      </c>
      <c r="M62" s="2">
        <v>190.0</v>
      </c>
      <c r="N62" s="3">
        <f t="shared" si="3"/>
        <v>190</v>
      </c>
      <c r="O62" s="2">
        <v>90.0</v>
      </c>
      <c r="P62" s="2">
        <f t="shared" si="4"/>
        <v>14.25</v>
      </c>
      <c r="Q62" s="2">
        <v>7.0</v>
      </c>
      <c r="R62" s="2">
        <v>5.0</v>
      </c>
      <c r="T62" s="2">
        <v>11.0</v>
      </c>
      <c r="U62" s="2">
        <v>15.0</v>
      </c>
      <c r="V62" s="2">
        <v>15.0</v>
      </c>
      <c r="W62" s="2">
        <v>18.0</v>
      </c>
      <c r="X62" s="2">
        <v>26.0</v>
      </c>
      <c r="Y62" s="2">
        <v>28.0</v>
      </c>
      <c r="Z62" s="2">
        <v>29.0</v>
      </c>
      <c r="AA62" s="2">
        <v>28.0</v>
      </c>
      <c r="AB62" s="2">
        <f t="shared" si="5"/>
        <v>9.1</v>
      </c>
      <c r="AC62" s="2">
        <v>50.0</v>
      </c>
      <c r="AD62" s="2">
        <v>300.0</v>
      </c>
      <c r="AE62" s="3">
        <f t="shared" si="6"/>
        <v>8.75</v>
      </c>
      <c r="AF62" s="4">
        <f t="shared" si="7"/>
        <v>83.37777778</v>
      </c>
    </row>
    <row r="63">
      <c r="A63" s="1" t="s">
        <v>195</v>
      </c>
      <c r="B63" s="1" t="s">
        <v>196</v>
      </c>
      <c r="C63" s="2" t="s">
        <v>197</v>
      </c>
      <c r="D63" s="2">
        <f>VLOOKUP(B63, 'CSE-Sandeep'!$B$2:$G$61,5)</f>
        <v>37</v>
      </c>
      <c r="E63" s="2">
        <v>40.0</v>
      </c>
      <c r="F63" s="2">
        <f t="shared" si="1"/>
        <v>38.5</v>
      </c>
      <c r="G63" s="2">
        <v>15.0</v>
      </c>
      <c r="H63" s="2">
        <v>0.0</v>
      </c>
      <c r="I63" s="2">
        <v>41.0</v>
      </c>
      <c r="J63" s="3">
        <f t="shared" si="2"/>
        <v>8.305555556</v>
      </c>
      <c r="K63" s="2">
        <v>100.0</v>
      </c>
      <c r="L63" s="2">
        <v>195.0</v>
      </c>
      <c r="M63" s="2">
        <v>0.0</v>
      </c>
      <c r="N63" s="3">
        <f t="shared" si="3"/>
        <v>195</v>
      </c>
      <c r="O63" s="2">
        <v>98.0</v>
      </c>
      <c r="P63" s="2">
        <f t="shared" si="4"/>
        <v>14.775</v>
      </c>
      <c r="Q63" s="2">
        <v>6.0</v>
      </c>
      <c r="R63" s="2">
        <v>10.0</v>
      </c>
      <c r="T63" s="2">
        <v>13.0</v>
      </c>
      <c r="U63" s="2">
        <v>15.0</v>
      </c>
      <c r="V63" s="2">
        <v>15.0</v>
      </c>
      <c r="W63" s="2">
        <v>20.0</v>
      </c>
      <c r="X63" s="2">
        <v>28.0</v>
      </c>
      <c r="Y63" s="2">
        <v>30.0</v>
      </c>
      <c r="Z63" s="2">
        <v>28.0</v>
      </c>
      <c r="AA63" s="2">
        <v>29.0</v>
      </c>
      <c r="AB63" s="2">
        <f t="shared" si="5"/>
        <v>9.7</v>
      </c>
      <c r="AC63" s="2">
        <v>50.0</v>
      </c>
      <c r="AD63" s="2">
        <v>330.0</v>
      </c>
      <c r="AE63" s="3">
        <f t="shared" si="6"/>
        <v>9.5</v>
      </c>
      <c r="AF63" s="4">
        <f t="shared" si="7"/>
        <v>80.78055556</v>
      </c>
    </row>
    <row r="64">
      <c r="A64" s="1" t="s">
        <v>198</v>
      </c>
      <c r="B64" s="1" t="s">
        <v>199</v>
      </c>
      <c r="C64" s="2" t="s">
        <v>200</v>
      </c>
      <c r="D64" s="2">
        <f>VLOOKUP(B64, 'CSE-Sandeep'!$B$2:$G$61,5)</f>
        <v>41</v>
      </c>
      <c r="E64" s="2">
        <v>31.0</v>
      </c>
      <c r="F64" s="2">
        <f t="shared" si="1"/>
        <v>36</v>
      </c>
      <c r="G64" s="2">
        <v>13.0</v>
      </c>
      <c r="H64" s="2">
        <v>14.0</v>
      </c>
      <c r="I64" s="2">
        <v>12.0</v>
      </c>
      <c r="J64" s="3">
        <f t="shared" si="2"/>
        <v>8.083333333</v>
      </c>
      <c r="K64" s="2">
        <v>95.0</v>
      </c>
      <c r="L64" s="2">
        <v>190.0</v>
      </c>
      <c r="N64" s="3">
        <f t="shared" si="3"/>
        <v>190</v>
      </c>
      <c r="O64" s="2">
        <v>88.0</v>
      </c>
      <c r="P64" s="2">
        <f t="shared" si="4"/>
        <v>13.9</v>
      </c>
      <c r="Q64" s="2">
        <v>6.0</v>
      </c>
      <c r="R64" s="2">
        <v>4.0</v>
      </c>
      <c r="T64" s="2">
        <v>7.0</v>
      </c>
      <c r="U64" s="2">
        <v>14.0</v>
      </c>
      <c r="W64" s="2">
        <v>18.0</v>
      </c>
      <c r="X64" s="2">
        <v>24.0</v>
      </c>
      <c r="Y64" s="2">
        <v>26.0</v>
      </c>
      <c r="Z64" s="2">
        <v>27.0</v>
      </c>
      <c r="AA64" s="2">
        <v>28.0</v>
      </c>
      <c r="AB64" s="2">
        <f t="shared" si="5"/>
        <v>7.7</v>
      </c>
      <c r="AC64" s="2">
        <v>10.0</v>
      </c>
      <c r="AD64" s="2">
        <v>300.0</v>
      </c>
      <c r="AE64" s="3">
        <f t="shared" si="6"/>
        <v>7.75</v>
      </c>
      <c r="AF64" s="4">
        <f t="shared" si="7"/>
        <v>73.43333333</v>
      </c>
    </row>
    <row r="65">
      <c r="A65" s="1" t="s">
        <v>201</v>
      </c>
      <c r="B65" s="1" t="s">
        <v>202</v>
      </c>
      <c r="C65" s="2" t="s">
        <v>203</v>
      </c>
      <c r="D65" s="2">
        <f>VLOOKUP(B65,'DSAI-Vikrant'!$B$2:$F$44,5)</f>
        <v>47</v>
      </c>
      <c r="E65" s="2">
        <v>34.0</v>
      </c>
      <c r="F65" s="2">
        <f t="shared" si="1"/>
        <v>40.5</v>
      </c>
      <c r="G65" s="2">
        <v>14.0</v>
      </c>
      <c r="H65" s="2">
        <v>12.5</v>
      </c>
      <c r="I65" s="2">
        <v>18.0</v>
      </c>
      <c r="J65" s="3">
        <f t="shared" si="2"/>
        <v>8.625</v>
      </c>
      <c r="K65" s="2">
        <v>100.0</v>
      </c>
      <c r="L65" s="2">
        <v>159.0</v>
      </c>
      <c r="N65" s="3">
        <f t="shared" si="3"/>
        <v>159</v>
      </c>
      <c r="O65" s="2">
        <v>180.0</v>
      </c>
      <c r="P65" s="2">
        <f t="shared" si="4"/>
        <v>17.975</v>
      </c>
      <c r="Q65" s="2">
        <v>7.0</v>
      </c>
      <c r="R65" s="2">
        <v>6.0</v>
      </c>
      <c r="S65" s="2">
        <v>13.0</v>
      </c>
      <c r="T65" s="2">
        <v>8.0</v>
      </c>
      <c r="U65" s="2">
        <v>14.0</v>
      </c>
      <c r="V65" s="2">
        <v>12.5</v>
      </c>
      <c r="W65" s="2">
        <v>20.0</v>
      </c>
      <c r="X65" s="2">
        <v>28.0</v>
      </c>
      <c r="Y65" s="2">
        <v>24.0</v>
      </c>
      <c r="Z65" s="2">
        <v>30.0</v>
      </c>
      <c r="AA65" s="2">
        <v>28.0</v>
      </c>
      <c r="AB65" s="2">
        <f t="shared" si="5"/>
        <v>9.525</v>
      </c>
      <c r="AC65" s="2">
        <v>35.0</v>
      </c>
      <c r="AD65" s="2">
        <v>300.0</v>
      </c>
      <c r="AE65" s="3">
        <f t="shared" si="6"/>
        <v>8.375</v>
      </c>
      <c r="AF65" s="4">
        <f t="shared" si="7"/>
        <v>85</v>
      </c>
    </row>
    <row r="66">
      <c r="A66" s="1" t="s">
        <v>204</v>
      </c>
      <c r="B66" s="1" t="s">
        <v>205</v>
      </c>
      <c r="C66" s="2" t="s">
        <v>206</v>
      </c>
      <c r="D66" s="2">
        <f>VLOOKUP(B66,'DSAI-Vikrant'!$B$2:$F$44,5)</f>
        <v>30</v>
      </c>
      <c r="E66" s="2">
        <v>21.0</v>
      </c>
      <c r="F66" s="2">
        <f t="shared" si="1"/>
        <v>25.5</v>
      </c>
      <c r="G66" s="2">
        <v>11.0</v>
      </c>
      <c r="H66" s="2">
        <v>12.0</v>
      </c>
      <c r="I66" s="2">
        <v>29.0</v>
      </c>
      <c r="J66" s="3">
        <f t="shared" si="2"/>
        <v>8.972222222</v>
      </c>
      <c r="K66" s="2">
        <v>96.0</v>
      </c>
      <c r="L66" s="2">
        <v>50.0</v>
      </c>
      <c r="M66" s="2">
        <v>190.0</v>
      </c>
      <c r="N66" s="3">
        <f t="shared" si="3"/>
        <v>190</v>
      </c>
      <c r="O66" s="2">
        <v>80.0</v>
      </c>
      <c r="P66" s="2">
        <f t="shared" si="4"/>
        <v>13.55</v>
      </c>
      <c r="Q66" s="2">
        <v>7.0</v>
      </c>
      <c r="R66" s="2">
        <v>5.0</v>
      </c>
      <c r="S66" s="2">
        <v>8.0</v>
      </c>
      <c r="T66" s="2">
        <v>8.0</v>
      </c>
      <c r="U66" s="2">
        <v>14.0</v>
      </c>
      <c r="V66" s="2">
        <v>12.5</v>
      </c>
      <c r="W66" s="2">
        <v>15.0</v>
      </c>
      <c r="X66" s="2">
        <v>26.0</v>
      </c>
      <c r="Y66" s="2">
        <v>26.0</v>
      </c>
      <c r="Z66" s="2">
        <v>29.0</v>
      </c>
      <c r="AA66" s="2">
        <v>27.0</v>
      </c>
      <c r="AB66" s="2">
        <f t="shared" si="5"/>
        <v>8.875</v>
      </c>
      <c r="AC66" s="2">
        <v>35.0</v>
      </c>
      <c r="AD66" s="2">
        <v>250.0</v>
      </c>
      <c r="AE66" s="3">
        <f t="shared" si="6"/>
        <v>7.125</v>
      </c>
      <c r="AF66" s="4">
        <f t="shared" si="7"/>
        <v>64.02222222</v>
      </c>
    </row>
    <row r="67">
      <c r="A67" s="1" t="s">
        <v>207</v>
      </c>
      <c r="B67" s="1" t="s">
        <v>208</v>
      </c>
      <c r="C67" s="2" t="s">
        <v>209</v>
      </c>
      <c r="D67" s="2">
        <f>VLOOKUP(B67,'DSAI-Vikrant'!$B$2:$F$44,5)</f>
        <v>42</v>
      </c>
      <c r="E67" s="2">
        <v>36.0</v>
      </c>
      <c r="F67" s="2">
        <f t="shared" si="1"/>
        <v>39</v>
      </c>
      <c r="G67" s="2">
        <v>16.0</v>
      </c>
      <c r="H67" s="2">
        <v>18.0</v>
      </c>
      <c r="I67" s="2">
        <v>28.0</v>
      </c>
      <c r="J67" s="3">
        <f t="shared" si="2"/>
        <v>11.61111111</v>
      </c>
      <c r="K67" s="2">
        <v>100.0</v>
      </c>
      <c r="L67" s="2">
        <v>197.0</v>
      </c>
      <c r="N67" s="3">
        <f t="shared" si="3"/>
        <v>197</v>
      </c>
      <c r="O67" s="2">
        <v>100.0</v>
      </c>
      <c r="P67" s="2">
        <f t="shared" si="4"/>
        <v>14.925</v>
      </c>
      <c r="Q67" s="2">
        <v>4.0</v>
      </c>
      <c r="R67" s="2">
        <v>8.0</v>
      </c>
      <c r="S67" s="2">
        <v>8.0</v>
      </c>
      <c r="T67" s="2">
        <v>12.0</v>
      </c>
      <c r="U67" s="2">
        <v>12.0</v>
      </c>
      <c r="V67" s="2">
        <v>10.5</v>
      </c>
      <c r="W67" s="2">
        <v>19.0</v>
      </c>
      <c r="X67" s="2">
        <v>29.0</v>
      </c>
      <c r="Y67" s="2">
        <v>23.0</v>
      </c>
      <c r="Z67" s="2">
        <v>30.0</v>
      </c>
      <c r="AA67" s="2">
        <v>29.0</v>
      </c>
      <c r="AB67" s="2">
        <f t="shared" si="5"/>
        <v>9.225</v>
      </c>
      <c r="AC67" s="2">
        <v>40.0</v>
      </c>
      <c r="AD67" s="2">
        <v>320.0</v>
      </c>
      <c r="AE67" s="3">
        <f t="shared" si="6"/>
        <v>9</v>
      </c>
      <c r="AF67" s="4">
        <f t="shared" si="7"/>
        <v>83.76111111</v>
      </c>
    </row>
    <row r="68">
      <c r="A68" s="1" t="s">
        <v>210</v>
      </c>
      <c r="B68" s="1" t="s">
        <v>211</v>
      </c>
      <c r="C68" s="2" t="s">
        <v>212</v>
      </c>
      <c r="D68" s="2">
        <f>VLOOKUP(B68,'DSAI-Vikrant'!$B$2:$F$44,5)</f>
        <v>37</v>
      </c>
      <c r="E68" s="2">
        <v>32.0</v>
      </c>
      <c r="F68" s="2">
        <f t="shared" si="1"/>
        <v>34.5</v>
      </c>
      <c r="G68" s="2">
        <v>14.0</v>
      </c>
      <c r="H68" s="2">
        <v>16.0</v>
      </c>
      <c r="I68" s="2">
        <v>19.0</v>
      </c>
      <c r="J68" s="3">
        <f t="shared" si="2"/>
        <v>9.611111111</v>
      </c>
      <c r="K68" s="2">
        <v>100.0</v>
      </c>
      <c r="L68" s="2">
        <v>180.0</v>
      </c>
      <c r="N68" s="3">
        <f t="shared" si="3"/>
        <v>180</v>
      </c>
      <c r="O68" s="2">
        <v>180.0</v>
      </c>
      <c r="P68" s="2">
        <f t="shared" si="4"/>
        <v>18.5</v>
      </c>
      <c r="Q68" s="2">
        <v>0.0</v>
      </c>
      <c r="R68" s="2">
        <v>6.0</v>
      </c>
      <c r="S68" s="2">
        <v>11.0</v>
      </c>
      <c r="T68" s="2">
        <v>4.0</v>
      </c>
      <c r="U68" s="2">
        <v>14.0</v>
      </c>
      <c r="V68" s="2">
        <v>15.0</v>
      </c>
      <c r="W68" s="2">
        <v>14.0</v>
      </c>
      <c r="X68" s="2">
        <v>28.0</v>
      </c>
      <c r="Y68" s="2">
        <v>26.0</v>
      </c>
      <c r="Z68" s="2">
        <v>28.0</v>
      </c>
      <c r="AA68" s="2">
        <v>27.0</v>
      </c>
      <c r="AB68" s="2">
        <f t="shared" si="5"/>
        <v>8.65</v>
      </c>
      <c r="AC68" s="2">
        <v>35.0</v>
      </c>
      <c r="AD68" s="2">
        <v>300.0</v>
      </c>
      <c r="AE68" s="3">
        <f t="shared" si="6"/>
        <v>8.375</v>
      </c>
      <c r="AF68" s="4">
        <f t="shared" si="7"/>
        <v>79.63611111</v>
      </c>
    </row>
    <row r="69">
      <c r="A69" s="1" t="s">
        <v>213</v>
      </c>
      <c r="B69" s="1" t="s">
        <v>214</v>
      </c>
      <c r="C69" s="2" t="s">
        <v>215</v>
      </c>
      <c r="D69" s="2">
        <f>VLOOKUP(B69,'DSAI-Vikrant'!$B$2:$F$44,5)</f>
        <v>47</v>
      </c>
      <c r="E69" s="2">
        <v>24.0</v>
      </c>
      <c r="F69" s="2">
        <f t="shared" si="1"/>
        <v>35.5</v>
      </c>
      <c r="G69" s="2">
        <v>19.0</v>
      </c>
      <c r="H69" s="2">
        <v>13.5</v>
      </c>
      <c r="I69" s="2">
        <v>26.0</v>
      </c>
      <c r="J69" s="3">
        <f t="shared" si="2"/>
        <v>11.01388889</v>
      </c>
      <c r="K69" s="2">
        <v>95.0</v>
      </c>
      <c r="L69" s="2">
        <v>160.0</v>
      </c>
      <c r="N69" s="3">
        <f t="shared" si="3"/>
        <v>160</v>
      </c>
      <c r="O69" s="2">
        <v>180.0</v>
      </c>
      <c r="P69" s="2">
        <f t="shared" si="4"/>
        <v>17.75</v>
      </c>
      <c r="Q69" s="2">
        <v>7.0</v>
      </c>
      <c r="R69" s="2">
        <v>7.0</v>
      </c>
      <c r="S69" s="2">
        <v>9.0</v>
      </c>
      <c r="T69" s="2">
        <v>9.0</v>
      </c>
      <c r="U69" s="2">
        <v>13.0</v>
      </c>
      <c r="V69" s="2">
        <v>15.0</v>
      </c>
      <c r="W69" s="2">
        <v>18.0</v>
      </c>
      <c r="X69" s="2">
        <v>24.0</v>
      </c>
      <c r="Y69" s="2">
        <v>27.0</v>
      </c>
      <c r="Z69" s="2">
        <v>30.0</v>
      </c>
      <c r="AA69" s="2">
        <v>28.0</v>
      </c>
      <c r="AB69" s="2">
        <f t="shared" si="5"/>
        <v>9.35</v>
      </c>
      <c r="AC69" s="2">
        <v>30.0</v>
      </c>
      <c r="AD69" s="2">
        <v>330.0</v>
      </c>
      <c r="AE69" s="3">
        <f t="shared" si="6"/>
        <v>9</v>
      </c>
      <c r="AF69" s="4">
        <f t="shared" si="7"/>
        <v>82.61388889</v>
      </c>
    </row>
    <row r="70">
      <c r="A70" s="1" t="s">
        <v>216</v>
      </c>
      <c r="B70" s="1" t="s">
        <v>217</v>
      </c>
      <c r="C70" s="2" t="s">
        <v>218</v>
      </c>
      <c r="D70" s="2">
        <f>VLOOKUP(B70,'DSAI-Vikrant'!$B$2:$F$44,5)</f>
        <v>55</v>
      </c>
      <c r="E70" s="2">
        <v>32.0</v>
      </c>
      <c r="F70" s="2">
        <f t="shared" si="1"/>
        <v>43.5</v>
      </c>
      <c r="G70" s="2">
        <v>12.0</v>
      </c>
      <c r="H70" s="2">
        <v>14.0</v>
      </c>
      <c r="I70" s="2">
        <v>27.0</v>
      </c>
      <c r="J70" s="3">
        <f t="shared" si="2"/>
        <v>9.5</v>
      </c>
      <c r="K70" s="2">
        <v>93.0</v>
      </c>
      <c r="L70" s="2">
        <v>184.0</v>
      </c>
      <c r="N70" s="3">
        <f t="shared" si="3"/>
        <v>184</v>
      </c>
      <c r="O70" s="2">
        <v>100.0</v>
      </c>
      <c r="P70" s="2">
        <f t="shared" si="4"/>
        <v>14.25</v>
      </c>
      <c r="Q70" s="2">
        <v>7.0</v>
      </c>
      <c r="R70" s="2">
        <v>7.0</v>
      </c>
      <c r="S70" s="2">
        <v>12.0</v>
      </c>
      <c r="T70" s="2">
        <v>12.0</v>
      </c>
      <c r="U70" s="2">
        <v>14.0</v>
      </c>
      <c r="V70" s="2">
        <v>14.5</v>
      </c>
      <c r="W70" s="2">
        <v>18.0</v>
      </c>
      <c r="X70" s="2">
        <v>30.0</v>
      </c>
      <c r="Y70" s="2">
        <v>30.0</v>
      </c>
      <c r="Z70" s="2">
        <v>28.0</v>
      </c>
      <c r="AA70" s="2">
        <v>28.0</v>
      </c>
      <c r="AB70" s="2">
        <f t="shared" si="5"/>
        <v>10.025</v>
      </c>
      <c r="AC70" s="2">
        <v>0.0</v>
      </c>
      <c r="AD70" s="2">
        <v>270.0</v>
      </c>
      <c r="AE70" s="3">
        <f t="shared" si="6"/>
        <v>6.75</v>
      </c>
      <c r="AF70" s="4">
        <f t="shared" si="7"/>
        <v>84.025</v>
      </c>
    </row>
    <row r="71">
      <c r="A71" s="1" t="s">
        <v>219</v>
      </c>
      <c r="B71" s="1" t="s">
        <v>220</v>
      </c>
      <c r="C71" s="2" t="s">
        <v>221</v>
      </c>
      <c r="D71" s="2">
        <f>VLOOKUP(B71,'DSAI-Vikrant'!$B$2:$F$44,5)</f>
        <v>4</v>
      </c>
      <c r="E71" s="2">
        <v>6.0</v>
      </c>
      <c r="F71" s="2">
        <f t="shared" si="1"/>
        <v>5</v>
      </c>
      <c r="G71" s="2">
        <v>4.0</v>
      </c>
      <c r="H71" s="2">
        <v>7.5</v>
      </c>
      <c r="I71" s="2">
        <v>4.0</v>
      </c>
      <c r="J71" s="3">
        <f t="shared" si="2"/>
        <v>3.319444444</v>
      </c>
      <c r="K71" s="2">
        <v>93.0</v>
      </c>
      <c r="L71" s="2">
        <v>121.0</v>
      </c>
      <c r="N71" s="3">
        <f t="shared" si="3"/>
        <v>121</v>
      </c>
      <c r="O71" s="2">
        <v>98.0</v>
      </c>
      <c r="P71" s="2">
        <f t="shared" si="4"/>
        <v>12.575</v>
      </c>
      <c r="Q71" s="2">
        <v>6.0</v>
      </c>
      <c r="R71" s="2">
        <v>5.0</v>
      </c>
      <c r="S71" s="2">
        <v>6.0</v>
      </c>
      <c r="T71" s="2">
        <v>0.0</v>
      </c>
      <c r="U71" s="2">
        <v>14.0</v>
      </c>
      <c r="V71" s="2">
        <v>14.0</v>
      </c>
      <c r="W71" s="2">
        <v>18.0</v>
      </c>
      <c r="X71" s="2">
        <v>30.0</v>
      </c>
      <c r="Y71" s="2">
        <v>30.0</v>
      </c>
      <c r="Z71" s="2">
        <v>27.0</v>
      </c>
      <c r="AA71" s="2">
        <v>28.0</v>
      </c>
      <c r="AB71" s="2">
        <f t="shared" si="5"/>
        <v>8.9</v>
      </c>
      <c r="AC71" s="2">
        <v>0.0</v>
      </c>
      <c r="AD71" s="2">
        <v>300.0</v>
      </c>
      <c r="AE71" s="3">
        <f t="shared" si="6"/>
        <v>7.5</v>
      </c>
      <c r="AF71" s="4">
        <f t="shared" si="7"/>
        <v>37.29444444</v>
      </c>
    </row>
    <row r="72">
      <c r="A72" s="1" t="s">
        <v>223</v>
      </c>
      <c r="B72" s="1" t="s">
        <v>224</v>
      </c>
      <c r="C72" s="2" t="s">
        <v>225</v>
      </c>
      <c r="D72" s="2">
        <f>VLOOKUP(B72,'DSAI-Vikrant'!$B$2:$F$44,5)</f>
        <v>45</v>
      </c>
      <c r="E72" s="2">
        <v>33.0</v>
      </c>
      <c r="F72" s="2">
        <f t="shared" si="1"/>
        <v>39</v>
      </c>
      <c r="G72" s="2">
        <v>16.0</v>
      </c>
      <c r="H72" s="2">
        <v>15.0</v>
      </c>
      <c r="I72" s="2">
        <v>30.0</v>
      </c>
      <c r="J72" s="3">
        <f t="shared" si="2"/>
        <v>11.08333333</v>
      </c>
      <c r="K72" s="2">
        <v>95.0</v>
      </c>
      <c r="L72" s="2">
        <v>188.0</v>
      </c>
      <c r="N72" s="3">
        <f t="shared" si="3"/>
        <v>188</v>
      </c>
      <c r="O72" s="2">
        <v>100.0</v>
      </c>
      <c r="P72" s="2">
        <f t="shared" si="4"/>
        <v>14.45</v>
      </c>
      <c r="Q72" s="2">
        <v>6.0</v>
      </c>
      <c r="R72" s="2">
        <v>9.0</v>
      </c>
      <c r="S72" s="2">
        <v>12.0</v>
      </c>
      <c r="T72" s="2">
        <v>9.0</v>
      </c>
      <c r="U72" s="2">
        <v>14.0</v>
      </c>
      <c r="V72" s="2">
        <v>15.0</v>
      </c>
      <c r="W72" s="2">
        <v>20.0</v>
      </c>
      <c r="X72" s="2">
        <v>30.0</v>
      </c>
      <c r="Y72" s="2">
        <v>30.0</v>
      </c>
      <c r="Z72" s="2">
        <v>29.0</v>
      </c>
      <c r="AA72" s="2">
        <v>28.0</v>
      </c>
      <c r="AB72" s="2">
        <f t="shared" si="5"/>
        <v>10.1</v>
      </c>
      <c r="AC72" s="2">
        <v>35.0</v>
      </c>
      <c r="AD72" s="2">
        <v>300.0</v>
      </c>
      <c r="AE72" s="3">
        <f t="shared" si="6"/>
        <v>8.375</v>
      </c>
      <c r="AF72" s="4">
        <f t="shared" si="7"/>
        <v>83.00833333</v>
      </c>
    </row>
    <row r="73">
      <c r="A73" s="1" t="s">
        <v>226</v>
      </c>
      <c r="B73" s="1" t="s">
        <v>227</v>
      </c>
      <c r="C73" s="2" t="s">
        <v>228</v>
      </c>
      <c r="D73" s="2">
        <f>VLOOKUP(B73,'DSAI-Vikrant'!$B$2:$F$44,5)</f>
        <v>20</v>
      </c>
      <c r="E73" s="2">
        <v>26.0</v>
      </c>
      <c r="F73" s="2">
        <f t="shared" si="1"/>
        <v>23</v>
      </c>
      <c r="G73" s="2">
        <v>13.0</v>
      </c>
      <c r="H73" s="2">
        <v>2.5</v>
      </c>
      <c r="I73" s="2">
        <v>8.0</v>
      </c>
      <c r="J73" s="3">
        <f t="shared" si="2"/>
        <v>4.763888889</v>
      </c>
      <c r="K73" s="2">
        <v>95.0</v>
      </c>
      <c r="L73" s="2">
        <v>170.0</v>
      </c>
      <c r="N73" s="3">
        <f t="shared" si="3"/>
        <v>170</v>
      </c>
      <c r="O73" s="2">
        <v>75.0</v>
      </c>
      <c r="P73" s="2">
        <f t="shared" si="4"/>
        <v>12.75</v>
      </c>
      <c r="Q73" s="2">
        <v>4.0</v>
      </c>
      <c r="R73" s="2">
        <v>8.0</v>
      </c>
      <c r="S73" s="2">
        <v>10.0</v>
      </c>
      <c r="T73" s="2">
        <v>10.0</v>
      </c>
      <c r="U73" s="2">
        <v>14.0</v>
      </c>
      <c r="V73" s="2">
        <v>13.5</v>
      </c>
      <c r="W73" s="2">
        <v>20.0</v>
      </c>
      <c r="X73" s="2">
        <v>27.0</v>
      </c>
      <c r="Y73" s="2">
        <v>21.0</v>
      </c>
      <c r="AA73" s="2">
        <v>28.0</v>
      </c>
      <c r="AB73" s="2">
        <f t="shared" si="5"/>
        <v>7.775</v>
      </c>
      <c r="AC73" s="2">
        <v>30.0</v>
      </c>
      <c r="AD73" s="2">
        <v>280.0</v>
      </c>
      <c r="AE73" s="3">
        <f t="shared" si="6"/>
        <v>7.75</v>
      </c>
      <c r="AF73" s="4">
        <f t="shared" si="7"/>
        <v>56.03888889</v>
      </c>
    </row>
    <row r="74">
      <c r="A74" s="1" t="s">
        <v>229</v>
      </c>
      <c r="B74" s="1" t="s">
        <v>230</v>
      </c>
      <c r="C74" s="2" t="s">
        <v>231</v>
      </c>
      <c r="D74" s="2">
        <f>VLOOKUP(B74,'DSAI-Vikrant'!$B$2:$F$44,5)</f>
        <v>40</v>
      </c>
      <c r="E74" s="2">
        <v>20.0</v>
      </c>
      <c r="F74" s="2">
        <f t="shared" si="1"/>
        <v>30</v>
      </c>
      <c r="G74" s="2">
        <v>10.5</v>
      </c>
      <c r="H74" s="2">
        <v>9.5</v>
      </c>
      <c r="I74" s="2">
        <v>23.0</v>
      </c>
      <c r="J74" s="3">
        <f t="shared" si="2"/>
        <v>7.555555556</v>
      </c>
      <c r="K74" s="2">
        <v>95.0</v>
      </c>
      <c r="L74" s="2">
        <v>195.0</v>
      </c>
      <c r="N74" s="3">
        <f t="shared" si="3"/>
        <v>195</v>
      </c>
      <c r="O74" s="2">
        <v>100.0</v>
      </c>
      <c r="P74" s="2">
        <f t="shared" si="4"/>
        <v>14.625</v>
      </c>
      <c r="Q74" s="2">
        <v>6.0</v>
      </c>
      <c r="R74" s="2">
        <v>6.0</v>
      </c>
      <c r="S74" s="2">
        <v>9.0</v>
      </c>
      <c r="T74" s="2">
        <v>12.0</v>
      </c>
      <c r="U74" s="2">
        <v>14.0</v>
      </c>
      <c r="V74" s="2">
        <v>14.5</v>
      </c>
      <c r="W74" s="2">
        <v>20.0</v>
      </c>
      <c r="X74" s="2">
        <v>29.0</v>
      </c>
      <c r="Y74" s="2">
        <v>30.0</v>
      </c>
      <c r="Z74" s="2">
        <v>28.0</v>
      </c>
      <c r="AA74" s="2">
        <v>28.0</v>
      </c>
      <c r="AB74" s="2">
        <f t="shared" si="5"/>
        <v>9.825</v>
      </c>
      <c r="AC74" s="2">
        <v>0.0</v>
      </c>
      <c r="AD74" s="2">
        <v>270.0</v>
      </c>
      <c r="AE74" s="3">
        <f t="shared" si="6"/>
        <v>6.75</v>
      </c>
      <c r="AF74" s="4">
        <f t="shared" si="7"/>
        <v>68.75555556</v>
      </c>
    </row>
    <row r="75">
      <c r="A75" s="1" t="s">
        <v>232</v>
      </c>
      <c r="B75" s="1" t="s">
        <v>233</v>
      </c>
      <c r="C75" s="2" t="s">
        <v>234</v>
      </c>
      <c r="D75" s="2">
        <f>VLOOKUP(B75,'DSAI-Vikrant'!$B$2:$F$44,5)</f>
        <v>33</v>
      </c>
      <c r="E75" s="2">
        <v>15.0</v>
      </c>
      <c r="F75" s="2">
        <f t="shared" si="1"/>
        <v>24</v>
      </c>
      <c r="G75" s="2">
        <v>9.0</v>
      </c>
      <c r="H75" s="2">
        <v>8.0</v>
      </c>
      <c r="I75" s="2">
        <v>16.0</v>
      </c>
      <c r="J75" s="3">
        <f t="shared" si="2"/>
        <v>6.027777778</v>
      </c>
      <c r="K75" s="2">
        <v>90.0</v>
      </c>
      <c r="L75" s="2">
        <v>160.0</v>
      </c>
      <c r="N75" s="3">
        <f t="shared" si="3"/>
        <v>160</v>
      </c>
      <c r="O75" s="2">
        <v>100.0</v>
      </c>
      <c r="P75" s="2">
        <f t="shared" si="4"/>
        <v>13.5</v>
      </c>
      <c r="Q75" s="2">
        <v>7.0</v>
      </c>
      <c r="R75" s="2">
        <v>6.0</v>
      </c>
      <c r="S75" s="2">
        <v>6.0</v>
      </c>
      <c r="T75" s="2">
        <v>7.0</v>
      </c>
      <c r="U75" s="2">
        <v>13.0</v>
      </c>
      <c r="V75" s="2">
        <v>13.0</v>
      </c>
      <c r="W75" s="2">
        <v>0.0</v>
      </c>
      <c r="X75" s="2">
        <v>26.0</v>
      </c>
      <c r="Y75" s="2">
        <v>26.0</v>
      </c>
      <c r="Z75" s="2">
        <v>30.0</v>
      </c>
      <c r="AB75" s="2">
        <f t="shared" si="5"/>
        <v>6.7</v>
      </c>
      <c r="AC75" s="2">
        <v>35.0</v>
      </c>
      <c r="AD75" s="2">
        <v>300.0</v>
      </c>
      <c r="AE75" s="3">
        <f t="shared" si="6"/>
        <v>8.375</v>
      </c>
      <c r="AF75" s="4">
        <f t="shared" si="7"/>
        <v>58.60277778</v>
      </c>
    </row>
    <row r="76">
      <c r="A76" s="1" t="s">
        <v>235</v>
      </c>
      <c r="B76" s="1" t="s">
        <v>236</v>
      </c>
      <c r="C76" s="2" t="s">
        <v>237</v>
      </c>
      <c r="D76" s="2">
        <f>VLOOKUP(B76,'DSAI-Vikrant'!$B$2:$F$44,5)</f>
        <v>47</v>
      </c>
      <c r="E76" s="2">
        <v>31.0</v>
      </c>
      <c r="F76" s="2">
        <f t="shared" si="1"/>
        <v>39</v>
      </c>
      <c r="G76" s="2">
        <v>14.0</v>
      </c>
      <c r="H76" s="2">
        <v>16.0</v>
      </c>
      <c r="I76" s="2">
        <v>28.0</v>
      </c>
      <c r="J76" s="3">
        <f t="shared" si="2"/>
        <v>10.61111111</v>
      </c>
      <c r="K76" s="2">
        <v>95.0</v>
      </c>
      <c r="L76" s="2">
        <v>174.0</v>
      </c>
      <c r="N76" s="3">
        <f t="shared" si="3"/>
        <v>174</v>
      </c>
      <c r="O76" s="2">
        <v>100.0</v>
      </c>
      <c r="P76" s="2">
        <f t="shared" si="4"/>
        <v>14.1</v>
      </c>
      <c r="Q76" s="2">
        <v>6.0</v>
      </c>
      <c r="R76" s="2">
        <v>6.0</v>
      </c>
      <c r="S76" s="2">
        <v>5.0</v>
      </c>
      <c r="T76" s="2">
        <v>4.0</v>
      </c>
      <c r="U76" s="2">
        <v>12.0</v>
      </c>
      <c r="V76" s="2">
        <v>13.0</v>
      </c>
      <c r="W76" s="2">
        <v>15.0</v>
      </c>
      <c r="X76" s="2">
        <v>26.0</v>
      </c>
      <c r="Y76" s="2">
        <v>24.0</v>
      </c>
      <c r="Z76" s="2">
        <v>27.0</v>
      </c>
      <c r="AA76" s="2">
        <v>28.0</v>
      </c>
      <c r="AB76" s="2">
        <f t="shared" si="5"/>
        <v>8.3</v>
      </c>
      <c r="AC76" s="2">
        <v>30.0</v>
      </c>
      <c r="AD76" s="2">
        <v>200.0</v>
      </c>
      <c r="AE76" s="3">
        <f t="shared" si="6"/>
        <v>5.75</v>
      </c>
      <c r="AF76" s="4">
        <f t="shared" si="7"/>
        <v>77.76111111</v>
      </c>
    </row>
    <row r="77">
      <c r="A77" s="1" t="s">
        <v>238</v>
      </c>
      <c r="B77" s="1" t="s">
        <v>239</v>
      </c>
      <c r="C77" s="2" t="s">
        <v>240</v>
      </c>
      <c r="D77" s="2">
        <f>VLOOKUP(B77,'DSAI-Vikrant'!$B$2:$F$44,5)</f>
        <v>53</v>
      </c>
      <c r="E77" s="2">
        <v>19.0</v>
      </c>
      <c r="F77" s="2">
        <f t="shared" si="1"/>
        <v>36</v>
      </c>
      <c r="G77" s="2">
        <v>8.0</v>
      </c>
      <c r="H77" s="2">
        <v>13.5</v>
      </c>
      <c r="I77" s="2">
        <v>30.0</v>
      </c>
      <c r="J77" s="3">
        <f t="shared" si="2"/>
        <v>8.708333333</v>
      </c>
      <c r="K77" s="2">
        <v>100.0</v>
      </c>
      <c r="L77" s="2">
        <v>185.0</v>
      </c>
      <c r="N77" s="3">
        <f t="shared" si="3"/>
        <v>185</v>
      </c>
      <c r="O77" s="2">
        <v>90.0</v>
      </c>
      <c r="P77" s="2">
        <f t="shared" si="4"/>
        <v>14.125</v>
      </c>
      <c r="Q77" s="2">
        <v>7.0</v>
      </c>
      <c r="R77" s="2">
        <v>7.0</v>
      </c>
      <c r="S77" s="2">
        <v>11.0</v>
      </c>
      <c r="T77" s="2">
        <v>8.0</v>
      </c>
      <c r="U77" s="2">
        <v>13.0</v>
      </c>
      <c r="V77" s="2">
        <v>13.0</v>
      </c>
      <c r="W77" s="2">
        <v>18.0</v>
      </c>
      <c r="X77" s="2">
        <v>24.0</v>
      </c>
      <c r="Y77" s="2">
        <v>26.0</v>
      </c>
      <c r="Z77" s="2">
        <v>28.0</v>
      </c>
      <c r="AA77" s="2">
        <v>28.0</v>
      </c>
      <c r="AB77" s="2">
        <f t="shared" si="5"/>
        <v>9.15</v>
      </c>
      <c r="AC77" s="2">
        <v>30.0</v>
      </c>
      <c r="AD77" s="2">
        <v>290.0</v>
      </c>
      <c r="AE77" s="3">
        <f t="shared" si="6"/>
        <v>8</v>
      </c>
      <c r="AF77" s="4">
        <f t="shared" si="7"/>
        <v>75.98333333</v>
      </c>
    </row>
    <row r="78">
      <c r="A78" s="1" t="s">
        <v>241</v>
      </c>
      <c r="B78" s="1" t="s">
        <v>242</v>
      </c>
      <c r="C78" s="2" t="s">
        <v>243</v>
      </c>
      <c r="D78" s="2">
        <f>VLOOKUP(B78,'DSAI-Vikrant'!$B$2:$F$44,5)</f>
        <v>51</v>
      </c>
      <c r="E78" s="2">
        <v>32.0</v>
      </c>
      <c r="F78" s="2">
        <f t="shared" si="1"/>
        <v>41.5</v>
      </c>
      <c r="G78" s="2">
        <v>9.0</v>
      </c>
      <c r="H78" s="2">
        <v>17.5</v>
      </c>
      <c r="I78" s="2">
        <v>32.0</v>
      </c>
      <c r="J78" s="3">
        <f t="shared" si="2"/>
        <v>10.18055556</v>
      </c>
      <c r="K78" s="2">
        <v>95.0</v>
      </c>
      <c r="L78" s="2">
        <v>186.0</v>
      </c>
      <c r="N78" s="3">
        <f t="shared" si="3"/>
        <v>186</v>
      </c>
      <c r="O78" s="2">
        <v>95.0</v>
      </c>
      <c r="P78" s="2">
        <f t="shared" si="4"/>
        <v>14.15</v>
      </c>
      <c r="Q78" s="2">
        <v>7.0</v>
      </c>
      <c r="R78" s="2">
        <v>10.0</v>
      </c>
      <c r="S78" s="2">
        <v>9.0</v>
      </c>
      <c r="T78" s="2">
        <v>12.0</v>
      </c>
      <c r="U78" s="2">
        <v>14.0</v>
      </c>
      <c r="V78" s="2">
        <v>12.0</v>
      </c>
      <c r="W78" s="2">
        <v>18.0</v>
      </c>
      <c r="X78" s="2">
        <v>25.0</v>
      </c>
      <c r="Y78" s="2">
        <v>25.0</v>
      </c>
      <c r="Z78" s="2">
        <v>29.0</v>
      </c>
      <c r="AA78" s="2">
        <v>28.0</v>
      </c>
      <c r="AB78" s="2">
        <f t="shared" si="5"/>
        <v>9.45</v>
      </c>
      <c r="AC78" s="2">
        <v>50.0</v>
      </c>
      <c r="AD78" s="2">
        <v>300.0</v>
      </c>
      <c r="AE78" s="3">
        <f t="shared" si="6"/>
        <v>8.75</v>
      </c>
      <c r="AF78" s="4">
        <f t="shared" si="7"/>
        <v>84.03055556</v>
      </c>
    </row>
    <row r="79">
      <c r="A79" s="1" t="s">
        <v>244</v>
      </c>
      <c r="B79" s="1" t="s">
        <v>245</v>
      </c>
      <c r="C79" s="2" t="s">
        <v>246</v>
      </c>
      <c r="D79" s="2">
        <f>VLOOKUP(B79,'DSAI-Vikrant'!$B$2:$F$44,5)</f>
        <v>55</v>
      </c>
      <c r="E79" s="2">
        <v>28.0</v>
      </c>
      <c r="F79" s="2">
        <f t="shared" si="1"/>
        <v>41.5</v>
      </c>
      <c r="G79" s="2">
        <v>16.0</v>
      </c>
      <c r="H79" s="2">
        <v>16.5</v>
      </c>
      <c r="I79" s="2">
        <v>35.0</v>
      </c>
      <c r="J79" s="3">
        <f t="shared" si="2"/>
        <v>12.01388889</v>
      </c>
      <c r="K79" s="2">
        <v>100.0</v>
      </c>
      <c r="L79" s="2">
        <v>190.0</v>
      </c>
      <c r="N79" s="3">
        <f t="shared" si="3"/>
        <v>190</v>
      </c>
      <c r="O79" s="2">
        <v>90.0</v>
      </c>
      <c r="P79" s="2">
        <f t="shared" si="4"/>
        <v>14.25</v>
      </c>
      <c r="Q79" s="2">
        <v>7.0</v>
      </c>
      <c r="R79" s="2">
        <v>6.0</v>
      </c>
      <c r="S79" s="2">
        <v>12.0</v>
      </c>
      <c r="T79" s="2">
        <v>10.0</v>
      </c>
      <c r="U79" s="2">
        <v>15.0</v>
      </c>
      <c r="V79" s="2">
        <v>14.0</v>
      </c>
      <c r="W79" s="2">
        <v>20.0</v>
      </c>
      <c r="X79" s="2">
        <v>24.0</v>
      </c>
      <c r="Y79" s="2">
        <v>26.0</v>
      </c>
      <c r="Z79" s="2">
        <v>28.0</v>
      </c>
      <c r="AA79" s="2">
        <v>28.0</v>
      </c>
      <c r="AB79" s="2">
        <f t="shared" si="5"/>
        <v>9.5</v>
      </c>
      <c r="AC79" s="2">
        <v>0.0</v>
      </c>
      <c r="AD79" s="2">
        <v>310.0</v>
      </c>
      <c r="AE79" s="3">
        <f t="shared" si="6"/>
        <v>7.75</v>
      </c>
      <c r="AF79" s="4">
        <f t="shared" si="7"/>
        <v>85.01388889</v>
      </c>
    </row>
    <row r="80">
      <c r="A80" s="1" t="s">
        <v>247</v>
      </c>
      <c r="B80" s="1" t="s">
        <v>248</v>
      </c>
      <c r="C80" s="2" t="s">
        <v>249</v>
      </c>
      <c r="D80" s="2">
        <f>VLOOKUP(B80,'DSAI-Vikrant'!$B$2:$F$44,5)</f>
        <v>38</v>
      </c>
      <c r="E80" s="2">
        <v>24.0</v>
      </c>
      <c r="F80" s="2">
        <f t="shared" si="1"/>
        <v>31</v>
      </c>
      <c r="G80" s="2">
        <v>8.0</v>
      </c>
      <c r="H80" s="2">
        <v>8.5</v>
      </c>
      <c r="I80" s="2">
        <v>23.0</v>
      </c>
      <c r="J80" s="3">
        <f t="shared" si="2"/>
        <v>6.680555556</v>
      </c>
      <c r="K80" s="2">
        <v>85.0</v>
      </c>
      <c r="L80" s="2">
        <v>145.0</v>
      </c>
      <c r="N80" s="3">
        <f t="shared" si="3"/>
        <v>145</v>
      </c>
      <c r="O80" s="2">
        <v>85.0</v>
      </c>
      <c r="P80" s="2">
        <f t="shared" si="4"/>
        <v>12.125</v>
      </c>
      <c r="Q80" s="2">
        <v>5.0</v>
      </c>
      <c r="R80" s="2">
        <v>4.0</v>
      </c>
      <c r="S80" s="2">
        <v>10.0</v>
      </c>
      <c r="T80" s="2">
        <v>6.0</v>
      </c>
      <c r="U80" s="2">
        <v>15.0</v>
      </c>
      <c r="V80" s="2">
        <v>13.0</v>
      </c>
      <c r="W80" s="2">
        <v>15.0</v>
      </c>
      <c r="X80" s="2">
        <v>24.0</v>
      </c>
      <c r="Y80" s="2">
        <v>24.0</v>
      </c>
      <c r="Z80" s="2">
        <v>29.0</v>
      </c>
      <c r="AA80" s="2">
        <v>27.0</v>
      </c>
      <c r="AB80" s="2">
        <f t="shared" si="5"/>
        <v>8.6</v>
      </c>
      <c r="AC80" s="2">
        <v>30.0</v>
      </c>
      <c r="AD80" s="2">
        <v>280.0</v>
      </c>
      <c r="AE80" s="3">
        <f t="shared" si="6"/>
        <v>7.75</v>
      </c>
      <c r="AF80" s="4">
        <f t="shared" si="7"/>
        <v>66.15555556</v>
      </c>
    </row>
    <row r="81">
      <c r="A81" s="1" t="s">
        <v>250</v>
      </c>
      <c r="B81" s="1" t="s">
        <v>251</v>
      </c>
      <c r="C81" s="2" t="s">
        <v>252</v>
      </c>
      <c r="D81" s="2">
        <f>VLOOKUP(B81,'DSAI-Vikrant'!$B$2:$F$44,5)</f>
        <v>36</v>
      </c>
      <c r="E81" s="2">
        <v>28.0</v>
      </c>
      <c r="F81" s="2">
        <f t="shared" si="1"/>
        <v>32</v>
      </c>
      <c r="G81" s="2">
        <v>6.0</v>
      </c>
      <c r="H81" s="2">
        <v>11.5</v>
      </c>
      <c r="I81" s="2">
        <v>23.0</v>
      </c>
      <c r="J81" s="3">
        <f t="shared" si="2"/>
        <v>6.930555556</v>
      </c>
      <c r="K81" s="2">
        <v>78.0</v>
      </c>
      <c r="L81" s="2">
        <v>170.0</v>
      </c>
      <c r="N81" s="3">
        <f t="shared" si="3"/>
        <v>170</v>
      </c>
      <c r="O81" s="2">
        <v>95.0</v>
      </c>
      <c r="P81" s="2">
        <f t="shared" si="4"/>
        <v>12.9</v>
      </c>
      <c r="Q81" s="2">
        <v>4.0</v>
      </c>
      <c r="R81" s="2">
        <v>8.0</v>
      </c>
      <c r="S81" s="2">
        <v>6.0</v>
      </c>
      <c r="T81" s="2">
        <v>10.0</v>
      </c>
      <c r="U81" s="2">
        <v>12.0</v>
      </c>
      <c r="V81" s="2">
        <v>14.0</v>
      </c>
      <c r="W81" s="2">
        <v>16.0</v>
      </c>
      <c r="X81" s="2">
        <v>27.0</v>
      </c>
      <c r="Y81" s="2">
        <v>28.0</v>
      </c>
      <c r="Z81" s="2">
        <v>27.0</v>
      </c>
      <c r="AA81" s="2">
        <v>28.0</v>
      </c>
      <c r="AB81" s="2">
        <f t="shared" si="5"/>
        <v>9</v>
      </c>
      <c r="AC81" s="2">
        <v>20.0</v>
      </c>
      <c r="AD81" s="2">
        <v>270.0</v>
      </c>
      <c r="AE81" s="3">
        <f t="shared" si="6"/>
        <v>7.25</v>
      </c>
      <c r="AF81" s="4">
        <f t="shared" si="7"/>
        <v>68.08055556</v>
      </c>
    </row>
    <row r="82">
      <c r="A82" s="1" t="s">
        <v>253</v>
      </c>
      <c r="B82" s="1" t="s">
        <v>254</v>
      </c>
      <c r="C82" s="2" t="s">
        <v>255</v>
      </c>
      <c r="D82" s="2">
        <f>VLOOKUP(B82,'DSAI-Vikrant'!$B$2:$F$44,5)</f>
        <v>56</v>
      </c>
      <c r="E82" s="2">
        <v>32.0</v>
      </c>
      <c r="F82" s="2">
        <f t="shared" si="1"/>
        <v>44</v>
      </c>
      <c r="G82" s="2">
        <v>13.0</v>
      </c>
      <c r="H82" s="2">
        <v>16.0</v>
      </c>
      <c r="I82" s="2">
        <v>32.0</v>
      </c>
      <c r="J82" s="3">
        <f t="shared" si="2"/>
        <v>10.80555556</v>
      </c>
      <c r="K82" s="2">
        <v>90.0</v>
      </c>
      <c r="L82" s="2">
        <v>200.0</v>
      </c>
      <c r="N82" s="3">
        <f t="shared" si="3"/>
        <v>200</v>
      </c>
      <c r="O82" s="2">
        <v>99.0</v>
      </c>
      <c r="P82" s="2">
        <f t="shared" si="4"/>
        <v>14.45</v>
      </c>
      <c r="Q82" s="2">
        <v>7.0</v>
      </c>
      <c r="R82" s="2">
        <v>8.0</v>
      </c>
      <c r="S82" s="2">
        <v>12.0</v>
      </c>
      <c r="T82" s="2">
        <v>8.0</v>
      </c>
      <c r="U82" s="2">
        <v>15.0</v>
      </c>
      <c r="V82" s="2">
        <v>12.0</v>
      </c>
      <c r="W82" s="2">
        <v>20.0</v>
      </c>
      <c r="X82" s="2">
        <v>27.0</v>
      </c>
      <c r="Y82" s="2">
        <v>25.0</v>
      </c>
      <c r="Z82" s="2">
        <v>30.0</v>
      </c>
      <c r="AA82" s="2">
        <v>30.0</v>
      </c>
      <c r="AB82" s="2">
        <f t="shared" si="5"/>
        <v>9.7</v>
      </c>
      <c r="AC82" s="2">
        <v>50.0</v>
      </c>
      <c r="AD82" s="2">
        <v>280.0</v>
      </c>
      <c r="AE82" s="3">
        <f t="shared" si="6"/>
        <v>8.25</v>
      </c>
      <c r="AF82" s="4">
        <f t="shared" si="7"/>
        <v>87.20555556</v>
      </c>
    </row>
    <row r="83">
      <c r="A83" s="1" t="s">
        <v>256</v>
      </c>
      <c r="B83" s="1" t="s">
        <v>257</v>
      </c>
      <c r="C83" s="2" t="s">
        <v>258</v>
      </c>
      <c r="D83" s="2">
        <f>VLOOKUP(B83,'DSAI-Vikrant'!$B$2:$F$44,5)</f>
        <v>39</v>
      </c>
      <c r="E83" s="2">
        <v>17.0</v>
      </c>
      <c r="F83" s="2">
        <f t="shared" si="1"/>
        <v>28</v>
      </c>
      <c r="G83" s="2">
        <v>8.0</v>
      </c>
      <c r="H83" s="2">
        <v>4.0</v>
      </c>
      <c r="I83" s="2">
        <v>15.0</v>
      </c>
      <c r="J83" s="3">
        <f t="shared" si="2"/>
        <v>4.666666667</v>
      </c>
      <c r="K83" s="2">
        <v>90.0</v>
      </c>
      <c r="L83" s="2">
        <v>170.0</v>
      </c>
      <c r="N83" s="3">
        <f t="shared" si="3"/>
        <v>170</v>
      </c>
      <c r="O83" s="2">
        <v>90.0</v>
      </c>
      <c r="P83" s="2">
        <f t="shared" si="4"/>
        <v>13.25</v>
      </c>
      <c r="Q83" s="2">
        <v>6.0</v>
      </c>
      <c r="R83" s="2">
        <v>5.0</v>
      </c>
      <c r="S83" s="2">
        <v>0.0</v>
      </c>
      <c r="T83" s="2">
        <v>3.0</v>
      </c>
      <c r="U83" s="2">
        <v>14.0</v>
      </c>
      <c r="V83" s="2">
        <v>15.0</v>
      </c>
      <c r="W83" s="2">
        <v>20.0</v>
      </c>
      <c r="X83" s="2">
        <v>25.0</v>
      </c>
      <c r="Y83" s="2">
        <v>24.0</v>
      </c>
      <c r="Z83" s="2">
        <v>30.0</v>
      </c>
      <c r="AA83" s="2">
        <v>28.0</v>
      </c>
      <c r="AB83" s="2">
        <f t="shared" si="5"/>
        <v>8.5</v>
      </c>
      <c r="AC83" s="2">
        <v>35.0</v>
      </c>
      <c r="AD83" s="2">
        <v>280.0</v>
      </c>
      <c r="AE83" s="3">
        <f t="shared" si="6"/>
        <v>7.875</v>
      </c>
      <c r="AF83" s="4">
        <f t="shared" si="7"/>
        <v>62.29166667</v>
      </c>
    </row>
    <row r="84">
      <c r="A84" s="1" t="s">
        <v>259</v>
      </c>
      <c r="B84" s="1" t="s">
        <v>260</v>
      </c>
      <c r="C84" s="2" t="s">
        <v>261</v>
      </c>
      <c r="D84" s="2">
        <f>VLOOKUP(B84,'DSAI-Vikrant'!$B$2:$F$44,5)</f>
        <v>47</v>
      </c>
      <c r="E84" s="2">
        <v>25.0</v>
      </c>
      <c r="F84" s="2">
        <f t="shared" si="1"/>
        <v>36</v>
      </c>
      <c r="G84" s="2">
        <v>9.0</v>
      </c>
      <c r="H84" s="2">
        <v>11.5</v>
      </c>
      <c r="I84" s="2">
        <v>8.0</v>
      </c>
      <c r="J84" s="3">
        <f t="shared" si="2"/>
        <v>6.013888889</v>
      </c>
      <c r="K84" s="2">
        <v>95.0</v>
      </c>
      <c r="L84" s="2">
        <v>0.0</v>
      </c>
      <c r="M84" s="2">
        <v>185.0</v>
      </c>
      <c r="N84" s="3">
        <f t="shared" si="3"/>
        <v>185</v>
      </c>
      <c r="O84" s="2">
        <v>80.0</v>
      </c>
      <c r="P84" s="2">
        <f t="shared" si="4"/>
        <v>13.375</v>
      </c>
      <c r="Q84" s="2">
        <v>6.0</v>
      </c>
      <c r="R84" s="2">
        <v>2.0</v>
      </c>
      <c r="S84" s="2">
        <v>8.0</v>
      </c>
      <c r="T84" s="2">
        <v>8.0</v>
      </c>
      <c r="U84" s="2">
        <v>13.0</v>
      </c>
      <c r="V84" s="2">
        <v>12.0</v>
      </c>
      <c r="W84" s="2">
        <v>18.0</v>
      </c>
      <c r="X84" s="2">
        <v>26.0</v>
      </c>
      <c r="Y84" s="2">
        <v>24.0</v>
      </c>
      <c r="Z84" s="2">
        <v>28.0</v>
      </c>
      <c r="AA84" s="2">
        <v>28.0</v>
      </c>
      <c r="AB84" s="2">
        <f t="shared" si="5"/>
        <v>8.65</v>
      </c>
      <c r="AC84" s="2">
        <v>0.0</v>
      </c>
      <c r="AD84" s="2">
        <v>300.0</v>
      </c>
      <c r="AE84" s="3">
        <f t="shared" si="6"/>
        <v>7.5</v>
      </c>
      <c r="AF84" s="4">
        <f t="shared" si="7"/>
        <v>71.53888889</v>
      </c>
    </row>
    <row r="85">
      <c r="A85" s="1" t="s">
        <v>262</v>
      </c>
      <c r="B85" s="1" t="s">
        <v>263</v>
      </c>
      <c r="C85" s="2" t="s">
        <v>264</v>
      </c>
      <c r="D85" s="2">
        <f>VLOOKUP(B85,'DSAI-Vikrant'!$B$2:$F$44,5)</f>
        <v>45</v>
      </c>
      <c r="E85" s="2">
        <v>20.0</v>
      </c>
      <c r="F85" s="2">
        <f t="shared" si="1"/>
        <v>32.5</v>
      </c>
      <c r="G85" s="2">
        <v>6.0</v>
      </c>
      <c r="H85" s="2">
        <v>5.0</v>
      </c>
      <c r="I85" s="2">
        <v>25.0</v>
      </c>
      <c r="J85" s="3">
        <f t="shared" si="2"/>
        <v>5.527777778</v>
      </c>
      <c r="K85" s="2">
        <v>95.0</v>
      </c>
      <c r="L85" s="2">
        <v>175.0</v>
      </c>
      <c r="N85" s="3">
        <f t="shared" si="3"/>
        <v>175</v>
      </c>
      <c r="O85" s="2">
        <v>85.0</v>
      </c>
      <c r="P85" s="2">
        <f t="shared" si="4"/>
        <v>13.375</v>
      </c>
      <c r="Q85" s="2">
        <v>7.0</v>
      </c>
      <c r="R85" s="2">
        <v>5.0</v>
      </c>
      <c r="S85" s="2">
        <v>10.0</v>
      </c>
      <c r="U85" s="2">
        <v>14.0</v>
      </c>
      <c r="V85" s="2">
        <v>13.0</v>
      </c>
      <c r="W85" s="2">
        <v>20.0</v>
      </c>
      <c r="X85" s="2">
        <v>26.0</v>
      </c>
      <c r="Y85" s="2">
        <v>24.0</v>
      </c>
      <c r="Z85" s="2">
        <v>28.0</v>
      </c>
      <c r="AA85" s="2">
        <v>27.0</v>
      </c>
      <c r="AB85" s="2">
        <f t="shared" si="5"/>
        <v>8.7</v>
      </c>
      <c r="AC85" s="2">
        <v>10.0</v>
      </c>
      <c r="AD85" s="2">
        <v>270.0</v>
      </c>
      <c r="AE85" s="3">
        <f t="shared" si="6"/>
        <v>7</v>
      </c>
      <c r="AF85" s="4">
        <f t="shared" si="7"/>
        <v>67.10277778</v>
      </c>
    </row>
    <row r="86">
      <c r="A86" s="1" t="s">
        <v>265</v>
      </c>
      <c r="B86" s="1" t="s">
        <v>266</v>
      </c>
      <c r="C86" s="2" t="s">
        <v>267</v>
      </c>
      <c r="D86" s="2">
        <f>VLOOKUP(B86,'DSAI-Vikrant'!$B$2:$F$44,5)</f>
        <v>20</v>
      </c>
      <c r="E86" s="2">
        <v>11.0</v>
      </c>
      <c r="F86" s="2">
        <f t="shared" si="1"/>
        <v>15.5</v>
      </c>
      <c r="G86" s="2">
        <v>6.0</v>
      </c>
      <c r="H86" s="2">
        <v>5.0</v>
      </c>
      <c r="I86" s="2">
        <v>0.0</v>
      </c>
      <c r="J86" s="3">
        <f t="shared" si="2"/>
        <v>2.75</v>
      </c>
      <c r="K86" s="2">
        <v>90.0</v>
      </c>
      <c r="L86" s="2">
        <v>160.0</v>
      </c>
      <c r="N86" s="3">
        <f t="shared" si="3"/>
        <v>160</v>
      </c>
      <c r="O86" s="2">
        <v>94.0</v>
      </c>
      <c r="P86" s="2">
        <f t="shared" si="4"/>
        <v>13.2</v>
      </c>
      <c r="Q86" s="2">
        <v>7.0</v>
      </c>
      <c r="R86" s="2">
        <v>6.0</v>
      </c>
      <c r="S86" s="2">
        <v>7.0</v>
      </c>
      <c r="T86" s="2">
        <v>7.0</v>
      </c>
      <c r="U86" s="2">
        <v>13.0</v>
      </c>
      <c r="V86" s="2">
        <v>12.0</v>
      </c>
      <c r="W86" s="2">
        <v>17.0</v>
      </c>
      <c r="X86" s="2">
        <v>22.0</v>
      </c>
      <c r="Y86" s="2">
        <v>26.0</v>
      </c>
      <c r="Z86" s="2">
        <v>28.0</v>
      </c>
      <c r="AA86" s="2">
        <v>28.0</v>
      </c>
      <c r="AB86" s="2">
        <f t="shared" si="5"/>
        <v>8.65</v>
      </c>
      <c r="AC86" s="2">
        <v>50.0</v>
      </c>
      <c r="AD86" s="2">
        <v>300.0</v>
      </c>
      <c r="AE86" s="3">
        <f t="shared" si="6"/>
        <v>8.75</v>
      </c>
      <c r="AF86" s="4">
        <f t="shared" si="7"/>
        <v>48.85</v>
      </c>
    </row>
    <row r="87">
      <c r="A87" s="1" t="s">
        <v>268</v>
      </c>
      <c r="B87" s="1" t="s">
        <v>269</v>
      </c>
      <c r="C87" s="2" t="s">
        <v>270</v>
      </c>
      <c r="D87" s="2">
        <f>VLOOKUP(B87,'DSAI-Vikrant'!$B$2:$F$44,5)</f>
        <v>48</v>
      </c>
      <c r="E87" s="2">
        <v>29.0</v>
      </c>
      <c r="F87" s="2">
        <f t="shared" si="1"/>
        <v>38.5</v>
      </c>
      <c r="G87" s="2">
        <v>15.0</v>
      </c>
      <c r="H87" s="2">
        <v>13.0</v>
      </c>
      <c r="I87" s="2">
        <v>35.5</v>
      </c>
      <c r="J87" s="3">
        <f t="shared" si="2"/>
        <v>10.94444444</v>
      </c>
      <c r="K87" s="2">
        <v>90.0</v>
      </c>
      <c r="L87" s="2">
        <v>200.0</v>
      </c>
      <c r="N87" s="3">
        <f t="shared" si="3"/>
        <v>200</v>
      </c>
      <c r="O87" s="2">
        <v>92.0</v>
      </c>
      <c r="P87" s="2">
        <f t="shared" si="4"/>
        <v>14.1</v>
      </c>
      <c r="Q87" s="2">
        <v>7.0</v>
      </c>
      <c r="R87" s="2">
        <v>9.0</v>
      </c>
      <c r="S87" s="2">
        <v>11.0</v>
      </c>
      <c r="T87" s="2">
        <v>7.0</v>
      </c>
      <c r="U87" s="2">
        <v>15.0</v>
      </c>
      <c r="V87" s="2">
        <v>15.0</v>
      </c>
      <c r="W87" s="2">
        <v>20.0</v>
      </c>
      <c r="X87" s="2">
        <v>30.0</v>
      </c>
      <c r="Y87" s="2">
        <v>30.0</v>
      </c>
      <c r="Z87" s="2">
        <v>29.0</v>
      </c>
      <c r="AA87" s="2">
        <v>27.0</v>
      </c>
      <c r="AB87" s="2">
        <f t="shared" si="5"/>
        <v>10</v>
      </c>
      <c r="AC87" s="2">
        <v>10.0</v>
      </c>
      <c r="AD87" s="2">
        <v>335.0</v>
      </c>
      <c r="AE87" s="3">
        <f t="shared" si="6"/>
        <v>8.625</v>
      </c>
      <c r="AF87" s="4">
        <f t="shared" si="7"/>
        <v>82.16944444</v>
      </c>
    </row>
    <row r="88">
      <c r="A88" s="1" t="s">
        <v>271</v>
      </c>
      <c r="B88" s="1" t="s">
        <v>272</v>
      </c>
      <c r="C88" s="2" t="s">
        <v>273</v>
      </c>
      <c r="D88" s="2">
        <f>VLOOKUP(B88,'DSAI-Vikrant'!$B$2:$F$44,5)</f>
        <v>46</v>
      </c>
      <c r="E88" s="2">
        <v>37.0</v>
      </c>
      <c r="F88" s="2">
        <f t="shared" si="1"/>
        <v>41.5</v>
      </c>
      <c r="G88" s="2">
        <v>18.0</v>
      </c>
      <c r="H88" s="2">
        <v>17.5</v>
      </c>
      <c r="I88" s="2">
        <v>17.0</v>
      </c>
      <c r="J88" s="3">
        <f t="shared" si="2"/>
        <v>10.76388889</v>
      </c>
      <c r="K88" s="2">
        <v>100.0</v>
      </c>
      <c r="L88" s="2">
        <v>200.0</v>
      </c>
      <c r="N88" s="3">
        <f t="shared" si="3"/>
        <v>200</v>
      </c>
      <c r="O88" s="2">
        <v>88.0</v>
      </c>
      <c r="P88" s="2">
        <f t="shared" si="4"/>
        <v>14.4</v>
      </c>
      <c r="Q88" s="2">
        <v>4.0</v>
      </c>
      <c r="R88" s="2">
        <v>7.0</v>
      </c>
      <c r="S88" s="2">
        <v>13.0</v>
      </c>
      <c r="T88" s="2">
        <v>13.0</v>
      </c>
      <c r="U88" s="2">
        <v>13.0</v>
      </c>
      <c r="V88" s="2">
        <v>15.0</v>
      </c>
      <c r="W88" s="2">
        <v>20.0</v>
      </c>
      <c r="X88" s="2">
        <v>30.0</v>
      </c>
      <c r="Y88" s="2">
        <v>27.0</v>
      </c>
      <c r="Z88" s="2">
        <v>29.0</v>
      </c>
      <c r="AA88" s="2">
        <v>28.0</v>
      </c>
      <c r="AB88" s="2">
        <f t="shared" si="5"/>
        <v>9.95</v>
      </c>
      <c r="AC88" s="2">
        <v>25.0</v>
      </c>
      <c r="AD88" s="2">
        <v>320.0</v>
      </c>
      <c r="AE88" s="3">
        <f t="shared" si="6"/>
        <v>8.625</v>
      </c>
      <c r="AF88" s="4">
        <f t="shared" si="7"/>
        <v>85.23888889</v>
      </c>
    </row>
    <row r="89">
      <c r="A89" s="1" t="s">
        <v>274</v>
      </c>
      <c r="B89" s="1" t="s">
        <v>275</v>
      </c>
      <c r="C89" s="2" t="s">
        <v>276</v>
      </c>
      <c r="D89" s="2">
        <f>VLOOKUP(B89,'DSAI-Vikrant'!$B$2:$F$44,5)</f>
        <v>42</v>
      </c>
      <c r="E89" s="2">
        <v>40.0</v>
      </c>
      <c r="F89" s="2">
        <f t="shared" si="1"/>
        <v>41</v>
      </c>
      <c r="G89" s="2">
        <v>8.5</v>
      </c>
      <c r="H89" s="2">
        <v>16.5</v>
      </c>
      <c r="I89" s="2">
        <v>29.0</v>
      </c>
      <c r="J89" s="3">
        <f t="shared" si="2"/>
        <v>9.472222222</v>
      </c>
      <c r="K89" s="2">
        <v>100.0</v>
      </c>
      <c r="L89" s="2">
        <v>200.0</v>
      </c>
      <c r="N89" s="3">
        <f t="shared" si="3"/>
        <v>200</v>
      </c>
      <c r="O89" s="2">
        <v>90.0</v>
      </c>
      <c r="P89" s="2">
        <f t="shared" si="4"/>
        <v>14.5</v>
      </c>
      <c r="R89" s="2">
        <v>8.0</v>
      </c>
      <c r="S89" s="2">
        <v>12.0</v>
      </c>
      <c r="T89" s="2">
        <v>7.0</v>
      </c>
      <c r="U89" s="2">
        <v>15.0</v>
      </c>
      <c r="V89" s="2">
        <v>14.0</v>
      </c>
      <c r="W89" s="2">
        <v>20.0</v>
      </c>
      <c r="X89" s="2">
        <v>30.0</v>
      </c>
      <c r="Y89" s="2">
        <v>29.0</v>
      </c>
      <c r="Z89" s="2">
        <v>27.0</v>
      </c>
      <c r="AA89" s="2">
        <v>29.0</v>
      </c>
      <c r="AB89" s="2">
        <f t="shared" si="5"/>
        <v>9.55</v>
      </c>
      <c r="AC89" s="2">
        <v>20.0</v>
      </c>
      <c r="AD89" s="2">
        <v>45.0</v>
      </c>
      <c r="AE89" s="3">
        <f t="shared" si="6"/>
        <v>1.625</v>
      </c>
      <c r="AF89" s="4">
        <f t="shared" si="7"/>
        <v>76.14722222</v>
      </c>
    </row>
    <row r="90">
      <c r="A90" s="1" t="s">
        <v>280</v>
      </c>
      <c r="B90" s="1" t="s">
        <v>281</v>
      </c>
      <c r="C90" s="2" t="s">
        <v>282</v>
      </c>
      <c r="D90" s="2">
        <f>VLOOKUP(B90,'DSAI-Vikrant'!$B$2:$F$44,5)</f>
        <v>48</v>
      </c>
      <c r="E90" s="2">
        <v>26.0</v>
      </c>
      <c r="F90" s="2">
        <f t="shared" si="1"/>
        <v>37</v>
      </c>
      <c r="G90" s="2">
        <v>11.0</v>
      </c>
      <c r="H90" s="2">
        <v>16.5</v>
      </c>
      <c r="I90" s="2">
        <v>33.0</v>
      </c>
      <c r="J90" s="3">
        <f t="shared" si="2"/>
        <v>10.54166667</v>
      </c>
      <c r="K90" s="2">
        <v>95.0</v>
      </c>
      <c r="L90" s="2">
        <v>196.0</v>
      </c>
      <c r="N90" s="3">
        <f t="shared" si="3"/>
        <v>196</v>
      </c>
      <c r="O90" s="2">
        <v>91.0</v>
      </c>
      <c r="P90" s="2">
        <f t="shared" si="4"/>
        <v>14.2</v>
      </c>
      <c r="Q90" s="2">
        <v>7.0</v>
      </c>
      <c r="R90" s="2">
        <v>7.0</v>
      </c>
      <c r="S90" s="2">
        <v>9.0</v>
      </c>
      <c r="T90" s="2">
        <v>8.0</v>
      </c>
      <c r="U90" s="2">
        <v>15.0</v>
      </c>
      <c r="V90" s="2">
        <v>15.0</v>
      </c>
      <c r="W90" s="2">
        <v>15.0</v>
      </c>
      <c r="X90" s="2">
        <v>29.0</v>
      </c>
      <c r="Y90" s="2">
        <v>22.0</v>
      </c>
      <c r="Z90" s="2">
        <v>29.0</v>
      </c>
      <c r="AA90" s="2">
        <v>28.0</v>
      </c>
      <c r="AB90" s="2">
        <f t="shared" si="5"/>
        <v>9.2</v>
      </c>
      <c r="AC90" s="2">
        <v>30.0</v>
      </c>
      <c r="AD90" s="2">
        <v>310.0</v>
      </c>
      <c r="AE90" s="3">
        <f t="shared" si="6"/>
        <v>8.5</v>
      </c>
      <c r="AF90" s="4">
        <f t="shared" si="7"/>
        <v>79.44166667</v>
      </c>
    </row>
    <row r="91">
      <c r="A91" s="1" t="s">
        <v>283</v>
      </c>
      <c r="B91" s="1" t="s">
        <v>284</v>
      </c>
      <c r="C91" s="2" t="s">
        <v>285</v>
      </c>
      <c r="D91" s="2">
        <f>VLOOKUP(B91,'DSAI-Vikrant'!$B$2:$F$44,5)</f>
        <v>43</v>
      </c>
      <c r="E91" s="2">
        <v>35.0</v>
      </c>
      <c r="F91" s="2">
        <f t="shared" si="1"/>
        <v>39</v>
      </c>
      <c r="G91" s="2">
        <v>15.0</v>
      </c>
      <c r="H91" s="2">
        <v>18.5</v>
      </c>
      <c r="I91" s="2">
        <v>36.0</v>
      </c>
      <c r="J91" s="3">
        <f t="shared" si="2"/>
        <v>12.375</v>
      </c>
      <c r="K91" s="2">
        <v>90.0</v>
      </c>
      <c r="L91" s="2">
        <v>192.0</v>
      </c>
      <c r="N91" s="3">
        <f t="shared" si="3"/>
        <v>192</v>
      </c>
      <c r="O91" s="2">
        <v>93.0</v>
      </c>
      <c r="P91" s="2">
        <f t="shared" si="4"/>
        <v>13.95</v>
      </c>
      <c r="Q91" s="2">
        <v>7.0</v>
      </c>
      <c r="R91" s="2">
        <v>7.0</v>
      </c>
      <c r="S91" s="2">
        <v>0.0</v>
      </c>
      <c r="T91" s="2">
        <v>8.0</v>
      </c>
      <c r="U91" s="2">
        <v>13.0</v>
      </c>
      <c r="V91" s="2">
        <v>15.0</v>
      </c>
      <c r="W91" s="2">
        <v>20.0</v>
      </c>
      <c r="X91" s="2">
        <v>29.0</v>
      </c>
      <c r="Y91" s="2">
        <v>26.0</v>
      </c>
      <c r="Z91" s="2">
        <v>29.0</v>
      </c>
      <c r="AA91" s="2">
        <v>29.0</v>
      </c>
      <c r="AB91" s="2">
        <f t="shared" si="5"/>
        <v>9.15</v>
      </c>
      <c r="AC91" s="2">
        <v>50.0</v>
      </c>
      <c r="AD91" s="2">
        <v>330.0</v>
      </c>
      <c r="AE91" s="3">
        <f t="shared" si="6"/>
        <v>9.5</v>
      </c>
      <c r="AF91" s="4">
        <f t="shared" si="7"/>
        <v>83.975</v>
      </c>
    </row>
    <row r="92">
      <c r="A92" s="1" t="s">
        <v>286</v>
      </c>
      <c r="B92" s="1" t="s">
        <v>287</v>
      </c>
      <c r="C92" s="2" t="s">
        <v>288</v>
      </c>
      <c r="D92" s="2">
        <f>VLOOKUP(B92,'DSAI-Vikrant'!$B$2:$F$44,5)</f>
        <v>52</v>
      </c>
      <c r="E92" s="2">
        <v>27.0</v>
      </c>
      <c r="F92" s="2">
        <f t="shared" si="1"/>
        <v>39.5</v>
      </c>
      <c r="G92" s="2">
        <v>14.0</v>
      </c>
      <c r="H92" s="2">
        <v>14.0</v>
      </c>
      <c r="I92" s="2">
        <v>20.5</v>
      </c>
      <c r="J92" s="3">
        <f t="shared" si="2"/>
        <v>9.277777778</v>
      </c>
      <c r="K92" s="2">
        <v>95.0</v>
      </c>
      <c r="L92" s="2">
        <v>199.0</v>
      </c>
      <c r="N92" s="3">
        <f t="shared" si="3"/>
        <v>199</v>
      </c>
      <c r="O92" s="2">
        <v>95.0</v>
      </c>
      <c r="P92" s="2">
        <f t="shared" si="4"/>
        <v>14.475</v>
      </c>
      <c r="Q92" s="2">
        <v>7.0</v>
      </c>
      <c r="R92" s="2">
        <v>3.0</v>
      </c>
      <c r="S92" s="2">
        <v>8.0</v>
      </c>
      <c r="T92" s="2">
        <v>0.0</v>
      </c>
      <c r="U92" s="2">
        <v>15.0</v>
      </c>
      <c r="V92" s="2">
        <v>15.0</v>
      </c>
      <c r="W92" s="2">
        <v>20.0</v>
      </c>
      <c r="X92" s="2">
        <v>30.0</v>
      </c>
      <c r="Y92" s="2">
        <v>28.0</v>
      </c>
      <c r="Z92" s="2">
        <v>28.0</v>
      </c>
      <c r="AA92" s="2">
        <v>28.0</v>
      </c>
      <c r="AB92" s="2">
        <f t="shared" si="5"/>
        <v>9.1</v>
      </c>
      <c r="AC92" s="2">
        <v>10.0</v>
      </c>
      <c r="AD92" s="2">
        <v>335.0</v>
      </c>
      <c r="AE92" s="3">
        <f t="shared" si="6"/>
        <v>8.625</v>
      </c>
      <c r="AF92" s="4">
        <f t="shared" si="7"/>
        <v>80.97777778</v>
      </c>
    </row>
    <row r="93">
      <c r="A93" s="1" t="s">
        <v>289</v>
      </c>
      <c r="B93" s="1" t="s">
        <v>290</v>
      </c>
      <c r="C93" s="2" t="s">
        <v>291</v>
      </c>
      <c r="D93" s="2">
        <f>VLOOKUP(B93,'DSAI-Vikrant'!$B$2:$F$44,5)</f>
        <v>43</v>
      </c>
      <c r="E93" s="2">
        <v>35.0</v>
      </c>
      <c r="F93" s="2">
        <f t="shared" si="1"/>
        <v>39</v>
      </c>
      <c r="G93" s="2">
        <v>14.5</v>
      </c>
      <c r="H93" s="2">
        <v>19.0</v>
      </c>
      <c r="I93" s="2">
        <v>34.0</v>
      </c>
      <c r="J93" s="3">
        <f t="shared" si="2"/>
        <v>12.15277778</v>
      </c>
      <c r="K93" s="2">
        <v>80.0</v>
      </c>
      <c r="L93" s="2">
        <v>192.0</v>
      </c>
      <c r="N93" s="3">
        <f t="shared" si="3"/>
        <v>192</v>
      </c>
      <c r="O93" s="2">
        <v>86.0</v>
      </c>
      <c r="P93" s="2">
        <f t="shared" si="4"/>
        <v>13.1</v>
      </c>
      <c r="Q93" s="2">
        <v>6.0</v>
      </c>
      <c r="R93" s="2">
        <v>6.0</v>
      </c>
      <c r="S93" s="2">
        <v>12.0</v>
      </c>
      <c r="T93" s="2">
        <v>8.0</v>
      </c>
      <c r="U93" s="2">
        <v>13.0</v>
      </c>
      <c r="V93" s="2">
        <v>13.0</v>
      </c>
      <c r="W93" s="2">
        <v>20.0</v>
      </c>
      <c r="X93" s="2">
        <v>26.0</v>
      </c>
      <c r="Y93" s="2">
        <v>23.0</v>
      </c>
      <c r="Z93" s="2">
        <v>29.0</v>
      </c>
      <c r="AA93" s="2">
        <v>28.0</v>
      </c>
      <c r="AB93" s="2">
        <f t="shared" si="5"/>
        <v>9.2</v>
      </c>
      <c r="AC93" s="2">
        <v>40.0</v>
      </c>
      <c r="AD93" s="2">
        <v>330.0</v>
      </c>
      <c r="AE93" s="3">
        <f t="shared" si="6"/>
        <v>9.25</v>
      </c>
      <c r="AF93" s="4">
        <f t="shared" si="7"/>
        <v>82.70277778</v>
      </c>
    </row>
    <row r="94">
      <c r="A94" s="1" t="s">
        <v>294</v>
      </c>
      <c r="B94" s="1" t="s">
        <v>295</v>
      </c>
      <c r="C94" s="2" t="s">
        <v>296</v>
      </c>
      <c r="D94" s="2">
        <f>VLOOKUP(B94,'DSAI-Vikrant'!$B$2:$F$44,5)</f>
        <v>35</v>
      </c>
      <c r="E94" s="2">
        <v>17.0</v>
      </c>
      <c r="F94" s="2">
        <f t="shared" si="1"/>
        <v>26</v>
      </c>
      <c r="G94" s="2">
        <v>3.0</v>
      </c>
      <c r="H94" s="2">
        <v>10.5</v>
      </c>
      <c r="I94" s="2">
        <v>21.0</v>
      </c>
      <c r="J94" s="3">
        <f t="shared" si="2"/>
        <v>5.708333333</v>
      </c>
      <c r="K94" s="2">
        <v>90.0</v>
      </c>
      <c r="L94" s="2">
        <v>0.0</v>
      </c>
      <c r="M94" s="2">
        <v>165.0</v>
      </c>
      <c r="N94" s="3">
        <f t="shared" si="3"/>
        <v>165</v>
      </c>
      <c r="O94" s="2">
        <v>85.0</v>
      </c>
      <c r="P94" s="2">
        <f t="shared" si="4"/>
        <v>12.875</v>
      </c>
      <c r="Q94" s="2">
        <v>7.0</v>
      </c>
      <c r="R94" s="2">
        <v>3.0</v>
      </c>
      <c r="S94" s="2">
        <v>7.0</v>
      </c>
      <c r="T94" s="2">
        <v>6.0</v>
      </c>
      <c r="U94" s="2">
        <v>14.0</v>
      </c>
      <c r="V94" s="2">
        <v>12.0</v>
      </c>
      <c r="W94" s="2">
        <v>15.0</v>
      </c>
      <c r="X94" s="2">
        <v>28.0</v>
      </c>
      <c r="Y94" s="2">
        <v>30.0</v>
      </c>
      <c r="Z94" s="2">
        <v>30.0</v>
      </c>
      <c r="AB94" s="2">
        <f t="shared" si="5"/>
        <v>7.6</v>
      </c>
      <c r="AC94" s="2">
        <v>50.0</v>
      </c>
      <c r="AD94" s="2">
        <v>340.0</v>
      </c>
      <c r="AE94" s="3">
        <f t="shared" si="6"/>
        <v>9.75</v>
      </c>
      <c r="AF94" s="4">
        <f t="shared" si="7"/>
        <v>61.93333333</v>
      </c>
    </row>
    <row r="95">
      <c r="A95" s="1" t="s">
        <v>297</v>
      </c>
      <c r="B95" s="1" t="s">
        <v>298</v>
      </c>
      <c r="C95" s="2" t="s">
        <v>299</v>
      </c>
      <c r="D95" s="2">
        <f>VLOOKUP(B95,'DSAI-Vikrant'!$B$2:$F$44,5)</f>
        <v>15</v>
      </c>
      <c r="E95" s="2">
        <v>18.0</v>
      </c>
      <c r="F95" s="2">
        <f t="shared" si="1"/>
        <v>16.5</v>
      </c>
      <c r="G95" s="2">
        <v>7.0</v>
      </c>
      <c r="H95" s="2">
        <v>0.0</v>
      </c>
      <c r="I95" s="2">
        <v>5.5</v>
      </c>
      <c r="J95" s="3">
        <f t="shared" si="2"/>
        <v>2.361111111</v>
      </c>
      <c r="K95" s="2">
        <v>30.0</v>
      </c>
      <c r="L95" s="2">
        <v>165.0</v>
      </c>
      <c r="N95" s="3">
        <f t="shared" si="3"/>
        <v>165</v>
      </c>
      <c r="O95" s="2">
        <v>0.0</v>
      </c>
      <c r="P95" s="2">
        <f t="shared" si="4"/>
        <v>5.625</v>
      </c>
      <c r="R95" s="2">
        <v>4.0</v>
      </c>
      <c r="S95" s="2">
        <v>8.0</v>
      </c>
      <c r="T95" s="2">
        <v>4.0</v>
      </c>
      <c r="U95" s="2">
        <v>15.0</v>
      </c>
      <c r="V95" s="2">
        <v>15.0</v>
      </c>
      <c r="W95" s="2">
        <v>15.0</v>
      </c>
      <c r="X95" s="2">
        <v>0.0</v>
      </c>
      <c r="Y95" s="2">
        <v>0.0</v>
      </c>
      <c r="Z95" s="2">
        <v>30.0</v>
      </c>
      <c r="AA95" s="2">
        <v>26.0</v>
      </c>
      <c r="AB95" s="2">
        <f t="shared" si="5"/>
        <v>5.85</v>
      </c>
      <c r="AC95" s="2">
        <v>10.0</v>
      </c>
      <c r="AD95" s="2">
        <v>310.0</v>
      </c>
      <c r="AE95" s="3">
        <f t="shared" si="6"/>
        <v>8</v>
      </c>
      <c r="AF95" s="4">
        <f t="shared" si="7"/>
        <v>38.33611111</v>
      </c>
    </row>
    <row r="96">
      <c r="A96" s="1" t="s">
        <v>300</v>
      </c>
      <c r="B96" s="1" t="s">
        <v>301</v>
      </c>
      <c r="C96" s="2" t="s">
        <v>302</v>
      </c>
      <c r="D96" s="2">
        <f>VLOOKUP(B96,'DSAI-Vikrant'!$B$2:$F$44,5)</f>
        <v>44</v>
      </c>
      <c r="E96" s="2">
        <v>34.0</v>
      </c>
      <c r="F96" s="2">
        <f t="shared" si="1"/>
        <v>39</v>
      </c>
      <c r="G96" s="2">
        <v>10.0</v>
      </c>
      <c r="H96" s="2">
        <v>12.5</v>
      </c>
      <c r="I96" s="2">
        <v>17.5</v>
      </c>
      <c r="J96" s="3">
        <f t="shared" si="2"/>
        <v>7.569444444</v>
      </c>
      <c r="K96" s="2">
        <v>90.0</v>
      </c>
      <c r="L96" s="2">
        <v>174.0</v>
      </c>
      <c r="N96" s="3">
        <f t="shared" si="3"/>
        <v>174</v>
      </c>
      <c r="O96" s="2">
        <v>90.0</v>
      </c>
      <c r="P96" s="2">
        <f t="shared" si="4"/>
        <v>13.35</v>
      </c>
      <c r="Q96" s="2">
        <v>6.0</v>
      </c>
      <c r="R96" s="2">
        <v>9.0</v>
      </c>
      <c r="S96" s="2">
        <v>7.0</v>
      </c>
      <c r="T96" s="2">
        <v>7.0</v>
      </c>
      <c r="U96" s="2">
        <v>15.0</v>
      </c>
      <c r="V96" s="2">
        <v>15.0</v>
      </c>
      <c r="W96" s="2">
        <v>20.0</v>
      </c>
      <c r="X96" s="2">
        <v>28.0</v>
      </c>
      <c r="Y96" s="2">
        <v>29.0</v>
      </c>
      <c r="Z96" s="2">
        <v>29.0</v>
      </c>
      <c r="AA96" s="2">
        <v>29.0</v>
      </c>
      <c r="AB96" s="2">
        <f t="shared" si="5"/>
        <v>9.7</v>
      </c>
      <c r="AC96" s="2">
        <v>50.0</v>
      </c>
      <c r="AD96" s="2">
        <v>335.0</v>
      </c>
      <c r="AE96" s="3">
        <f t="shared" si="6"/>
        <v>9.625</v>
      </c>
      <c r="AF96" s="4">
        <f t="shared" si="7"/>
        <v>79.24444444</v>
      </c>
    </row>
    <row r="97">
      <c r="A97" s="1" t="s">
        <v>303</v>
      </c>
      <c r="B97" s="1" t="s">
        <v>304</v>
      </c>
      <c r="C97" s="2" t="s">
        <v>305</v>
      </c>
      <c r="D97" s="2">
        <f>VLOOKUP(B97,'DSAI-Vikrant'!$B$2:$F$44,5)</f>
        <v>45</v>
      </c>
      <c r="E97" s="2">
        <v>29.0</v>
      </c>
      <c r="F97" s="2">
        <f t="shared" si="1"/>
        <v>37</v>
      </c>
      <c r="G97" s="2">
        <v>13.0</v>
      </c>
      <c r="H97" s="2">
        <v>14.0</v>
      </c>
      <c r="I97" s="2">
        <v>32.0</v>
      </c>
      <c r="J97" s="3">
        <f t="shared" si="2"/>
        <v>10.30555556</v>
      </c>
      <c r="K97" s="2">
        <v>95.0</v>
      </c>
      <c r="L97" s="2">
        <v>137.0</v>
      </c>
      <c r="N97" s="3">
        <f t="shared" si="3"/>
        <v>137</v>
      </c>
      <c r="O97" s="2">
        <v>86.0</v>
      </c>
      <c r="P97" s="2">
        <f t="shared" si="4"/>
        <v>12.475</v>
      </c>
      <c r="Q97" s="2">
        <v>7.0</v>
      </c>
      <c r="R97" s="2">
        <v>6.0</v>
      </c>
      <c r="S97" s="2">
        <v>14.0</v>
      </c>
      <c r="T97" s="2">
        <v>12.0</v>
      </c>
      <c r="U97" s="2">
        <v>14.0</v>
      </c>
      <c r="V97" s="2">
        <v>15.0</v>
      </c>
      <c r="W97" s="2">
        <v>14.0</v>
      </c>
      <c r="X97" s="2">
        <v>30.0</v>
      </c>
      <c r="Y97" s="2">
        <v>22.0</v>
      </c>
      <c r="Z97" s="2">
        <v>28.0</v>
      </c>
      <c r="AA97" s="2">
        <v>28.0</v>
      </c>
      <c r="AB97" s="2">
        <f t="shared" si="5"/>
        <v>9.5</v>
      </c>
      <c r="AC97" s="2">
        <v>20.0</v>
      </c>
      <c r="AD97" s="2">
        <v>330.0</v>
      </c>
      <c r="AE97" s="3">
        <f t="shared" si="6"/>
        <v>8.75</v>
      </c>
      <c r="AF97" s="4">
        <f t="shared" si="7"/>
        <v>78.03055556</v>
      </c>
    </row>
    <row r="98">
      <c r="A98" s="1" t="s">
        <v>306</v>
      </c>
      <c r="B98" s="1" t="s">
        <v>307</v>
      </c>
      <c r="C98" s="2" t="s">
        <v>308</v>
      </c>
      <c r="D98" s="2">
        <f>VLOOKUP(B98,'DSAI-Vikrant'!$B$2:$F$44,5)</f>
        <v>48</v>
      </c>
      <c r="E98" s="2">
        <v>37.0</v>
      </c>
      <c r="F98" s="2">
        <f t="shared" si="1"/>
        <v>42.5</v>
      </c>
      <c r="G98" s="2">
        <v>16.0</v>
      </c>
      <c r="H98" s="2">
        <v>14.5</v>
      </c>
      <c r="I98" s="2">
        <v>33.5</v>
      </c>
      <c r="J98" s="3">
        <f t="shared" si="2"/>
        <v>11.34722222</v>
      </c>
      <c r="K98" s="2">
        <v>85.0</v>
      </c>
      <c r="L98" s="2">
        <v>194.0</v>
      </c>
      <c r="N98" s="3">
        <f t="shared" si="3"/>
        <v>194</v>
      </c>
      <c r="O98" s="2">
        <v>88.0</v>
      </c>
      <c r="P98" s="2">
        <f t="shared" si="4"/>
        <v>13.5</v>
      </c>
      <c r="Q98" s="2">
        <v>7.0</v>
      </c>
      <c r="R98" s="2">
        <v>7.0</v>
      </c>
      <c r="S98" s="2">
        <v>13.0</v>
      </c>
      <c r="T98" s="2">
        <v>12.0</v>
      </c>
      <c r="U98" s="2">
        <v>13.0</v>
      </c>
      <c r="V98" s="2">
        <v>12.0</v>
      </c>
      <c r="W98" s="2">
        <v>19.0</v>
      </c>
      <c r="X98" s="2">
        <v>29.0</v>
      </c>
      <c r="Y98" s="2">
        <v>26.0</v>
      </c>
      <c r="Z98" s="2">
        <v>29.0</v>
      </c>
      <c r="AA98" s="2">
        <v>29.0</v>
      </c>
      <c r="AB98" s="2">
        <f t="shared" si="5"/>
        <v>9.8</v>
      </c>
      <c r="AC98" s="2">
        <v>50.0</v>
      </c>
      <c r="AD98" s="2">
        <v>330.0</v>
      </c>
      <c r="AE98" s="3">
        <f t="shared" si="6"/>
        <v>9.5</v>
      </c>
      <c r="AF98" s="4">
        <f t="shared" si="7"/>
        <v>86.64722222</v>
      </c>
    </row>
    <row r="99">
      <c r="A99" s="1" t="s">
        <v>309</v>
      </c>
      <c r="B99" s="1" t="s">
        <v>310</v>
      </c>
      <c r="C99" s="2" t="s">
        <v>311</v>
      </c>
      <c r="D99" s="2">
        <f>VLOOKUP(B99,'DSAI-Vikrant'!$B$2:$F$44,5)</f>
        <v>30</v>
      </c>
      <c r="E99" s="2">
        <v>3.0</v>
      </c>
      <c r="F99" s="2">
        <f t="shared" si="1"/>
        <v>16.5</v>
      </c>
      <c r="H99" s="2">
        <v>11.0</v>
      </c>
      <c r="I99" s="2">
        <v>10.0</v>
      </c>
      <c r="J99" s="3">
        <f t="shared" si="2"/>
        <v>3.861111111</v>
      </c>
      <c r="K99" s="2">
        <v>100.0</v>
      </c>
      <c r="L99" s="2">
        <v>100.0</v>
      </c>
      <c r="N99" s="3">
        <f t="shared" si="3"/>
        <v>100</v>
      </c>
      <c r="O99" s="2">
        <v>80.0</v>
      </c>
      <c r="P99" s="2">
        <f t="shared" si="4"/>
        <v>11.5</v>
      </c>
      <c r="Q99" s="2">
        <v>7.0</v>
      </c>
      <c r="R99" s="2">
        <v>4.0</v>
      </c>
      <c r="S99" s="2">
        <v>8.0</v>
      </c>
      <c r="T99" s="2">
        <v>7.0</v>
      </c>
      <c r="U99" s="2">
        <v>15.0</v>
      </c>
      <c r="V99" s="2">
        <v>15.0</v>
      </c>
      <c r="W99" s="2">
        <v>19.0</v>
      </c>
      <c r="X99" s="2">
        <v>0.0</v>
      </c>
      <c r="Y99" s="2">
        <v>0.0</v>
      </c>
      <c r="Z99" s="2">
        <v>30.0</v>
      </c>
      <c r="AA99" s="2">
        <v>28.0</v>
      </c>
      <c r="AB99" s="2">
        <f t="shared" si="5"/>
        <v>6.65</v>
      </c>
      <c r="AC99" s="2">
        <v>30.0</v>
      </c>
      <c r="AD99" s="2">
        <v>335.0</v>
      </c>
      <c r="AE99" s="3">
        <f t="shared" si="6"/>
        <v>9.125</v>
      </c>
      <c r="AF99" s="4">
        <f t="shared" si="7"/>
        <v>47.63611111</v>
      </c>
    </row>
    <row r="100">
      <c r="A100" s="1" t="s">
        <v>312</v>
      </c>
      <c r="B100" s="1" t="s">
        <v>313</v>
      </c>
      <c r="C100" s="2" t="s">
        <v>314</v>
      </c>
      <c r="D100" s="2">
        <f>VLOOKUP(B100,'DSAI-Vikrant'!$B$2:$F$44,5)</f>
        <v>18</v>
      </c>
      <c r="E100" s="2">
        <v>22.0</v>
      </c>
      <c r="F100" s="2">
        <f t="shared" si="1"/>
        <v>20</v>
      </c>
      <c r="G100" s="2">
        <v>8.0</v>
      </c>
      <c r="H100" s="2">
        <v>7.0</v>
      </c>
      <c r="I100" s="2">
        <v>6.0</v>
      </c>
      <c r="J100" s="3">
        <f t="shared" si="2"/>
        <v>4.416666667</v>
      </c>
      <c r="K100" s="2">
        <v>75.0</v>
      </c>
      <c r="L100" s="2">
        <v>0.0</v>
      </c>
      <c r="M100" s="2">
        <v>175.0</v>
      </c>
      <c r="N100" s="3">
        <f t="shared" si="3"/>
        <v>175</v>
      </c>
      <c r="O100" s="2">
        <v>87.0</v>
      </c>
      <c r="P100" s="2">
        <f t="shared" si="4"/>
        <v>12.475</v>
      </c>
      <c r="Q100" s="2">
        <v>7.0</v>
      </c>
      <c r="S100" s="2">
        <v>8.0</v>
      </c>
      <c r="T100" s="2">
        <v>0.0</v>
      </c>
      <c r="U100" s="2">
        <v>14.0</v>
      </c>
      <c r="V100" s="2">
        <v>14.0</v>
      </c>
      <c r="W100" s="2">
        <v>20.0</v>
      </c>
      <c r="X100" s="2">
        <v>0.0</v>
      </c>
      <c r="Y100" s="2">
        <v>0.0</v>
      </c>
      <c r="Z100" s="2">
        <v>28.0</v>
      </c>
      <c r="AA100" s="2">
        <v>30.0</v>
      </c>
      <c r="AB100" s="2">
        <f t="shared" si="5"/>
        <v>6.05</v>
      </c>
      <c r="AC100" s="2">
        <v>30.0</v>
      </c>
      <c r="AD100" s="2">
        <v>320.0</v>
      </c>
      <c r="AE100" s="3">
        <f t="shared" si="6"/>
        <v>8.75</v>
      </c>
      <c r="AF100" s="4">
        <f t="shared" si="7"/>
        <v>51.69166667</v>
      </c>
    </row>
    <row r="101">
      <c r="A101" s="1" t="s">
        <v>315</v>
      </c>
      <c r="B101" s="1" t="s">
        <v>316</v>
      </c>
      <c r="C101" s="2" t="s">
        <v>317</v>
      </c>
      <c r="D101" s="2">
        <f>VLOOKUP(B101,'DSAI-Vikrant'!$B$2:$F$44,5)</f>
        <v>48</v>
      </c>
      <c r="E101" s="2">
        <v>26.0</v>
      </c>
      <c r="F101" s="2">
        <f t="shared" si="1"/>
        <v>37</v>
      </c>
      <c r="G101" s="2">
        <v>10.0</v>
      </c>
      <c r="H101" s="2">
        <v>17.0</v>
      </c>
      <c r="I101" s="2">
        <v>23.0</v>
      </c>
      <c r="J101" s="3">
        <f t="shared" si="2"/>
        <v>9.305555556</v>
      </c>
      <c r="K101" s="2">
        <v>80.0</v>
      </c>
      <c r="L101" s="2">
        <v>180.0</v>
      </c>
      <c r="N101" s="3">
        <f t="shared" si="3"/>
        <v>180</v>
      </c>
      <c r="O101" s="2">
        <v>88.0</v>
      </c>
      <c r="P101" s="2">
        <f t="shared" si="4"/>
        <v>12.9</v>
      </c>
      <c r="Q101" s="2">
        <v>6.0</v>
      </c>
      <c r="R101" s="2">
        <v>7.0</v>
      </c>
      <c r="S101" s="2">
        <v>8.0</v>
      </c>
      <c r="T101" s="2">
        <v>11.0</v>
      </c>
      <c r="U101" s="2">
        <v>12.0</v>
      </c>
      <c r="V101" s="2">
        <v>13.0</v>
      </c>
      <c r="W101" s="2">
        <v>20.0</v>
      </c>
      <c r="X101" s="2">
        <v>28.0</v>
      </c>
      <c r="Y101" s="2">
        <v>23.0</v>
      </c>
      <c r="Z101" s="2">
        <v>28.0</v>
      </c>
      <c r="AA101" s="2">
        <v>28.0</v>
      </c>
      <c r="AB101" s="2">
        <f t="shared" si="5"/>
        <v>9.2</v>
      </c>
      <c r="AC101" s="2">
        <v>40.0</v>
      </c>
      <c r="AD101" s="2">
        <v>330.0</v>
      </c>
      <c r="AE101" s="3">
        <f t="shared" si="6"/>
        <v>9.25</v>
      </c>
      <c r="AF101" s="4">
        <f t="shared" si="7"/>
        <v>77.65555556</v>
      </c>
    </row>
    <row r="102">
      <c r="A102" s="1" t="s">
        <v>318</v>
      </c>
      <c r="B102" s="1" t="s">
        <v>319</v>
      </c>
      <c r="C102" s="2" t="s">
        <v>320</v>
      </c>
      <c r="D102" s="2">
        <f>VLOOKUP(B102,'DSAI-Vikrant'!$B$2:$F$44,5)</f>
        <v>46</v>
      </c>
      <c r="E102" s="2">
        <v>26.0</v>
      </c>
      <c r="F102" s="2">
        <f t="shared" si="1"/>
        <v>36</v>
      </c>
      <c r="G102" s="2">
        <v>12.0</v>
      </c>
      <c r="H102" s="2">
        <v>12.0</v>
      </c>
      <c r="I102" s="2">
        <v>30.0</v>
      </c>
      <c r="J102" s="3">
        <f t="shared" si="2"/>
        <v>9.333333333</v>
      </c>
      <c r="K102" s="2">
        <v>85.0</v>
      </c>
      <c r="L102" s="2">
        <v>200.0</v>
      </c>
      <c r="N102" s="3">
        <f t="shared" si="3"/>
        <v>200</v>
      </c>
      <c r="O102" s="2">
        <v>90.0</v>
      </c>
      <c r="P102" s="2">
        <f t="shared" si="4"/>
        <v>13.75</v>
      </c>
      <c r="Q102" s="2">
        <v>6.0</v>
      </c>
      <c r="R102" s="2">
        <v>3.0</v>
      </c>
      <c r="S102" s="2">
        <v>12.0</v>
      </c>
      <c r="T102" s="2">
        <v>11.0</v>
      </c>
      <c r="U102" s="2">
        <v>10.0</v>
      </c>
      <c r="V102" s="2">
        <v>0.0</v>
      </c>
      <c r="W102" s="2">
        <v>14.0</v>
      </c>
      <c r="X102" s="2">
        <v>26.0</v>
      </c>
      <c r="Y102" s="2">
        <v>28.0</v>
      </c>
      <c r="Z102" s="2">
        <v>28.0</v>
      </c>
      <c r="AA102" s="2">
        <v>28.0</v>
      </c>
      <c r="AB102" s="2">
        <f t="shared" si="5"/>
        <v>8.3</v>
      </c>
      <c r="AC102" s="2">
        <v>0.0</v>
      </c>
      <c r="AD102" s="2">
        <v>310.0</v>
      </c>
      <c r="AE102" s="3">
        <f t="shared" si="6"/>
        <v>7.75</v>
      </c>
      <c r="AF102" s="4">
        <f t="shared" si="7"/>
        <v>75.13333333</v>
      </c>
    </row>
    <row r="103">
      <c r="A103" s="1" t="s">
        <v>321</v>
      </c>
      <c r="B103" s="1" t="s">
        <v>322</v>
      </c>
      <c r="C103" s="2" t="s">
        <v>323</v>
      </c>
      <c r="D103" s="2">
        <f>VLOOKUP(B103,'DSAI-Vikrant'!$B$2:$F$44,5)</f>
        <v>27</v>
      </c>
      <c r="E103" s="2">
        <v>13.0</v>
      </c>
      <c r="F103" s="2">
        <f t="shared" si="1"/>
        <v>20</v>
      </c>
      <c r="G103" s="2">
        <v>10.0</v>
      </c>
      <c r="H103" s="2">
        <v>5.0</v>
      </c>
      <c r="I103" s="2">
        <v>15.5</v>
      </c>
      <c r="J103" s="3">
        <f t="shared" si="2"/>
        <v>5.472222222</v>
      </c>
      <c r="K103" s="2">
        <v>80.0</v>
      </c>
      <c r="L103" s="2">
        <v>0.0</v>
      </c>
      <c r="M103" s="2">
        <v>175.0</v>
      </c>
      <c r="N103" s="3">
        <f t="shared" si="3"/>
        <v>175</v>
      </c>
      <c r="O103" s="2">
        <v>92.0</v>
      </c>
      <c r="P103" s="2">
        <f t="shared" si="4"/>
        <v>12.975</v>
      </c>
      <c r="Q103" s="2">
        <v>5.0</v>
      </c>
      <c r="R103" s="2">
        <v>4.0</v>
      </c>
      <c r="S103" s="2">
        <v>7.0</v>
      </c>
      <c r="T103" s="2">
        <v>11.0</v>
      </c>
      <c r="U103" s="2">
        <v>14.0</v>
      </c>
      <c r="V103" s="2">
        <v>13.0</v>
      </c>
      <c r="W103" s="2">
        <v>14.0</v>
      </c>
      <c r="X103" s="2">
        <v>29.0</v>
      </c>
      <c r="Y103" s="2">
        <v>25.0</v>
      </c>
      <c r="Z103" s="2">
        <v>28.0</v>
      </c>
      <c r="AA103" s="2">
        <v>28.0</v>
      </c>
      <c r="AB103" s="2">
        <f t="shared" si="5"/>
        <v>8.9</v>
      </c>
      <c r="AC103" s="2">
        <v>50.0</v>
      </c>
      <c r="AD103" s="2">
        <v>330.0</v>
      </c>
      <c r="AE103" s="3">
        <f t="shared" si="6"/>
        <v>9.5</v>
      </c>
      <c r="AF103" s="4">
        <f t="shared" si="7"/>
        <v>56.84722222</v>
      </c>
    </row>
    <row r="104">
      <c r="A104" s="1" t="s">
        <v>324</v>
      </c>
      <c r="B104" s="1" t="s">
        <v>325</v>
      </c>
      <c r="C104" s="2" t="s">
        <v>326</v>
      </c>
      <c r="D104" s="2">
        <f>VLOOKUP(B104,'DSAI-Vikrant'!$B$2:$F$44,5)</f>
        <v>39</v>
      </c>
      <c r="E104" s="2">
        <v>18.0</v>
      </c>
      <c r="F104" s="2">
        <f t="shared" si="1"/>
        <v>28.5</v>
      </c>
      <c r="G104" s="2">
        <v>7.0</v>
      </c>
      <c r="H104" s="2">
        <v>10.5</v>
      </c>
      <c r="I104" s="2">
        <v>17.5</v>
      </c>
      <c r="J104" s="3">
        <f t="shared" si="2"/>
        <v>6.319444444</v>
      </c>
      <c r="K104" s="2">
        <v>90.0</v>
      </c>
      <c r="L104" s="2">
        <v>175.0</v>
      </c>
      <c r="N104" s="3">
        <f t="shared" si="3"/>
        <v>175</v>
      </c>
      <c r="O104" s="2">
        <v>89.0</v>
      </c>
      <c r="P104" s="2">
        <f t="shared" si="4"/>
        <v>13.325</v>
      </c>
      <c r="R104" s="2">
        <v>3.0</v>
      </c>
      <c r="S104" s="2">
        <v>8.0</v>
      </c>
      <c r="T104" s="2">
        <v>7.0</v>
      </c>
      <c r="U104" s="2">
        <v>12.0</v>
      </c>
      <c r="V104" s="2">
        <v>13.0</v>
      </c>
      <c r="W104" s="2">
        <v>19.0</v>
      </c>
      <c r="X104" s="2">
        <v>22.0</v>
      </c>
      <c r="Y104" s="2">
        <v>23.0</v>
      </c>
      <c r="Z104" s="2">
        <v>28.0</v>
      </c>
      <c r="AA104" s="2">
        <v>29.0</v>
      </c>
      <c r="AB104" s="2">
        <f t="shared" si="5"/>
        <v>8.2</v>
      </c>
      <c r="AC104" s="2">
        <v>50.0</v>
      </c>
      <c r="AD104" s="2">
        <v>325.0</v>
      </c>
      <c r="AE104" s="3">
        <f t="shared" si="6"/>
        <v>9.375</v>
      </c>
      <c r="AF104" s="4">
        <f t="shared" si="7"/>
        <v>65.71944444</v>
      </c>
    </row>
    <row r="105">
      <c r="A105" s="1" t="s">
        <v>327</v>
      </c>
      <c r="B105" s="1" t="s">
        <v>328</v>
      </c>
      <c r="C105" s="2" t="s">
        <v>329</v>
      </c>
      <c r="D105" s="2">
        <f>VLOOKUP(B105,'DSAI-Vikrant'!$B$2:$F$44,5)</f>
        <v>45</v>
      </c>
      <c r="E105" s="2">
        <v>20.0</v>
      </c>
      <c r="F105" s="2">
        <f t="shared" si="1"/>
        <v>32.5</v>
      </c>
      <c r="G105" s="2">
        <v>4.0</v>
      </c>
      <c r="H105" s="2">
        <v>8.5</v>
      </c>
      <c r="I105" s="2">
        <v>20.5</v>
      </c>
      <c r="J105" s="3">
        <f t="shared" si="2"/>
        <v>5.402777778</v>
      </c>
      <c r="K105" s="2">
        <v>70.0</v>
      </c>
      <c r="L105" s="2">
        <v>185.0</v>
      </c>
      <c r="N105" s="3">
        <f t="shared" si="3"/>
        <v>185</v>
      </c>
      <c r="O105" s="2">
        <v>91.0</v>
      </c>
      <c r="P105" s="2">
        <f t="shared" si="4"/>
        <v>12.675</v>
      </c>
      <c r="Q105" s="2">
        <v>6.0</v>
      </c>
      <c r="R105" s="2">
        <v>8.0</v>
      </c>
      <c r="S105" s="2">
        <v>9.0</v>
      </c>
      <c r="T105" s="2">
        <v>7.0</v>
      </c>
      <c r="V105" s="2">
        <v>15.0</v>
      </c>
      <c r="W105" s="2">
        <v>18.0</v>
      </c>
      <c r="X105" s="2">
        <v>29.0</v>
      </c>
      <c r="Y105" s="2">
        <v>20.0</v>
      </c>
      <c r="Z105" s="2">
        <v>29.0</v>
      </c>
      <c r="AA105" s="2">
        <v>28.0</v>
      </c>
      <c r="AB105" s="2">
        <f t="shared" si="5"/>
        <v>8.45</v>
      </c>
      <c r="AC105" s="2">
        <v>50.0</v>
      </c>
      <c r="AD105" s="2">
        <v>325.0</v>
      </c>
      <c r="AE105" s="3">
        <f t="shared" si="6"/>
        <v>9.375</v>
      </c>
      <c r="AF105" s="4">
        <f t="shared" si="7"/>
        <v>68.40277778</v>
      </c>
    </row>
    <row r="106">
      <c r="A106" s="1" t="s">
        <v>330</v>
      </c>
      <c r="B106" s="1" t="s">
        <v>331</v>
      </c>
      <c r="C106" s="2" t="s">
        <v>332</v>
      </c>
      <c r="D106" s="2">
        <f>VLOOKUP(B106,'EC-Nitin'!$B$2:$F$46,5)</f>
        <v>32</v>
      </c>
      <c r="E106" s="2">
        <v>22.0</v>
      </c>
      <c r="F106" s="2">
        <f t="shared" si="1"/>
        <v>27</v>
      </c>
      <c r="G106" s="2">
        <v>11.0</v>
      </c>
      <c r="H106" s="2">
        <v>8.0</v>
      </c>
      <c r="I106" s="2">
        <v>20.0</v>
      </c>
      <c r="J106" s="3">
        <f t="shared" si="2"/>
        <v>6.972222222</v>
      </c>
      <c r="K106" s="2">
        <v>99.0</v>
      </c>
      <c r="L106" s="2">
        <v>180.0</v>
      </c>
      <c r="N106" s="3">
        <f t="shared" si="3"/>
        <v>180</v>
      </c>
      <c r="O106" s="2">
        <v>99.0</v>
      </c>
      <c r="P106" s="2">
        <f t="shared" si="4"/>
        <v>14.4</v>
      </c>
      <c r="Q106" s="2">
        <v>7.0</v>
      </c>
      <c r="R106" s="2">
        <v>2.0</v>
      </c>
      <c r="S106" s="2">
        <v>14.0</v>
      </c>
      <c r="T106" s="2">
        <v>13.0</v>
      </c>
      <c r="U106" s="2">
        <v>14.0</v>
      </c>
      <c r="V106" s="2">
        <v>14.0</v>
      </c>
      <c r="W106" s="2">
        <v>18.0</v>
      </c>
      <c r="X106" s="2">
        <v>30.0</v>
      </c>
      <c r="Y106" s="2">
        <v>30.0</v>
      </c>
      <c r="Z106" s="2">
        <v>30.0</v>
      </c>
      <c r="AA106" s="2">
        <v>30.0</v>
      </c>
      <c r="AB106" s="2">
        <f t="shared" si="5"/>
        <v>10.1</v>
      </c>
      <c r="AC106" s="2">
        <v>50.0</v>
      </c>
      <c r="AD106" s="2">
        <v>350.0</v>
      </c>
      <c r="AE106" s="3">
        <f t="shared" si="6"/>
        <v>10</v>
      </c>
      <c r="AF106" s="4">
        <f t="shared" si="7"/>
        <v>68.47222222</v>
      </c>
    </row>
    <row r="107">
      <c r="A107" s="1" t="s">
        <v>333</v>
      </c>
      <c r="B107" s="1" t="s">
        <v>334</v>
      </c>
      <c r="C107" s="2" t="s">
        <v>335</v>
      </c>
      <c r="D107" s="2">
        <f>VLOOKUP(B107,'EC-Nitin'!$B$2:$F$46,5)</f>
        <v>45</v>
      </c>
      <c r="E107" s="2">
        <v>27.0</v>
      </c>
      <c r="F107" s="2">
        <f t="shared" si="1"/>
        <v>36</v>
      </c>
      <c r="G107" s="2">
        <v>13.0</v>
      </c>
      <c r="H107" s="2">
        <v>15.0</v>
      </c>
      <c r="I107" s="2">
        <v>33.0</v>
      </c>
      <c r="J107" s="3">
        <f t="shared" si="2"/>
        <v>10.66666667</v>
      </c>
      <c r="K107" s="2">
        <v>100.0</v>
      </c>
      <c r="L107" s="2">
        <v>165.0</v>
      </c>
      <c r="M107" s="2">
        <v>200.0</v>
      </c>
      <c r="N107" s="3">
        <f t="shared" si="3"/>
        <v>200</v>
      </c>
      <c r="O107" s="2">
        <v>100.0</v>
      </c>
      <c r="P107" s="2">
        <f t="shared" si="4"/>
        <v>15</v>
      </c>
      <c r="Q107" s="2">
        <v>7.0</v>
      </c>
      <c r="R107" s="2">
        <v>5.0</v>
      </c>
      <c r="S107" s="2">
        <v>15.0</v>
      </c>
      <c r="T107" s="2">
        <v>15.0</v>
      </c>
      <c r="U107" s="2">
        <v>12.0</v>
      </c>
      <c r="V107" s="2">
        <v>14.0</v>
      </c>
      <c r="W107" s="2">
        <v>20.0</v>
      </c>
      <c r="X107" s="2">
        <v>30.0</v>
      </c>
      <c r="Y107" s="2">
        <v>30.0</v>
      </c>
      <c r="Z107" s="2">
        <v>30.0</v>
      </c>
      <c r="AA107" s="2">
        <v>30.0</v>
      </c>
      <c r="AB107" s="2">
        <f t="shared" si="5"/>
        <v>10.4</v>
      </c>
      <c r="AC107" s="2">
        <v>50.0</v>
      </c>
      <c r="AD107" s="2">
        <v>350.0</v>
      </c>
      <c r="AE107" s="3">
        <f t="shared" si="6"/>
        <v>10</v>
      </c>
      <c r="AF107" s="4">
        <f t="shared" si="7"/>
        <v>82.06666667</v>
      </c>
    </row>
    <row r="108">
      <c r="A108" s="1" t="s">
        <v>336</v>
      </c>
      <c r="B108" s="1" t="s">
        <v>337</v>
      </c>
      <c r="C108" s="2" t="s">
        <v>338</v>
      </c>
      <c r="D108" s="2">
        <f>VLOOKUP(B108,'EC-Nitin'!$B$2:$F$46,5)</f>
        <v>47</v>
      </c>
      <c r="E108" s="2">
        <v>27.0</v>
      </c>
      <c r="F108" s="2">
        <f t="shared" si="1"/>
        <v>37</v>
      </c>
      <c r="G108" s="2">
        <v>11.0</v>
      </c>
      <c r="H108" s="2">
        <v>17.0</v>
      </c>
      <c r="I108" s="2">
        <v>37.0</v>
      </c>
      <c r="J108" s="3">
        <f t="shared" si="2"/>
        <v>11.11111111</v>
      </c>
      <c r="K108" s="2">
        <v>100.0</v>
      </c>
      <c r="L108" s="2">
        <v>170.0</v>
      </c>
      <c r="M108" s="2">
        <v>195.0</v>
      </c>
      <c r="N108" s="3">
        <f t="shared" si="3"/>
        <v>195</v>
      </c>
      <c r="O108" s="2">
        <v>100.0</v>
      </c>
      <c r="P108" s="2">
        <f t="shared" si="4"/>
        <v>14.875</v>
      </c>
      <c r="Q108" s="2">
        <v>7.0</v>
      </c>
      <c r="R108" s="2">
        <v>3.0</v>
      </c>
      <c r="S108" s="2">
        <v>15.0</v>
      </c>
      <c r="T108" s="2">
        <v>14.0</v>
      </c>
      <c r="U108" s="2">
        <v>12.0</v>
      </c>
      <c r="V108" s="2">
        <v>13.0</v>
      </c>
      <c r="W108" s="2">
        <v>16.0</v>
      </c>
      <c r="X108" s="2">
        <v>30.0</v>
      </c>
      <c r="Y108" s="2">
        <v>30.0</v>
      </c>
      <c r="Z108" s="2">
        <v>30.0</v>
      </c>
      <c r="AA108" s="2">
        <v>30.0</v>
      </c>
      <c r="AB108" s="2">
        <f t="shared" si="5"/>
        <v>10</v>
      </c>
      <c r="AC108" s="2">
        <v>35.0</v>
      </c>
      <c r="AD108" s="2">
        <v>350.0</v>
      </c>
      <c r="AE108" s="3">
        <f t="shared" si="6"/>
        <v>9.625</v>
      </c>
      <c r="AF108" s="4">
        <f t="shared" si="7"/>
        <v>82.61111111</v>
      </c>
    </row>
    <row r="109">
      <c r="A109" s="1" t="s">
        <v>339</v>
      </c>
      <c r="B109" s="1" t="s">
        <v>340</v>
      </c>
      <c r="C109" s="2" t="s">
        <v>341</v>
      </c>
      <c r="D109" s="2">
        <f>VLOOKUP(B109,'EC-Nitin'!$B$2:$F$46,5)</f>
        <v>43</v>
      </c>
      <c r="E109" s="2">
        <v>25.0</v>
      </c>
      <c r="F109" s="2">
        <f t="shared" si="1"/>
        <v>34</v>
      </c>
      <c r="G109" s="2">
        <v>11.5</v>
      </c>
      <c r="H109" s="2">
        <v>6.0</v>
      </c>
      <c r="I109" s="2">
        <v>-1.0</v>
      </c>
      <c r="J109" s="3">
        <f t="shared" si="2"/>
        <v>4.263888889</v>
      </c>
      <c r="K109" s="2">
        <v>100.0</v>
      </c>
      <c r="L109" s="2">
        <v>200.0</v>
      </c>
      <c r="N109" s="3">
        <f t="shared" si="3"/>
        <v>200</v>
      </c>
      <c r="O109" s="2">
        <v>100.0</v>
      </c>
      <c r="P109" s="2">
        <f t="shared" si="4"/>
        <v>15</v>
      </c>
      <c r="Q109" s="2">
        <v>7.0</v>
      </c>
      <c r="R109" s="2">
        <v>6.0</v>
      </c>
      <c r="S109" s="2">
        <v>15.0</v>
      </c>
      <c r="T109" s="2">
        <v>15.0</v>
      </c>
      <c r="U109" s="2">
        <v>12.0</v>
      </c>
      <c r="V109" s="2">
        <v>15.0</v>
      </c>
      <c r="W109" s="2">
        <v>16.0</v>
      </c>
      <c r="X109" s="2">
        <v>30.0</v>
      </c>
      <c r="Y109" s="2">
        <v>30.0</v>
      </c>
      <c r="Z109" s="2">
        <v>30.0</v>
      </c>
      <c r="AA109" s="2">
        <v>30.0</v>
      </c>
      <c r="AB109" s="2">
        <f t="shared" si="5"/>
        <v>10.3</v>
      </c>
      <c r="AC109" s="2">
        <v>50.0</v>
      </c>
      <c r="AD109" s="2">
        <v>350.0</v>
      </c>
      <c r="AE109" s="3">
        <f t="shared" si="6"/>
        <v>10</v>
      </c>
      <c r="AF109" s="4">
        <f t="shared" si="7"/>
        <v>73.56388889</v>
      </c>
    </row>
    <row r="110">
      <c r="A110" s="1" t="s">
        <v>342</v>
      </c>
      <c r="B110" s="1" t="s">
        <v>343</v>
      </c>
      <c r="C110" s="2" t="s">
        <v>344</v>
      </c>
      <c r="D110" s="2">
        <f>VLOOKUP(B110,'EC-Nitin'!$B$2:$F$46,5)</f>
        <v>41</v>
      </c>
      <c r="E110" s="2">
        <v>12.0</v>
      </c>
      <c r="F110" s="2">
        <f t="shared" si="1"/>
        <v>26.5</v>
      </c>
      <c r="G110" s="2">
        <v>5.5</v>
      </c>
      <c r="H110" s="2">
        <v>2.0</v>
      </c>
      <c r="I110" s="2">
        <v>23.0</v>
      </c>
      <c r="J110" s="3">
        <f t="shared" si="2"/>
        <v>4.430555556</v>
      </c>
      <c r="K110" s="2">
        <v>100.0</v>
      </c>
      <c r="L110" s="2">
        <v>200.0</v>
      </c>
      <c r="N110" s="3">
        <f t="shared" si="3"/>
        <v>200</v>
      </c>
      <c r="O110" s="2">
        <v>100.0</v>
      </c>
      <c r="P110" s="2">
        <f t="shared" si="4"/>
        <v>15</v>
      </c>
      <c r="Q110" s="2">
        <v>7.0</v>
      </c>
      <c r="R110" s="2">
        <v>5.0</v>
      </c>
      <c r="S110" s="2">
        <v>15.0</v>
      </c>
      <c r="T110" s="2">
        <v>13.0</v>
      </c>
      <c r="U110" s="2">
        <v>13.0</v>
      </c>
      <c r="V110" s="2">
        <v>14.0</v>
      </c>
      <c r="W110" s="2">
        <v>20.0</v>
      </c>
      <c r="X110" s="2">
        <v>30.0</v>
      </c>
      <c r="Y110" s="2">
        <v>30.0</v>
      </c>
      <c r="Z110" s="2">
        <v>29.0</v>
      </c>
      <c r="AA110" s="2">
        <v>28.0</v>
      </c>
      <c r="AB110" s="2">
        <f t="shared" si="5"/>
        <v>10.2</v>
      </c>
      <c r="AC110" s="2">
        <v>30.0</v>
      </c>
      <c r="AD110" s="2">
        <v>350.0</v>
      </c>
      <c r="AE110" s="3">
        <f t="shared" si="6"/>
        <v>9.5</v>
      </c>
      <c r="AF110" s="4">
        <f t="shared" si="7"/>
        <v>65.63055556</v>
      </c>
    </row>
    <row r="111">
      <c r="A111" s="1" t="s">
        <v>345</v>
      </c>
      <c r="B111" s="1" t="s">
        <v>346</v>
      </c>
      <c r="C111" s="2" t="s">
        <v>347</v>
      </c>
      <c r="D111" s="2">
        <f>VLOOKUP(B111,'EC-Nitin'!$B$2:$F$46,5)</f>
        <v>46</v>
      </c>
      <c r="E111" s="2">
        <v>32.0</v>
      </c>
      <c r="F111" s="2">
        <f t="shared" si="1"/>
        <v>39</v>
      </c>
      <c r="G111" s="2">
        <v>10.0</v>
      </c>
      <c r="H111" s="2">
        <v>20.0</v>
      </c>
      <c r="I111" s="2">
        <v>34.0</v>
      </c>
      <c r="J111" s="3">
        <f t="shared" si="2"/>
        <v>11.27777778</v>
      </c>
      <c r="K111" s="2">
        <v>100.0</v>
      </c>
      <c r="L111" s="2">
        <v>180.0</v>
      </c>
      <c r="N111" s="3">
        <f t="shared" si="3"/>
        <v>180</v>
      </c>
      <c r="O111" s="2">
        <v>100.0</v>
      </c>
      <c r="P111" s="2">
        <f t="shared" si="4"/>
        <v>14.5</v>
      </c>
      <c r="Q111" s="2">
        <v>7.0</v>
      </c>
      <c r="R111" s="2">
        <v>6.0</v>
      </c>
      <c r="S111" s="2">
        <v>15.0</v>
      </c>
      <c r="T111" s="2">
        <v>15.0</v>
      </c>
      <c r="U111" s="2">
        <v>14.0</v>
      </c>
      <c r="V111" s="2">
        <v>14.0</v>
      </c>
      <c r="W111" s="2">
        <v>20.0</v>
      </c>
      <c r="X111" s="2">
        <v>30.0</v>
      </c>
      <c r="Y111" s="2">
        <v>30.0</v>
      </c>
      <c r="Z111" s="2">
        <v>30.0</v>
      </c>
      <c r="AA111" s="2">
        <v>30.0</v>
      </c>
      <c r="AB111" s="2">
        <f t="shared" si="5"/>
        <v>10.55</v>
      </c>
      <c r="AC111" s="2">
        <v>35.0</v>
      </c>
      <c r="AD111" s="2">
        <v>350.0</v>
      </c>
      <c r="AE111" s="3">
        <f t="shared" si="6"/>
        <v>9.625</v>
      </c>
      <c r="AF111" s="4">
        <f t="shared" si="7"/>
        <v>84.95277778</v>
      </c>
    </row>
    <row r="112">
      <c r="A112" s="1" t="s">
        <v>348</v>
      </c>
      <c r="B112" s="1" t="s">
        <v>349</v>
      </c>
      <c r="C112" s="2" t="s">
        <v>350</v>
      </c>
      <c r="D112" s="2">
        <f>VLOOKUP(B112,'EC-Nitin'!$B$2:$F$46,5)</f>
        <v>32</v>
      </c>
      <c r="E112" s="2">
        <v>24.0</v>
      </c>
      <c r="F112" s="2">
        <f t="shared" si="1"/>
        <v>28</v>
      </c>
      <c r="G112" s="2">
        <v>3.5</v>
      </c>
      <c r="H112" s="2">
        <v>10.0</v>
      </c>
      <c r="I112" s="2">
        <v>23.0</v>
      </c>
      <c r="J112" s="3">
        <f t="shared" si="2"/>
        <v>5.930555556</v>
      </c>
      <c r="K112" s="2">
        <v>100.0</v>
      </c>
      <c r="L112" s="2">
        <v>200.0</v>
      </c>
      <c r="N112" s="3">
        <f t="shared" si="3"/>
        <v>200</v>
      </c>
      <c r="O112" s="2">
        <v>100.0</v>
      </c>
      <c r="P112" s="2">
        <f t="shared" si="4"/>
        <v>15</v>
      </c>
      <c r="Q112" s="2">
        <v>7.0</v>
      </c>
      <c r="R112" s="2">
        <v>8.0</v>
      </c>
      <c r="S112" s="2">
        <v>15.0</v>
      </c>
      <c r="T112" s="2">
        <v>14.0</v>
      </c>
      <c r="U112" s="2">
        <v>14.0</v>
      </c>
      <c r="V112" s="2">
        <v>14.0</v>
      </c>
      <c r="W112" s="2">
        <v>20.0</v>
      </c>
      <c r="X112" s="2">
        <v>30.0</v>
      </c>
      <c r="Y112" s="2">
        <v>30.0</v>
      </c>
      <c r="Z112" s="2">
        <v>29.0</v>
      </c>
      <c r="AA112" s="2">
        <v>30.0</v>
      </c>
      <c r="AB112" s="2">
        <f t="shared" si="5"/>
        <v>10.55</v>
      </c>
      <c r="AC112" s="2">
        <v>50.0</v>
      </c>
      <c r="AD112" s="2">
        <v>350.0</v>
      </c>
      <c r="AE112" s="3">
        <f t="shared" si="6"/>
        <v>10</v>
      </c>
      <c r="AF112" s="4">
        <f t="shared" si="7"/>
        <v>69.48055556</v>
      </c>
    </row>
    <row r="113">
      <c r="A113" s="1" t="s">
        <v>351</v>
      </c>
      <c r="B113" s="1" t="s">
        <v>352</v>
      </c>
      <c r="C113" s="2" t="s">
        <v>353</v>
      </c>
      <c r="D113" s="2">
        <f>VLOOKUP(B113,'EC-Nitin'!$B$2:$F$46,5)</f>
        <v>44</v>
      </c>
      <c r="E113" s="2">
        <v>32.0</v>
      </c>
      <c r="F113" s="2">
        <f t="shared" si="1"/>
        <v>38</v>
      </c>
      <c r="G113" s="2">
        <v>3.0</v>
      </c>
      <c r="H113" s="2">
        <v>18.0</v>
      </c>
      <c r="I113" s="2">
        <v>34.0</v>
      </c>
      <c r="J113" s="3">
        <f t="shared" si="2"/>
        <v>9.027777778</v>
      </c>
      <c r="K113" s="2">
        <v>100.0</v>
      </c>
      <c r="L113" s="2">
        <v>200.0</v>
      </c>
      <c r="N113" s="3">
        <f t="shared" si="3"/>
        <v>200</v>
      </c>
      <c r="O113" s="2">
        <v>100.0</v>
      </c>
      <c r="P113" s="2">
        <f t="shared" si="4"/>
        <v>15</v>
      </c>
      <c r="Q113" s="2">
        <v>7.0</v>
      </c>
      <c r="R113" s="2">
        <v>4.0</v>
      </c>
      <c r="S113" s="2">
        <v>15.0</v>
      </c>
      <c r="T113" s="2">
        <v>13.0</v>
      </c>
      <c r="U113" s="2">
        <v>14.0</v>
      </c>
      <c r="V113" s="2">
        <v>14.0</v>
      </c>
      <c r="W113" s="2">
        <v>20.0</v>
      </c>
      <c r="X113" s="2">
        <v>30.0</v>
      </c>
      <c r="Y113" s="2">
        <v>30.0</v>
      </c>
      <c r="Z113" s="2">
        <v>30.0</v>
      </c>
      <c r="AA113" s="2">
        <v>30.0</v>
      </c>
      <c r="AB113" s="2">
        <f t="shared" si="5"/>
        <v>10.35</v>
      </c>
      <c r="AC113" s="2">
        <v>50.0</v>
      </c>
      <c r="AD113" s="2">
        <v>350.0</v>
      </c>
      <c r="AE113" s="3">
        <f t="shared" si="6"/>
        <v>10</v>
      </c>
      <c r="AF113" s="4">
        <f t="shared" si="7"/>
        <v>82.37777778</v>
      </c>
    </row>
    <row r="114">
      <c r="A114" s="1" t="s">
        <v>354</v>
      </c>
      <c r="B114" s="1" t="s">
        <v>355</v>
      </c>
      <c r="C114" s="2" t="s">
        <v>356</v>
      </c>
      <c r="D114" s="2">
        <f>VLOOKUP(B114,'EC-Nitin'!$B$2:$F$46,5)</f>
        <v>49</v>
      </c>
      <c r="E114" s="2">
        <v>33.0</v>
      </c>
      <c r="F114" s="2">
        <f t="shared" si="1"/>
        <v>41</v>
      </c>
      <c r="G114" s="2">
        <v>9.0</v>
      </c>
      <c r="H114" s="2">
        <v>16.0</v>
      </c>
      <c r="I114" s="2">
        <v>37.0</v>
      </c>
      <c r="J114" s="3">
        <f t="shared" si="2"/>
        <v>10.36111111</v>
      </c>
      <c r="K114" s="2">
        <v>100.0</v>
      </c>
      <c r="L114" s="2">
        <v>200.0</v>
      </c>
      <c r="N114" s="3">
        <f t="shared" si="3"/>
        <v>200</v>
      </c>
      <c r="O114" s="2">
        <v>100.0</v>
      </c>
      <c r="P114" s="2">
        <f t="shared" si="4"/>
        <v>15</v>
      </c>
      <c r="Q114" s="2">
        <v>6.0</v>
      </c>
      <c r="R114" s="2">
        <v>4.0</v>
      </c>
      <c r="S114" s="2">
        <v>15.0</v>
      </c>
      <c r="T114" s="2">
        <v>14.0</v>
      </c>
      <c r="U114" s="2">
        <v>14.0</v>
      </c>
      <c r="V114" s="2">
        <v>14.0</v>
      </c>
      <c r="W114" s="2">
        <v>20.0</v>
      </c>
      <c r="X114" s="2">
        <v>30.0</v>
      </c>
      <c r="Y114" s="2">
        <v>30.0</v>
      </c>
      <c r="Z114" s="2">
        <v>30.0</v>
      </c>
      <c r="AA114" s="2">
        <v>30.0</v>
      </c>
      <c r="AB114" s="2">
        <f t="shared" si="5"/>
        <v>10.35</v>
      </c>
      <c r="AC114" s="2">
        <v>50.0</v>
      </c>
      <c r="AD114" s="2">
        <v>350.0</v>
      </c>
      <c r="AE114" s="3">
        <f t="shared" si="6"/>
        <v>10</v>
      </c>
      <c r="AF114" s="4">
        <f t="shared" si="7"/>
        <v>86.71111111</v>
      </c>
    </row>
    <row r="115">
      <c r="A115" s="1" t="s">
        <v>357</v>
      </c>
      <c r="B115" s="1" t="s">
        <v>358</v>
      </c>
      <c r="C115" s="2" t="s">
        <v>359</v>
      </c>
      <c r="D115" s="2">
        <f>VLOOKUP(B115,'EC-Nitin'!$B$2:$F$46,5)</f>
        <v>13</v>
      </c>
      <c r="E115" s="2">
        <v>10.0</v>
      </c>
      <c r="F115" s="2">
        <f t="shared" si="1"/>
        <v>11.5</v>
      </c>
      <c r="G115" s="2">
        <v>9.0</v>
      </c>
      <c r="H115" s="2">
        <v>10.0</v>
      </c>
      <c r="I115" s="2">
        <v>17.0</v>
      </c>
      <c r="J115" s="3">
        <f t="shared" si="2"/>
        <v>6.638888889</v>
      </c>
      <c r="K115" s="2">
        <v>80.0</v>
      </c>
      <c r="L115" s="2">
        <v>100.0</v>
      </c>
      <c r="N115" s="3">
        <f t="shared" si="3"/>
        <v>100</v>
      </c>
      <c r="O115" s="2">
        <v>90.0</v>
      </c>
      <c r="P115" s="2">
        <f t="shared" si="4"/>
        <v>11</v>
      </c>
      <c r="R115" s="2">
        <v>7.0</v>
      </c>
      <c r="S115" s="2">
        <v>13.0</v>
      </c>
      <c r="T115" s="2">
        <v>11.0</v>
      </c>
      <c r="U115" s="2">
        <v>14.0</v>
      </c>
      <c r="V115" s="2">
        <v>14.0</v>
      </c>
      <c r="W115" s="2">
        <v>20.0</v>
      </c>
      <c r="X115" s="2">
        <v>30.0</v>
      </c>
      <c r="Y115" s="2">
        <v>30.0</v>
      </c>
      <c r="Z115" s="2">
        <v>29.0</v>
      </c>
      <c r="AA115" s="2">
        <v>28.0</v>
      </c>
      <c r="AB115" s="2">
        <f t="shared" si="5"/>
        <v>9.8</v>
      </c>
      <c r="AC115" s="2">
        <v>50.0</v>
      </c>
      <c r="AD115" s="2">
        <v>330.0</v>
      </c>
      <c r="AE115" s="3">
        <f t="shared" si="6"/>
        <v>9.5</v>
      </c>
      <c r="AF115" s="4">
        <f t="shared" si="7"/>
        <v>48.43888889</v>
      </c>
    </row>
    <row r="116">
      <c r="A116" s="1" t="s">
        <v>360</v>
      </c>
      <c r="B116" s="1" t="s">
        <v>361</v>
      </c>
      <c r="C116" s="2" t="s">
        <v>362</v>
      </c>
      <c r="D116" s="2">
        <f>VLOOKUP(B116,'EC-Nitin'!$B$2:$F$46,5)</f>
        <v>20</v>
      </c>
      <c r="E116" s="2">
        <v>7.0</v>
      </c>
      <c r="F116" s="2">
        <f t="shared" si="1"/>
        <v>13.5</v>
      </c>
      <c r="G116" s="2">
        <v>10.0</v>
      </c>
      <c r="H116" s="2">
        <v>15.0</v>
      </c>
      <c r="I116" s="2">
        <v>22.0</v>
      </c>
      <c r="J116" s="3">
        <f t="shared" si="2"/>
        <v>8.694444444</v>
      </c>
      <c r="K116" s="2">
        <v>90.0</v>
      </c>
      <c r="L116" s="2">
        <v>180.0</v>
      </c>
      <c r="N116" s="3">
        <f t="shared" si="3"/>
        <v>180</v>
      </c>
      <c r="P116" s="2">
        <f t="shared" si="4"/>
        <v>9</v>
      </c>
      <c r="Q116" s="2">
        <v>6.0</v>
      </c>
      <c r="R116" s="2">
        <v>5.0</v>
      </c>
      <c r="S116" s="2">
        <v>14.0</v>
      </c>
      <c r="T116" s="2">
        <v>13.0</v>
      </c>
      <c r="U116" s="2">
        <v>14.0</v>
      </c>
      <c r="V116" s="2">
        <v>13.0</v>
      </c>
      <c r="W116" s="2">
        <v>18.0</v>
      </c>
      <c r="X116" s="2">
        <v>30.0</v>
      </c>
      <c r="Y116" s="2">
        <v>30.0</v>
      </c>
      <c r="Z116" s="2">
        <v>28.0</v>
      </c>
      <c r="AA116" s="2">
        <v>28.0</v>
      </c>
      <c r="AB116" s="2">
        <f t="shared" si="5"/>
        <v>9.95</v>
      </c>
      <c r="AC116" s="2">
        <v>30.0</v>
      </c>
      <c r="AD116" s="2">
        <v>330.0</v>
      </c>
      <c r="AE116" s="3">
        <f t="shared" si="6"/>
        <v>9</v>
      </c>
      <c r="AF116" s="4">
        <f t="shared" si="7"/>
        <v>50.14444444</v>
      </c>
    </row>
    <row r="117">
      <c r="A117" s="1" t="s">
        <v>363</v>
      </c>
      <c r="B117" s="1" t="s">
        <v>364</v>
      </c>
      <c r="C117" s="2" t="s">
        <v>365</v>
      </c>
      <c r="D117" s="2">
        <f>VLOOKUP(B117,'EC-Nitin'!$B$2:$F$46,5)</f>
        <v>44</v>
      </c>
      <c r="E117" s="2">
        <v>13.0</v>
      </c>
      <c r="F117" s="2">
        <f t="shared" si="1"/>
        <v>28.5</v>
      </c>
      <c r="G117" s="2">
        <v>10.0</v>
      </c>
      <c r="H117" s="2">
        <v>10.0</v>
      </c>
      <c r="I117" s="2">
        <v>22.0</v>
      </c>
      <c r="J117" s="3">
        <f t="shared" si="2"/>
        <v>7.444444444</v>
      </c>
      <c r="K117" s="2">
        <v>95.0</v>
      </c>
      <c r="L117" s="2">
        <v>100.0</v>
      </c>
      <c r="N117" s="3">
        <f t="shared" si="3"/>
        <v>100</v>
      </c>
      <c r="O117" s="2">
        <v>96.0</v>
      </c>
      <c r="P117" s="2">
        <f t="shared" si="4"/>
        <v>12.05</v>
      </c>
      <c r="Q117" s="2">
        <v>5.0</v>
      </c>
      <c r="R117" s="2">
        <v>3.0</v>
      </c>
      <c r="S117" s="2">
        <v>13.0</v>
      </c>
      <c r="T117" s="2">
        <v>12.0</v>
      </c>
      <c r="U117" s="2">
        <v>13.0</v>
      </c>
      <c r="V117" s="2">
        <v>12.0</v>
      </c>
      <c r="W117" s="2">
        <v>17.0</v>
      </c>
      <c r="X117" s="2">
        <v>30.0</v>
      </c>
      <c r="Y117" s="2">
        <v>25.0</v>
      </c>
      <c r="Z117" s="2">
        <v>30.0</v>
      </c>
      <c r="AA117" s="2">
        <v>28.0</v>
      </c>
      <c r="AB117" s="2">
        <f t="shared" si="5"/>
        <v>9.4</v>
      </c>
      <c r="AC117" s="2">
        <v>50.0</v>
      </c>
      <c r="AD117" s="2">
        <v>330.0</v>
      </c>
      <c r="AE117" s="3">
        <f t="shared" si="6"/>
        <v>9.5</v>
      </c>
      <c r="AF117" s="4">
        <f t="shared" si="7"/>
        <v>66.89444444</v>
      </c>
    </row>
    <row r="118">
      <c r="A118" s="1" t="s">
        <v>366</v>
      </c>
      <c r="B118" s="1" t="s">
        <v>367</v>
      </c>
      <c r="C118" s="2" t="s">
        <v>368</v>
      </c>
      <c r="D118" s="2">
        <f>VLOOKUP(B118,'EC-Nitin'!$B$2:$F$46,5)</f>
        <v>52</v>
      </c>
      <c r="E118" s="2">
        <v>33.0</v>
      </c>
      <c r="F118" s="2">
        <f t="shared" si="1"/>
        <v>42.5</v>
      </c>
      <c r="G118" s="2">
        <v>15.0</v>
      </c>
      <c r="H118" s="2">
        <v>10.0</v>
      </c>
      <c r="I118" s="2">
        <v>39.0</v>
      </c>
      <c r="J118" s="3">
        <f t="shared" si="2"/>
        <v>10.58333333</v>
      </c>
      <c r="K118" s="2">
        <v>100.0</v>
      </c>
      <c r="L118" s="2">
        <v>190.0</v>
      </c>
      <c r="N118" s="3">
        <f t="shared" si="3"/>
        <v>190</v>
      </c>
      <c r="O118" s="2">
        <v>100.0</v>
      </c>
      <c r="P118" s="2">
        <f t="shared" si="4"/>
        <v>14.75</v>
      </c>
      <c r="Q118" s="2">
        <v>7.0</v>
      </c>
      <c r="R118" s="2">
        <v>8.0</v>
      </c>
      <c r="S118" s="2">
        <v>15.0</v>
      </c>
      <c r="T118" s="2">
        <v>13.0</v>
      </c>
      <c r="U118" s="2">
        <v>14.0</v>
      </c>
      <c r="V118" s="2">
        <v>14.0</v>
      </c>
      <c r="W118" s="2">
        <v>20.0</v>
      </c>
      <c r="X118" s="2">
        <v>30.0</v>
      </c>
      <c r="Y118" s="2">
        <v>30.0</v>
      </c>
      <c r="Z118" s="2">
        <v>29.0</v>
      </c>
      <c r="AA118" s="2">
        <v>30.0</v>
      </c>
      <c r="AB118" s="2">
        <f t="shared" si="5"/>
        <v>10.5</v>
      </c>
      <c r="AC118" s="2">
        <v>50.0</v>
      </c>
      <c r="AD118" s="2">
        <v>350.0</v>
      </c>
      <c r="AE118" s="3">
        <f t="shared" si="6"/>
        <v>10</v>
      </c>
      <c r="AF118" s="4">
        <f t="shared" si="7"/>
        <v>88.33333333</v>
      </c>
    </row>
    <row r="119">
      <c r="A119" s="1" t="s">
        <v>369</v>
      </c>
      <c r="B119" s="1" t="s">
        <v>370</v>
      </c>
      <c r="C119" s="2" t="s">
        <v>371</v>
      </c>
      <c r="D119" s="2">
        <f>VLOOKUP(B119,'EC-Nitin'!$B$2:$F$46,5)</f>
        <v>44</v>
      </c>
      <c r="E119" s="2">
        <v>35.0</v>
      </c>
      <c r="F119" s="2">
        <f t="shared" si="1"/>
        <v>39.5</v>
      </c>
      <c r="G119" s="2">
        <v>12.0</v>
      </c>
      <c r="H119" s="2">
        <v>10.0</v>
      </c>
      <c r="I119" s="2">
        <v>42.0</v>
      </c>
      <c r="J119" s="3">
        <f t="shared" si="2"/>
        <v>10.16666667</v>
      </c>
      <c r="K119" s="2">
        <v>100.0</v>
      </c>
      <c r="L119" s="2">
        <v>200.0</v>
      </c>
      <c r="N119" s="3">
        <f t="shared" si="3"/>
        <v>200</v>
      </c>
      <c r="O119" s="2">
        <v>100.0</v>
      </c>
      <c r="P119" s="2">
        <f t="shared" si="4"/>
        <v>15</v>
      </c>
      <c r="Q119" s="2">
        <v>7.0</v>
      </c>
      <c r="R119" s="2">
        <v>8.0</v>
      </c>
      <c r="S119" s="2">
        <v>15.0</v>
      </c>
      <c r="T119" s="2">
        <v>14.0</v>
      </c>
      <c r="U119" s="2">
        <v>15.0</v>
      </c>
      <c r="V119" s="2">
        <v>14.0</v>
      </c>
      <c r="W119" s="2">
        <v>20.0</v>
      </c>
      <c r="X119" s="2">
        <v>30.0</v>
      </c>
      <c r="Y119" s="2">
        <v>30.0</v>
      </c>
      <c r="Z119" s="2">
        <v>30.0</v>
      </c>
      <c r="AA119" s="2">
        <v>29.0</v>
      </c>
      <c r="AB119" s="2">
        <f t="shared" si="5"/>
        <v>10.6</v>
      </c>
      <c r="AC119" s="2">
        <v>50.0</v>
      </c>
      <c r="AD119" s="2">
        <v>350.0</v>
      </c>
      <c r="AE119" s="3">
        <f t="shared" si="6"/>
        <v>10</v>
      </c>
      <c r="AF119" s="4">
        <f t="shared" si="7"/>
        <v>85.26666667</v>
      </c>
    </row>
    <row r="120">
      <c r="A120" s="1" t="s">
        <v>372</v>
      </c>
      <c r="B120" s="1" t="s">
        <v>373</v>
      </c>
      <c r="C120" s="2" t="s">
        <v>374</v>
      </c>
      <c r="D120" s="2">
        <f>VLOOKUP(B120,'EC-Nitin'!$B$2:$F$46,5)</f>
        <v>47</v>
      </c>
      <c r="E120" s="2">
        <v>36.0</v>
      </c>
      <c r="F120" s="2">
        <f t="shared" si="1"/>
        <v>41.5</v>
      </c>
      <c r="G120" s="2">
        <v>10.0</v>
      </c>
      <c r="H120" s="2">
        <v>19.0</v>
      </c>
      <c r="I120" s="2">
        <v>35.0</v>
      </c>
      <c r="J120" s="3">
        <f t="shared" si="2"/>
        <v>11.13888889</v>
      </c>
      <c r="K120" s="2">
        <v>99.0</v>
      </c>
      <c r="L120" s="2">
        <v>175.0</v>
      </c>
      <c r="M120" s="2">
        <v>200.0</v>
      </c>
      <c r="N120" s="3">
        <f t="shared" si="3"/>
        <v>200</v>
      </c>
      <c r="O120" s="2">
        <v>99.0</v>
      </c>
      <c r="P120" s="2">
        <f t="shared" si="4"/>
        <v>14.9</v>
      </c>
      <c r="Q120" s="2">
        <v>6.0</v>
      </c>
      <c r="R120" s="2">
        <v>3.0</v>
      </c>
      <c r="S120" s="2">
        <v>14.0</v>
      </c>
      <c r="T120" s="2">
        <v>15.0</v>
      </c>
      <c r="U120" s="2">
        <v>14.0</v>
      </c>
      <c r="V120" s="2">
        <v>14.0</v>
      </c>
      <c r="W120" s="2">
        <v>17.0</v>
      </c>
      <c r="X120" s="2">
        <v>30.0</v>
      </c>
      <c r="Y120" s="2">
        <v>30.0</v>
      </c>
      <c r="Z120" s="2">
        <v>30.0</v>
      </c>
      <c r="AA120" s="2">
        <v>30.0</v>
      </c>
      <c r="AB120" s="2">
        <f t="shared" si="5"/>
        <v>10.15</v>
      </c>
      <c r="AC120" s="2">
        <v>50.0</v>
      </c>
      <c r="AD120" s="2">
        <v>350.0</v>
      </c>
      <c r="AE120" s="3">
        <f t="shared" si="6"/>
        <v>10</v>
      </c>
      <c r="AF120" s="4">
        <f t="shared" si="7"/>
        <v>87.68888889</v>
      </c>
    </row>
    <row r="121">
      <c r="A121" s="1" t="s">
        <v>378</v>
      </c>
      <c r="B121" s="1" t="s">
        <v>379</v>
      </c>
      <c r="C121" s="2" t="s">
        <v>380</v>
      </c>
      <c r="D121" s="2">
        <f>VLOOKUP(B121,'EC-Nitin'!$B$2:$F$46,5)</f>
        <v>41</v>
      </c>
      <c r="E121" s="2">
        <v>28.0</v>
      </c>
      <c r="F121" s="2">
        <f t="shared" si="1"/>
        <v>34.5</v>
      </c>
      <c r="G121" s="2">
        <v>16.0</v>
      </c>
      <c r="H121" s="2">
        <v>10.0</v>
      </c>
      <c r="I121" s="2">
        <v>32.0</v>
      </c>
      <c r="J121" s="3">
        <f t="shared" si="2"/>
        <v>10.05555556</v>
      </c>
      <c r="K121" s="2">
        <v>100.0</v>
      </c>
      <c r="L121" s="2">
        <v>190.0</v>
      </c>
      <c r="N121" s="3">
        <f t="shared" si="3"/>
        <v>190</v>
      </c>
      <c r="O121" s="2">
        <v>100.0</v>
      </c>
      <c r="P121" s="2">
        <f t="shared" si="4"/>
        <v>14.75</v>
      </c>
      <c r="Q121" s="2">
        <v>6.0</v>
      </c>
      <c r="R121" s="2">
        <v>8.0</v>
      </c>
      <c r="S121" s="2">
        <v>15.0</v>
      </c>
      <c r="T121" s="2">
        <v>12.0</v>
      </c>
      <c r="U121" s="2">
        <v>15.0</v>
      </c>
      <c r="V121" s="2">
        <v>14.0</v>
      </c>
      <c r="W121" s="2">
        <v>20.0</v>
      </c>
      <c r="X121" s="2">
        <v>30.0</v>
      </c>
      <c r="Y121" s="2">
        <v>30.0</v>
      </c>
      <c r="Z121" s="2">
        <v>30.0</v>
      </c>
      <c r="AA121" s="2">
        <v>30.0</v>
      </c>
      <c r="AB121" s="2">
        <f t="shared" si="5"/>
        <v>10.5</v>
      </c>
      <c r="AC121" s="2">
        <v>50.0</v>
      </c>
      <c r="AD121" s="2">
        <v>350.0</v>
      </c>
      <c r="AE121" s="3">
        <f t="shared" si="6"/>
        <v>10</v>
      </c>
      <c r="AF121" s="4">
        <f t="shared" si="7"/>
        <v>79.80555556</v>
      </c>
    </row>
    <row r="122">
      <c r="A122" s="1" t="s">
        <v>381</v>
      </c>
      <c r="B122" s="1" t="s">
        <v>382</v>
      </c>
      <c r="C122" s="2" t="s">
        <v>383</v>
      </c>
      <c r="D122" s="2">
        <f>VLOOKUP(B122,'EC-Nitin'!$B$2:$F$46,5)</f>
        <v>37</v>
      </c>
      <c r="E122" s="2">
        <v>27.0</v>
      </c>
      <c r="F122" s="2">
        <f t="shared" si="1"/>
        <v>32</v>
      </c>
      <c r="G122" s="2">
        <v>7.0</v>
      </c>
      <c r="H122" s="2">
        <v>16.0</v>
      </c>
      <c r="I122" s="2">
        <v>32.0</v>
      </c>
      <c r="J122" s="3">
        <f t="shared" si="2"/>
        <v>9.305555556</v>
      </c>
      <c r="K122" s="2">
        <v>99.0</v>
      </c>
      <c r="L122" s="2">
        <v>170.0</v>
      </c>
      <c r="N122" s="3">
        <f t="shared" si="3"/>
        <v>170</v>
      </c>
      <c r="O122" s="2">
        <v>99.0</v>
      </c>
      <c r="P122" s="2">
        <f t="shared" si="4"/>
        <v>14.15</v>
      </c>
      <c r="Q122" s="2">
        <v>7.0</v>
      </c>
      <c r="R122" s="2">
        <v>4.0</v>
      </c>
      <c r="S122" s="2">
        <v>14.0</v>
      </c>
      <c r="T122" s="2">
        <v>15.0</v>
      </c>
      <c r="U122" s="2">
        <v>14.0</v>
      </c>
      <c r="V122" s="2">
        <v>14.0</v>
      </c>
      <c r="W122" s="2">
        <v>20.0</v>
      </c>
      <c r="X122" s="2">
        <v>30.0</v>
      </c>
      <c r="Y122" s="2">
        <v>30.0</v>
      </c>
      <c r="Z122" s="2">
        <v>30.0</v>
      </c>
      <c r="AB122" s="2">
        <f t="shared" si="5"/>
        <v>8.9</v>
      </c>
      <c r="AC122" s="2">
        <v>50.0</v>
      </c>
      <c r="AD122" s="2">
        <v>350.0</v>
      </c>
      <c r="AE122" s="3">
        <f t="shared" si="6"/>
        <v>10</v>
      </c>
      <c r="AF122" s="4">
        <f t="shared" si="7"/>
        <v>74.35555556</v>
      </c>
    </row>
    <row r="123">
      <c r="A123" s="1" t="s">
        <v>384</v>
      </c>
      <c r="B123" s="1" t="s">
        <v>385</v>
      </c>
      <c r="C123" s="2" t="s">
        <v>386</v>
      </c>
      <c r="D123" s="2">
        <f>VLOOKUP(B123,'EC-Nitin'!$B$2:$F$46,5)</f>
        <v>54</v>
      </c>
      <c r="E123" s="2">
        <v>37.0</v>
      </c>
      <c r="F123" s="2">
        <f t="shared" si="1"/>
        <v>45.5</v>
      </c>
      <c r="G123" s="2">
        <v>16.0</v>
      </c>
      <c r="H123" s="2">
        <v>19.0</v>
      </c>
      <c r="I123" s="2">
        <v>33.0</v>
      </c>
      <c r="J123" s="3">
        <f t="shared" si="2"/>
        <v>12.41666667</v>
      </c>
      <c r="K123" s="2">
        <v>100.0</v>
      </c>
      <c r="L123" s="2">
        <v>200.0</v>
      </c>
      <c r="N123" s="3">
        <f t="shared" si="3"/>
        <v>200</v>
      </c>
      <c r="O123" s="2">
        <v>100.0</v>
      </c>
      <c r="P123" s="2">
        <f t="shared" si="4"/>
        <v>15</v>
      </c>
      <c r="Q123" s="2">
        <v>7.0</v>
      </c>
      <c r="R123" s="2">
        <v>7.0</v>
      </c>
      <c r="S123" s="2">
        <v>15.0</v>
      </c>
      <c r="T123" s="2">
        <v>13.0</v>
      </c>
      <c r="U123" s="2">
        <v>13.0</v>
      </c>
      <c r="V123" s="2">
        <v>12.0</v>
      </c>
      <c r="W123" s="2">
        <v>20.0</v>
      </c>
      <c r="X123" s="2">
        <v>30.0</v>
      </c>
      <c r="Y123" s="2">
        <v>30.0</v>
      </c>
      <c r="Z123" s="2">
        <v>30.0</v>
      </c>
      <c r="AA123" s="2">
        <v>30.0</v>
      </c>
      <c r="AB123" s="2">
        <f t="shared" si="5"/>
        <v>10.35</v>
      </c>
      <c r="AC123" s="2">
        <v>40.0</v>
      </c>
      <c r="AD123" s="2">
        <v>350.0</v>
      </c>
      <c r="AE123" s="3">
        <f t="shared" si="6"/>
        <v>9.75</v>
      </c>
      <c r="AF123" s="4">
        <f t="shared" si="7"/>
        <v>93.01666667</v>
      </c>
    </row>
    <row r="124">
      <c r="A124" s="1" t="s">
        <v>387</v>
      </c>
      <c r="B124" s="1" t="s">
        <v>388</v>
      </c>
      <c r="C124" s="2" t="s">
        <v>389</v>
      </c>
      <c r="D124" s="2">
        <f>VLOOKUP(B124,'EC-Nitin'!$B$2:$F$46,5)</f>
        <v>41</v>
      </c>
      <c r="E124" s="2">
        <v>36.0</v>
      </c>
      <c r="F124" s="2">
        <f t="shared" si="1"/>
        <v>38.5</v>
      </c>
      <c r="G124" s="2">
        <v>7.0</v>
      </c>
      <c r="H124" s="2">
        <v>16.0</v>
      </c>
      <c r="I124" s="2">
        <v>34.0</v>
      </c>
      <c r="J124" s="3">
        <f t="shared" si="2"/>
        <v>9.527777778</v>
      </c>
      <c r="K124" s="2">
        <v>90.0</v>
      </c>
      <c r="L124" s="2">
        <v>185.0</v>
      </c>
      <c r="N124" s="3">
        <f t="shared" si="3"/>
        <v>185</v>
      </c>
      <c r="O124" s="2">
        <v>95.0</v>
      </c>
      <c r="P124" s="2">
        <f t="shared" si="4"/>
        <v>13.875</v>
      </c>
      <c r="Q124" s="2">
        <v>7.0</v>
      </c>
      <c r="R124" s="2">
        <v>9.0</v>
      </c>
      <c r="S124" s="2">
        <v>13.0</v>
      </c>
      <c r="T124" s="2">
        <v>15.0</v>
      </c>
      <c r="U124" s="2">
        <v>11.0</v>
      </c>
      <c r="V124" s="2">
        <v>10.0</v>
      </c>
      <c r="W124" s="2">
        <v>20.0</v>
      </c>
      <c r="X124" s="2">
        <v>30.0</v>
      </c>
      <c r="Y124" s="2">
        <v>30.0</v>
      </c>
      <c r="Z124" s="2">
        <v>30.0</v>
      </c>
      <c r="AA124" s="2">
        <v>30.0</v>
      </c>
      <c r="AB124" s="2">
        <f t="shared" si="5"/>
        <v>10.25</v>
      </c>
      <c r="AC124" s="2">
        <v>30.0</v>
      </c>
      <c r="AD124" s="2">
        <v>350.0</v>
      </c>
      <c r="AE124" s="3">
        <f t="shared" si="6"/>
        <v>9.5</v>
      </c>
      <c r="AF124" s="4">
        <f t="shared" si="7"/>
        <v>81.65277778</v>
      </c>
    </row>
    <row r="125">
      <c r="A125" s="1" t="s">
        <v>390</v>
      </c>
      <c r="B125" s="1" t="s">
        <v>391</v>
      </c>
      <c r="C125" s="2" t="s">
        <v>392</v>
      </c>
      <c r="D125" s="2">
        <f>VLOOKUP(B125,'EC-Nitin'!$B$2:$F$46,5)</f>
        <v>47</v>
      </c>
      <c r="E125" s="2">
        <v>36.0</v>
      </c>
      <c r="F125" s="2">
        <f t="shared" si="1"/>
        <v>41.5</v>
      </c>
      <c r="G125" s="2">
        <v>12.0</v>
      </c>
      <c r="H125" s="2">
        <v>10.0</v>
      </c>
      <c r="I125" s="2">
        <v>45.0</v>
      </c>
      <c r="J125" s="3">
        <f t="shared" si="2"/>
        <v>10.5</v>
      </c>
      <c r="K125" s="2">
        <v>100.0</v>
      </c>
      <c r="L125" s="2">
        <v>200.0</v>
      </c>
      <c r="N125" s="3">
        <f t="shared" si="3"/>
        <v>200</v>
      </c>
      <c r="O125" s="2">
        <v>100.0</v>
      </c>
      <c r="P125" s="2">
        <f t="shared" si="4"/>
        <v>15</v>
      </c>
      <c r="Q125" s="2">
        <v>7.0</v>
      </c>
      <c r="R125" s="2">
        <v>9.0</v>
      </c>
      <c r="S125" s="2">
        <v>15.0</v>
      </c>
      <c r="T125" s="2">
        <v>14.0</v>
      </c>
      <c r="U125" s="2">
        <v>15.0</v>
      </c>
      <c r="V125" s="2">
        <v>15.0</v>
      </c>
      <c r="W125" s="2">
        <v>19.0</v>
      </c>
      <c r="X125" s="2">
        <v>30.0</v>
      </c>
      <c r="Y125" s="2">
        <v>30.0</v>
      </c>
      <c r="Z125" s="2">
        <v>30.0</v>
      </c>
      <c r="AA125" s="2">
        <v>30.0</v>
      </c>
      <c r="AB125" s="2">
        <f t="shared" si="5"/>
        <v>10.7</v>
      </c>
      <c r="AC125" s="2">
        <v>50.0</v>
      </c>
      <c r="AD125" s="2">
        <v>350.0</v>
      </c>
      <c r="AE125" s="3">
        <f t="shared" si="6"/>
        <v>10</v>
      </c>
      <c r="AF125" s="4">
        <f t="shared" si="7"/>
        <v>87.7</v>
      </c>
    </row>
    <row r="126">
      <c r="A126" s="1" t="s">
        <v>393</v>
      </c>
      <c r="B126" s="1" t="s">
        <v>394</v>
      </c>
      <c r="C126" s="2" t="s">
        <v>395</v>
      </c>
      <c r="D126" s="2">
        <f>VLOOKUP(B126,'EC-Nitin'!$B$2:$F$46,5)</f>
        <v>24</v>
      </c>
      <c r="E126" s="2">
        <v>5.0</v>
      </c>
      <c r="F126" s="2">
        <f t="shared" si="1"/>
        <v>14.5</v>
      </c>
      <c r="G126" s="2">
        <v>4.0</v>
      </c>
      <c r="H126" s="2">
        <v>7.0</v>
      </c>
      <c r="I126" s="2">
        <v>20.0</v>
      </c>
      <c r="J126" s="3">
        <f t="shared" si="2"/>
        <v>4.972222222</v>
      </c>
      <c r="K126" s="2">
        <v>90.0</v>
      </c>
      <c r="L126" s="2">
        <v>170.0</v>
      </c>
      <c r="M126" s="2">
        <v>200.0</v>
      </c>
      <c r="N126" s="3">
        <f t="shared" si="3"/>
        <v>200</v>
      </c>
      <c r="O126" s="2">
        <v>95.0</v>
      </c>
      <c r="P126" s="2">
        <f t="shared" si="4"/>
        <v>14.25</v>
      </c>
      <c r="Q126" s="2">
        <v>7.0</v>
      </c>
      <c r="R126" s="2">
        <v>7.0</v>
      </c>
      <c r="S126" s="2">
        <v>13.0</v>
      </c>
      <c r="T126" s="2">
        <v>13.0</v>
      </c>
      <c r="U126" s="2">
        <v>14.0</v>
      </c>
      <c r="V126" s="2">
        <v>14.0</v>
      </c>
      <c r="W126" s="2">
        <v>20.0</v>
      </c>
      <c r="X126" s="2">
        <v>30.0</v>
      </c>
      <c r="Y126" s="2">
        <v>30.0</v>
      </c>
      <c r="Z126" s="2">
        <v>29.0</v>
      </c>
      <c r="AA126" s="2">
        <v>28.0</v>
      </c>
      <c r="AB126" s="2">
        <f t="shared" si="5"/>
        <v>10.25</v>
      </c>
      <c r="AC126" s="2">
        <v>40.0</v>
      </c>
      <c r="AD126" s="2">
        <v>350.0</v>
      </c>
      <c r="AE126" s="3">
        <f t="shared" si="6"/>
        <v>9.75</v>
      </c>
      <c r="AF126" s="4">
        <f t="shared" si="7"/>
        <v>53.72222222</v>
      </c>
    </row>
    <row r="127">
      <c r="A127" s="1" t="s">
        <v>396</v>
      </c>
      <c r="B127" s="1" t="s">
        <v>397</v>
      </c>
      <c r="C127" s="2" t="s">
        <v>398</v>
      </c>
      <c r="D127" s="2">
        <f>VLOOKUP(B127,'EC-Nitin'!$B$2:$F$46,5)</f>
        <v>34</v>
      </c>
      <c r="E127" s="2">
        <v>10.0</v>
      </c>
      <c r="F127" s="2">
        <f t="shared" si="1"/>
        <v>22</v>
      </c>
      <c r="G127" s="2">
        <v>4.0</v>
      </c>
      <c r="H127" s="2">
        <v>17.5</v>
      </c>
      <c r="I127" s="2">
        <v>19.0</v>
      </c>
      <c r="J127" s="3">
        <f t="shared" si="2"/>
        <v>7.486111111</v>
      </c>
      <c r="K127" s="2">
        <v>100.0</v>
      </c>
      <c r="L127" s="2">
        <v>185.0</v>
      </c>
      <c r="N127" s="3">
        <f t="shared" si="3"/>
        <v>185</v>
      </c>
      <c r="O127" s="2">
        <v>95.0</v>
      </c>
      <c r="P127" s="2">
        <f t="shared" si="4"/>
        <v>14.375</v>
      </c>
      <c r="R127" s="2">
        <v>5.0</v>
      </c>
      <c r="S127" s="2">
        <v>0.0</v>
      </c>
      <c r="T127" s="2">
        <v>5.0</v>
      </c>
      <c r="U127" s="2">
        <v>0.0</v>
      </c>
      <c r="V127" s="2">
        <v>0.0</v>
      </c>
      <c r="W127" s="2">
        <v>0.0</v>
      </c>
      <c r="X127" s="2">
        <v>13.0</v>
      </c>
      <c r="Y127" s="2">
        <v>30.0</v>
      </c>
      <c r="Z127" s="2">
        <v>28.0</v>
      </c>
      <c r="AB127" s="2">
        <f t="shared" si="5"/>
        <v>4.05</v>
      </c>
      <c r="AC127" s="2">
        <v>49.0</v>
      </c>
      <c r="AD127" s="2">
        <v>346.0</v>
      </c>
      <c r="AE127" s="3">
        <f t="shared" si="6"/>
        <v>9.875</v>
      </c>
      <c r="AF127" s="4">
        <f t="shared" si="7"/>
        <v>57.78611111</v>
      </c>
    </row>
    <row r="128">
      <c r="A128" s="1" t="s">
        <v>399</v>
      </c>
      <c r="B128" s="1" t="s">
        <v>400</v>
      </c>
      <c r="C128" s="2" t="s">
        <v>401</v>
      </c>
      <c r="D128" s="2">
        <f>VLOOKUP(B128,'EC-Nitin'!$B$2:$F$46,5)</f>
        <v>45</v>
      </c>
      <c r="E128" s="2">
        <v>32.0</v>
      </c>
      <c r="F128" s="2">
        <f t="shared" si="1"/>
        <v>38.5</v>
      </c>
      <c r="G128" s="2">
        <v>6.0</v>
      </c>
      <c r="H128" s="2">
        <v>10.0</v>
      </c>
      <c r="I128" s="2">
        <v>39.0</v>
      </c>
      <c r="J128" s="3">
        <f t="shared" si="2"/>
        <v>8.333333333</v>
      </c>
      <c r="K128" s="2">
        <v>85.0</v>
      </c>
      <c r="L128" s="2">
        <v>160.0</v>
      </c>
      <c r="N128" s="3">
        <f t="shared" si="3"/>
        <v>160</v>
      </c>
      <c r="O128" s="2">
        <v>94.0</v>
      </c>
      <c r="P128" s="2">
        <f t="shared" si="4"/>
        <v>12.95</v>
      </c>
      <c r="Q128" s="2">
        <v>7.0</v>
      </c>
      <c r="R128" s="2">
        <v>2.0</v>
      </c>
      <c r="S128" s="2">
        <v>12.0</v>
      </c>
      <c r="T128" s="2">
        <v>14.0</v>
      </c>
      <c r="U128" s="2">
        <v>15.0</v>
      </c>
      <c r="V128" s="2">
        <v>13.0</v>
      </c>
      <c r="W128" s="2">
        <v>19.0</v>
      </c>
      <c r="X128" s="2">
        <v>30.0</v>
      </c>
      <c r="Y128" s="2">
        <v>26.0</v>
      </c>
      <c r="Z128" s="2">
        <v>29.0</v>
      </c>
      <c r="AA128" s="2">
        <v>28.0</v>
      </c>
      <c r="AB128" s="2">
        <f t="shared" si="5"/>
        <v>9.75</v>
      </c>
      <c r="AC128" s="2">
        <v>50.0</v>
      </c>
      <c r="AD128" s="2">
        <v>342.0</v>
      </c>
      <c r="AE128" s="3">
        <f t="shared" si="6"/>
        <v>9.8</v>
      </c>
      <c r="AF128" s="4">
        <f t="shared" si="7"/>
        <v>79.33333333</v>
      </c>
    </row>
    <row r="129">
      <c r="A129" s="1" t="s">
        <v>402</v>
      </c>
      <c r="B129" s="1" t="s">
        <v>403</v>
      </c>
      <c r="C129" s="2" t="s">
        <v>404</v>
      </c>
      <c r="D129" s="2">
        <f>VLOOKUP(B129,'EC-Nitin'!$B$2:$F$46,5)</f>
        <v>34</v>
      </c>
      <c r="E129" s="2">
        <v>12.0</v>
      </c>
      <c r="F129" s="2">
        <f t="shared" si="1"/>
        <v>23</v>
      </c>
      <c r="G129" s="2">
        <v>2.0</v>
      </c>
      <c r="H129" s="2">
        <v>10.0</v>
      </c>
      <c r="I129" s="2">
        <v>31.0</v>
      </c>
      <c r="J129" s="3">
        <f t="shared" si="2"/>
        <v>6.444444444</v>
      </c>
      <c r="K129" s="2">
        <v>95.0</v>
      </c>
      <c r="L129" s="2">
        <v>185.0</v>
      </c>
      <c r="N129" s="3">
        <f t="shared" si="3"/>
        <v>185</v>
      </c>
      <c r="O129" s="2">
        <v>97.0</v>
      </c>
      <c r="P129" s="2">
        <f t="shared" si="4"/>
        <v>14.225</v>
      </c>
      <c r="Q129" s="2">
        <v>6.0</v>
      </c>
      <c r="R129" s="2">
        <v>2.0</v>
      </c>
      <c r="S129" s="2">
        <v>9.0</v>
      </c>
      <c r="T129" s="2">
        <v>10.0</v>
      </c>
      <c r="U129" s="2">
        <v>12.0</v>
      </c>
      <c r="V129" s="2">
        <v>5.0</v>
      </c>
      <c r="W129" s="2">
        <v>16.0</v>
      </c>
      <c r="X129" s="2">
        <v>30.0</v>
      </c>
      <c r="Y129" s="2">
        <v>27.0</v>
      </c>
      <c r="Z129" s="2">
        <v>29.0</v>
      </c>
      <c r="AA129" s="2">
        <v>28.0</v>
      </c>
      <c r="AB129" s="2">
        <f t="shared" si="5"/>
        <v>8.7</v>
      </c>
      <c r="AC129" s="2">
        <v>48.0</v>
      </c>
      <c r="AD129" s="2">
        <v>343.0</v>
      </c>
      <c r="AE129" s="3">
        <f t="shared" si="6"/>
        <v>9.775</v>
      </c>
      <c r="AF129" s="4">
        <f t="shared" si="7"/>
        <v>62.14444444</v>
      </c>
    </row>
    <row r="130">
      <c r="A130" s="1" t="s">
        <v>405</v>
      </c>
      <c r="B130" s="1" t="s">
        <v>406</v>
      </c>
      <c r="C130" s="2" t="s">
        <v>407</v>
      </c>
      <c r="D130" s="2">
        <f>VLOOKUP(B130,'EC-Nitin'!$B$2:$F$46,5)</f>
        <v>51</v>
      </c>
      <c r="E130" s="2">
        <v>39.0</v>
      </c>
      <c r="F130" s="2">
        <f t="shared" si="1"/>
        <v>45</v>
      </c>
      <c r="G130" s="2">
        <v>19.0</v>
      </c>
      <c r="H130" s="2">
        <v>20.0</v>
      </c>
      <c r="I130" s="2">
        <v>39.0</v>
      </c>
      <c r="J130" s="3">
        <f t="shared" si="2"/>
        <v>14.08333333</v>
      </c>
      <c r="K130" s="2">
        <v>90.0</v>
      </c>
      <c r="L130" s="2">
        <v>200.0</v>
      </c>
      <c r="N130" s="3">
        <f t="shared" si="3"/>
        <v>200</v>
      </c>
      <c r="O130" s="2">
        <v>100.0</v>
      </c>
      <c r="P130" s="2">
        <f t="shared" si="4"/>
        <v>14.5</v>
      </c>
      <c r="Q130" s="2">
        <v>7.0</v>
      </c>
      <c r="R130" s="2">
        <v>10.0</v>
      </c>
      <c r="S130" s="2">
        <v>15.0</v>
      </c>
      <c r="U130" s="2">
        <v>15.0</v>
      </c>
      <c r="V130" s="2">
        <v>15.0</v>
      </c>
      <c r="W130" s="2">
        <v>20.0</v>
      </c>
      <c r="X130" s="2">
        <v>30.0</v>
      </c>
      <c r="Y130" s="2">
        <v>27.0</v>
      </c>
      <c r="Z130" s="2">
        <v>30.0</v>
      </c>
      <c r="AA130" s="2">
        <v>30.0</v>
      </c>
      <c r="AB130" s="2">
        <f t="shared" si="5"/>
        <v>9.95</v>
      </c>
      <c r="AC130" s="2">
        <v>20.0</v>
      </c>
      <c r="AD130" s="2">
        <v>346.0</v>
      </c>
      <c r="AE130" s="3">
        <f t="shared" si="6"/>
        <v>9.15</v>
      </c>
      <c r="AF130" s="4">
        <f t="shared" si="7"/>
        <v>92.68333333</v>
      </c>
    </row>
    <row r="131">
      <c r="A131" s="1" t="s">
        <v>408</v>
      </c>
      <c r="B131" s="1" t="s">
        <v>409</v>
      </c>
      <c r="C131" s="2" t="s">
        <v>410</v>
      </c>
      <c r="D131" s="2">
        <f>VLOOKUP(B131,'EC-Nitin'!$B$2:$F$46,5)</f>
        <v>48</v>
      </c>
      <c r="E131" s="2">
        <v>30.0</v>
      </c>
      <c r="F131" s="2">
        <f t="shared" si="1"/>
        <v>39</v>
      </c>
      <c r="G131" s="2">
        <v>9.0</v>
      </c>
      <c r="H131" s="2">
        <v>19.0</v>
      </c>
      <c r="I131" s="2">
        <v>33.0</v>
      </c>
      <c r="J131" s="3">
        <f t="shared" si="2"/>
        <v>10.66666667</v>
      </c>
      <c r="K131" s="2">
        <v>90.0</v>
      </c>
      <c r="L131" s="2">
        <v>200.0</v>
      </c>
      <c r="N131" s="3">
        <f t="shared" si="3"/>
        <v>200</v>
      </c>
      <c r="O131" s="2">
        <v>98.0</v>
      </c>
      <c r="P131" s="2">
        <f t="shared" si="4"/>
        <v>14.4</v>
      </c>
      <c r="Q131" s="2">
        <v>7.0</v>
      </c>
      <c r="R131" s="2">
        <v>9.0</v>
      </c>
      <c r="S131" s="2">
        <v>5.0</v>
      </c>
      <c r="T131" s="2">
        <v>14.0</v>
      </c>
      <c r="U131" s="2">
        <v>12.0</v>
      </c>
      <c r="V131" s="2">
        <v>14.0</v>
      </c>
      <c r="W131" s="2">
        <v>20.0</v>
      </c>
      <c r="X131" s="2">
        <v>30.0</v>
      </c>
      <c r="Y131" s="2">
        <v>21.0</v>
      </c>
      <c r="Z131" s="2">
        <v>30.0</v>
      </c>
      <c r="AA131" s="2">
        <v>30.0</v>
      </c>
      <c r="AB131" s="2">
        <f t="shared" si="5"/>
        <v>9.6</v>
      </c>
      <c r="AC131" s="2">
        <v>50.0</v>
      </c>
      <c r="AD131" s="2">
        <v>346.0</v>
      </c>
      <c r="AE131" s="3">
        <f t="shared" si="6"/>
        <v>9.9</v>
      </c>
      <c r="AF131" s="4">
        <f t="shared" si="7"/>
        <v>83.56666667</v>
      </c>
    </row>
    <row r="132">
      <c r="A132" s="1" t="s">
        <v>411</v>
      </c>
      <c r="B132" s="1" t="s">
        <v>412</v>
      </c>
      <c r="C132" s="2" t="s">
        <v>413</v>
      </c>
      <c r="D132" s="2">
        <f>VLOOKUP(B132,'EC-Nitin'!$B$2:$F$46,5)</f>
        <v>42</v>
      </c>
      <c r="E132" s="2">
        <v>25.0</v>
      </c>
      <c r="F132" s="2">
        <f t="shared" si="1"/>
        <v>33.5</v>
      </c>
      <c r="G132" s="2">
        <v>8.0</v>
      </c>
      <c r="H132" s="2">
        <v>16.0</v>
      </c>
      <c r="I132" s="2">
        <v>41.0</v>
      </c>
      <c r="J132" s="3">
        <f t="shared" si="2"/>
        <v>10.55555556</v>
      </c>
      <c r="K132" s="2">
        <v>80.0</v>
      </c>
      <c r="L132" s="2">
        <v>185.0</v>
      </c>
      <c r="M132" s="2">
        <v>165.0</v>
      </c>
      <c r="N132" s="3">
        <f t="shared" si="3"/>
        <v>185</v>
      </c>
      <c r="O132" s="2">
        <v>99.0</v>
      </c>
      <c r="P132" s="2">
        <f t="shared" si="4"/>
        <v>13.575</v>
      </c>
      <c r="Q132" s="2">
        <v>6.0</v>
      </c>
      <c r="R132" s="2">
        <v>5.0</v>
      </c>
      <c r="S132" s="2">
        <v>12.0</v>
      </c>
      <c r="T132" s="2">
        <v>13.0</v>
      </c>
      <c r="U132" s="2">
        <v>10.0</v>
      </c>
      <c r="V132" s="2">
        <v>11.0</v>
      </c>
      <c r="W132" s="2">
        <v>16.0</v>
      </c>
      <c r="X132" s="2">
        <v>27.0</v>
      </c>
      <c r="Y132" s="2">
        <v>18.0</v>
      </c>
      <c r="Z132" s="2">
        <v>29.0</v>
      </c>
      <c r="AB132" s="2">
        <f t="shared" si="5"/>
        <v>7.35</v>
      </c>
      <c r="AC132" s="2">
        <v>45.0</v>
      </c>
      <c r="AD132" s="2">
        <v>346.0</v>
      </c>
      <c r="AE132" s="3">
        <f t="shared" si="6"/>
        <v>9.775</v>
      </c>
      <c r="AF132" s="4">
        <f t="shared" si="7"/>
        <v>74.75555556</v>
      </c>
    </row>
    <row r="133">
      <c r="A133" s="1" t="s">
        <v>414</v>
      </c>
      <c r="B133" s="1" t="s">
        <v>415</v>
      </c>
      <c r="C133" s="2" t="s">
        <v>416</v>
      </c>
      <c r="D133" s="2">
        <f>VLOOKUP(B133,'EC-Nitin'!$B$2:$F$46,5)</f>
        <v>45</v>
      </c>
      <c r="E133" s="2">
        <v>18.0</v>
      </c>
      <c r="F133" s="2">
        <f t="shared" si="1"/>
        <v>31.5</v>
      </c>
      <c r="G133" s="2">
        <v>8.0</v>
      </c>
      <c r="H133" s="2">
        <v>15.0</v>
      </c>
      <c r="I133" s="2">
        <v>34.0</v>
      </c>
      <c r="J133" s="3">
        <f t="shared" si="2"/>
        <v>9.527777778</v>
      </c>
      <c r="K133" s="2">
        <v>90.0</v>
      </c>
      <c r="L133" s="2">
        <v>200.0</v>
      </c>
      <c r="M133" s="2">
        <v>165.0</v>
      </c>
      <c r="N133" s="3">
        <f t="shared" si="3"/>
        <v>200</v>
      </c>
      <c r="O133" s="2">
        <v>100.0</v>
      </c>
      <c r="P133" s="2">
        <f t="shared" si="4"/>
        <v>14.5</v>
      </c>
      <c r="Q133" s="2">
        <v>5.0</v>
      </c>
      <c r="R133" s="2">
        <v>4.0</v>
      </c>
      <c r="S133" s="2">
        <v>15.0</v>
      </c>
      <c r="T133" s="2">
        <v>14.0</v>
      </c>
      <c r="U133" s="2">
        <v>15.0</v>
      </c>
      <c r="V133" s="2">
        <v>10.0</v>
      </c>
      <c r="W133" s="2">
        <v>16.0</v>
      </c>
      <c r="X133" s="2">
        <v>27.0</v>
      </c>
      <c r="Y133" s="2">
        <v>27.0</v>
      </c>
      <c r="Z133" s="2">
        <v>30.0</v>
      </c>
      <c r="AA133" s="2">
        <v>30.0</v>
      </c>
      <c r="AB133" s="2">
        <f t="shared" si="5"/>
        <v>9.65</v>
      </c>
      <c r="AC133" s="2">
        <v>46.0</v>
      </c>
      <c r="AD133" s="2">
        <v>348.0</v>
      </c>
      <c r="AE133" s="3">
        <f t="shared" si="6"/>
        <v>9.85</v>
      </c>
      <c r="AF133" s="4">
        <f t="shared" si="7"/>
        <v>75.02777778</v>
      </c>
    </row>
    <row r="134">
      <c r="A134" s="1" t="s">
        <v>417</v>
      </c>
      <c r="B134" s="1" t="s">
        <v>418</v>
      </c>
      <c r="C134" s="2" t="s">
        <v>419</v>
      </c>
      <c r="D134" s="2">
        <f>VLOOKUP(B134,'EC-Nitin'!$B$2:$F$46,5)</f>
        <v>36</v>
      </c>
      <c r="E134" s="2">
        <v>27.0</v>
      </c>
      <c r="F134" s="2">
        <f t="shared" si="1"/>
        <v>31.5</v>
      </c>
      <c r="I134" s="2">
        <v>22.0</v>
      </c>
      <c r="J134" s="3">
        <f t="shared" si="2"/>
        <v>2.444444444</v>
      </c>
      <c r="K134" s="2">
        <v>85.0</v>
      </c>
      <c r="L134" s="2">
        <v>165.0</v>
      </c>
      <c r="N134" s="3">
        <f t="shared" si="3"/>
        <v>165</v>
      </c>
      <c r="O134" s="2">
        <v>94.0</v>
      </c>
      <c r="P134" s="2">
        <f t="shared" si="4"/>
        <v>13.075</v>
      </c>
      <c r="Q134" s="2">
        <v>7.0</v>
      </c>
      <c r="R134" s="2">
        <v>6.0</v>
      </c>
      <c r="S134" s="2">
        <v>6.0</v>
      </c>
      <c r="T134" s="2">
        <v>5.0</v>
      </c>
      <c r="U134" s="2">
        <v>0.0</v>
      </c>
      <c r="V134" s="2">
        <v>6.0</v>
      </c>
      <c r="W134" s="2">
        <v>9.0</v>
      </c>
      <c r="X134" s="2">
        <v>27.0</v>
      </c>
      <c r="Y134" s="2">
        <v>27.0</v>
      </c>
      <c r="Z134" s="2">
        <v>29.0</v>
      </c>
      <c r="AB134" s="2">
        <f t="shared" si="5"/>
        <v>6.1</v>
      </c>
      <c r="AD134" s="2">
        <v>325.0</v>
      </c>
      <c r="AE134" s="3">
        <f t="shared" si="6"/>
        <v>8.125</v>
      </c>
      <c r="AF134" s="4">
        <f t="shared" si="7"/>
        <v>61.24444444</v>
      </c>
    </row>
    <row r="135">
      <c r="A135" s="1" t="s">
        <v>420</v>
      </c>
      <c r="B135" s="1" t="s">
        <v>421</v>
      </c>
      <c r="C135" s="2" t="s">
        <v>422</v>
      </c>
      <c r="D135" s="2">
        <f>VLOOKUP(B135,'EC-Nitin'!$B$2:$F$46,5)</f>
        <v>49</v>
      </c>
      <c r="E135" s="2">
        <v>36.0</v>
      </c>
      <c r="F135" s="2">
        <f t="shared" si="1"/>
        <v>42.5</v>
      </c>
      <c r="G135" s="2">
        <v>16.0</v>
      </c>
      <c r="H135" s="2">
        <v>17.0</v>
      </c>
      <c r="I135" s="2">
        <v>39.0</v>
      </c>
      <c r="J135" s="3">
        <f t="shared" si="2"/>
        <v>12.58333333</v>
      </c>
      <c r="K135" s="2">
        <v>100.0</v>
      </c>
      <c r="L135" s="2">
        <v>200.0</v>
      </c>
      <c r="N135" s="3">
        <f t="shared" si="3"/>
        <v>200</v>
      </c>
      <c r="O135" s="2">
        <v>99.0</v>
      </c>
      <c r="P135" s="2">
        <f t="shared" si="4"/>
        <v>14.95</v>
      </c>
      <c r="Q135" s="2">
        <v>7.0</v>
      </c>
      <c r="R135" s="2">
        <v>9.0</v>
      </c>
      <c r="S135" s="2">
        <v>12.0</v>
      </c>
      <c r="T135" s="2">
        <v>14.0</v>
      </c>
      <c r="U135" s="2">
        <v>15.0</v>
      </c>
      <c r="V135" s="2">
        <v>14.0</v>
      </c>
      <c r="W135" s="2">
        <v>20.0</v>
      </c>
      <c r="X135" s="2">
        <v>30.0</v>
      </c>
      <c r="Y135" s="2">
        <v>27.0</v>
      </c>
      <c r="Z135" s="2">
        <v>30.0</v>
      </c>
      <c r="AA135" s="2">
        <v>30.0</v>
      </c>
      <c r="AB135" s="2">
        <f t="shared" si="5"/>
        <v>10.4</v>
      </c>
      <c r="AC135" s="2">
        <v>40.0</v>
      </c>
      <c r="AD135" s="2">
        <v>343.0</v>
      </c>
      <c r="AE135" s="3">
        <f t="shared" si="6"/>
        <v>9.575</v>
      </c>
      <c r="AF135" s="4">
        <f t="shared" si="7"/>
        <v>90.00833333</v>
      </c>
    </row>
    <row r="136">
      <c r="A136" s="1" t="s">
        <v>423</v>
      </c>
      <c r="B136" s="1" t="s">
        <v>424</v>
      </c>
      <c r="C136" s="2" t="s">
        <v>425</v>
      </c>
      <c r="D136" s="2">
        <f>VLOOKUP(B136,'EC-Nitin'!$B$2:$F$46,5)</f>
        <v>48</v>
      </c>
      <c r="E136" s="2">
        <v>33.0</v>
      </c>
      <c r="F136" s="2">
        <f t="shared" si="1"/>
        <v>40.5</v>
      </c>
      <c r="G136" s="2">
        <v>7.0</v>
      </c>
      <c r="H136" s="2">
        <v>18.0</v>
      </c>
      <c r="I136" s="2">
        <v>36.0</v>
      </c>
      <c r="J136" s="3">
        <f t="shared" si="2"/>
        <v>10.25</v>
      </c>
      <c r="K136" s="2">
        <v>100.0</v>
      </c>
      <c r="L136" s="2">
        <v>185.0</v>
      </c>
      <c r="N136" s="3">
        <f t="shared" si="3"/>
        <v>185</v>
      </c>
      <c r="O136" s="2">
        <v>95.0</v>
      </c>
      <c r="P136" s="2">
        <f t="shared" si="4"/>
        <v>14.375</v>
      </c>
      <c r="Q136" s="2">
        <v>7.0</v>
      </c>
      <c r="S136" s="2">
        <v>9.0</v>
      </c>
      <c r="T136" s="2">
        <v>10.0</v>
      </c>
      <c r="U136" s="2">
        <v>7.0</v>
      </c>
      <c r="V136" s="2">
        <v>14.0</v>
      </c>
      <c r="W136" s="2">
        <v>7.0</v>
      </c>
      <c r="X136" s="2">
        <v>30.0</v>
      </c>
      <c r="Y136" s="2">
        <v>27.0</v>
      </c>
      <c r="Z136" s="2">
        <v>29.0</v>
      </c>
      <c r="AA136" s="2">
        <v>27.0</v>
      </c>
      <c r="AB136" s="2">
        <f t="shared" si="5"/>
        <v>8.35</v>
      </c>
      <c r="AC136" s="2">
        <v>25.0</v>
      </c>
      <c r="AD136" s="2">
        <v>345.0</v>
      </c>
      <c r="AE136" s="3">
        <f t="shared" si="6"/>
        <v>9.25</v>
      </c>
      <c r="AF136" s="4">
        <f t="shared" si="7"/>
        <v>82.725</v>
      </c>
    </row>
    <row r="137">
      <c r="A137" s="1" t="s">
        <v>426</v>
      </c>
      <c r="B137" s="1" t="s">
        <v>427</v>
      </c>
      <c r="C137" s="2" t="s">
        <v>428</v>
      </c>
      <c r="D137" s="2">
        <f>VLOOKUP(B137,'EC-Nitin'!$B$2:$F$46,5)</f>
        <v>47</v>
      </c>
      <c r="E137" s="2">
        <v>36.0</v>
      </c>
      <c r="F137" s="2">
        <f t="shared" si="1"/>
        <v>41.5</v>
      </c>
      <c r="G137" s="2">
        <v>9.0</v>
      </c>
      <c r="I137" s="2">
        <v>37.0</v>
      </c>
      <c r="J137" s="3">
        <f t="shared" si="2"/>
        <v>6.361111111</v>
      </c>
      <c r="K137" s="2">
        <v>85.0</v>
      </c>
      <c r="L137" s="2">
        <v>200.0</v>
      </c>
      <c r="N137" s="3">
        <f t="shared" si="3"/>
        <v>200</v>
      </c>
      <c r="O137" s="2">
        <v>96.0</v>
      </c>
      <c r="P137" s="2">
        <f t="shared" si="4"/>
        <v>14.05</v>
      </c>
      <c r="Q137" s="2">
        <v>7.0</v>
      </c>
      <c r="R137" s="2">
        <v>7.0</v>
      </c>
      <c r="S137" s="2">
        <v>15.0</v>
      </c>
      <c r="T137" s="2">
        <v>12.0</v>
      </c>
      <c r="U137" s="2">
        <v>15.0</v>
      </c>
      <c r="V137" s="2">
        <v>14.0</v>
      </c>
      <c r="W137" s="2">
        <v>20.0</v>
      </c>
      <c r="X137" s="2">
        <v>30.0</v>
      </c>
      <c r="Y137" s="2">
        <v>30.0</v>
      </c>
      <c r="Z137" s="2">
        <v>30.0</v>
      </c>
      <c r="AA137" s="2">
        <v>30.0</v>
      </c>
      <c r="AB137" s="2">
        <f t="shared" si="5"/>
        <v>10.5</v>
      </c>
      <c r="AC137" s="2">
        <v>48.0</v>
      </c>
      <c r="AD137" s="2">
        <v>343.0</v>
      </c>
      <c r="AE137" s="3">
        <f t="shared" si="6"/>
        <v>9.775</v>
      </c>
      <c r="AF137" s="4">
        <f t="shared" si="7"/>
        <v>82.18611111</v>
      </c>
    </row>
    <row r="138">
      <c r="A138" s="1" t="s">
        <v>429</v>
      </c>
      <c r="B138" s="1" t="s">
        <v>430</v>
      </c>
      <c r="C138" s="2" t="s">
        <v>431</v>
      </c>
      <c r="D138" s="2">
        <f>VLOOKUP(B138,'EC-Nitin'!$B$2:$F$46,5)</f>
        <v>41</v>
      </c>
      <c r="E138" s="2">
        <v>31.0</v>
      </c>
      <c r="F138" s="2">
        <f t="shared" si="1"/>
        <v>36</v>
      </c>
      <c r="G138" s="2">
        <v>11.0</v>
      </c>
      <c r="H138" s="2">
        <v>15.0</v>
      </c>
      <c r="I138" s="2">
        <v>32.0</v>
      </c>
      <c r="J138" s="3">
        <f t="shared" si="2"/>
        <v>10.05555556</v>
      </c>
      <c r="K138" s="2">
        <v>85.0</v>
      </c>
      <c r="L138" s="2">
        <v>175.0</v>
      </c>
      <c r="N138" s="3">
        <f t="shared" si="3"/>
        <v>175</v>
      </c>
      <c r="O138" s="2">
        <v>98.0</v>
      </c>
      <c r="P138" s="2">
        <f t="shared" si="4"/>
        <v>13.525</v>
      </c>
      <c r="Q138" s="2">
        <v>7.0</v>
      </c>
      <c r="R138" s="2">
        <v>6.0</v>
      </c>
      <c r="S138" s="2">
        <v>7.0</v>
      </c>
      <c r="T138" s="2">
        <v>6.0</v>
      </c>
      <c r="U138" s="2">
        <v>15.0</v>
      </c>
      <c r="V138" s="2">
        <v>13.0</v>
      </c>
      <c r="W138" s="2">
        <v>15.0</v>
      </c>
      <c r="X138" s="2">
        <v>30.0</v>
      </c>
      <c r="Y138" s="2">
        <v>27.0</v>
      </c>
      <c r="Z138" s="2">
        <v>29.0</v>
      </c>
      <c r="AA138" s="2">
        <v>27.0</v>
      </c>
      <c r="AB138" s="2">
        <f t="shared" si="5"/>
        <v>9.1</v>
      </c>
      <c r="AC138" s="2">
        <v>50.0</v>
      </c>
      <c r="AD138" s="2">
        <v>346.0</v>
      </c>
      <c r="AE138" s="3">
        <f t="shared" si="6"/>
        <v>9.9</v>
      </c>
      <c r="AF138" s="4">
        <f t="shared" si="7"/>
        <v>78.58055556</v>
      </c>
    </row>
    <row r="139">
      <c r="A139" s="1" t="s">
        <v>432</v>
      </c>
      <c r="B139" s="1" t="s">
        <v>433</v>
      </c>
      <c r="C139" s="2" t="s">
        <v>434</v>
      </c>
      <c r="D139" s="2">
        <f>VLOOKUP(B139,'EC-Nitin'!$B$2:$F$46,5)</f>
        <v>46</v>
      </c>
      <c r="E139" s="2">
        <v>29.0</v>
      </c>
      <c r="F139" s="2">
        <f t="shared" si="1"/>
        <v>37.5</v>
      </c>
      <c r="G139" s="2">
        <v>10.0</v>
      </c>
      <c r="H139" s="2">
        <v>14.5</v>
      </c>
      <c r="I139" s="2">
        <v>43.0</v>
      </c>
      <c r="J139" s="3">
        <f t="shared" si="2"/>
        <v>10.90277778</v>
      </c>
      <c r="K139" s="2">
        <v>80.0</v>
      </c>
      <c r="L139" s="2">
        <v>180.0</v>
      </c>
      <c r="N139" s="3">
        <f t="shared" si="3"/>
        <v>180</v>
      </c>
      <c r="O139" s="2">
        <v>98.0</v>
      </c>
      <c r="P139" s="2">
        <f t="shared" si="4"/>
        <v>13.4</v>
      </c>
      <c r="Q139" s="2">
        <v>6.0</v>
      </c>
      <c r="R139" s="2">
        <v>5.0</v>
      </c>
      <c r="S139" s="2">
        <v>10.0</v>
      </c>
      <c r="T139" s="2">
        <v>10.0</v>
      </c>
      <c r="U139" s="2">
        <v>15.0</v>
      </c>
      <c r="V139" s="2">
        <v>14.0</v>
      </c>
      <c r="W139" s="2">
        <v>20.0</v>
      </c>
      <c r="X139" s="2">
        <v>30.0</v>
      </c>
      <c r="Y139" s="2">
        <v>24.0</v>
      </c>
      <c r="Z139" s="2">
        <v>29.0</v>
      </c>
      <c r="AA139" s="2">
        <v>30.0</v>
      </c>
      <c r="AB139" s="2">
        <f t="shared" si="5"/>
        <v>9.65</v>
      </c>
      <c r="AC139" s="2">
        <v>50.0</v>
      </c>
      <c r="AD139" s="2">
        <v>345.0</v>
      </c>
      <c r="AE139" s="3">
        <f t="shared" si="6"/>
        <v>9.875</v>
      </c>
      <c r="AF139" s="4">
        <f t="shared" si="7"/>
        <v>81.32777778</v>
      </c>
    </row>
    <row r="140">
      <c r="A140" s="1" t="s">
        <v>435</v>
      </c>
      <c r="B140" s="1" t="s">
        <v>436</v>
      </c>
      <c r="C140" s="2" t="s">
        <v>437</v>
      </c>
      <c r="D140" s="2">
        <f>VLOOKUP(B140,'EC-Nitin'!$B$2:$F$46,5)</f>
        <v>42</v>
      </c>
      <c r="E140" s="2">
        <v>24.0</v>
      </c>
      <c r="F140" s="2">
        <f t="shared" si="1"/>
        <v>33</v>
      </c>
      <c r="G140" s="2">
        <v>8.0</v>
      </c>
      <c r="H140" s="2">
        <v>14.5</v>
      </c>
      <c r="I140" s="2">
        <v>34.0</v>
      </c>
      <c r="J140" s="3">
        <f t="shared" si="2"/>
        <v>9.402777778</v>
      </c>
      <c r="K140" s="2">
        <v>90.0</v>
      </c>
      <c r="L140" s="2">
        <v>160.0</v>
      </c>
      <c r="N140" s="3">
        <f t="shared" si="3"/>
        <v>160</v>
      </c>
      <c r="O140" s="2">
        <v>99.0</v>
      </c>
      <c r="P140" s="2">
        <f t="shared" si="4"/>
        <v>13.45</v>
      </c>
      <c r="Q140" s="2">
        <v>7.0</v>
      </c>
      <c r="R140" s="2">
        <v>6.0</v>
      </c>
      <c r="S140" s="2">
        <v>14.0</v>
      </c>
      <c r="T140" s="2">
        <v>14.0</v>
      </c>
      <c r="U140" s="2">
        <v>15.0</v>
      </c>
      <c r="V140" s="2">
        <v>14.0</v>
      </c>
      <c r="W140" s="2">
        <v>18.0</v>
      </c>
      <c r="X140" s="2">
        <v>30.0</v>
      </c>
      <c r="Y140" s="2">
        <v>30.0</v>
      </c>
      <c r="Z140" s="2">
        <v>29.0</v>
      </c>
      <c r="AA140" s="2">
        <v>29.0</v>
      </c>
      <c r="AB140" s="2">
        <f t="shared" si="5"/>
        <v>10.3</v>
      </c>
      <c r="AC140" s="2">
        <v>30.0</v>
      </c>
      <c r="AD140" s="2">
        <v>345.0</v>
      </c>
      <c r="AE140" s="3">
        <f t="shared" si="6"/>
        <v>9.375</v>
      </c>
      <c r="AF140" s="4">
        <f t="shared" si="7"/>
        <v>75.52777778</v>
      </c>
    </row>
    <row r="141">
      <c r="A141" s="1" t="s">
        <v>438</v>
      </c>
      <c r="B141" s="1" t="s">
        <v>439</v>
      </c>
      <c r="C141" s="2" t="s">
        <v>440</v>
      </c>
      <c r="D141" s="2">
        <f>VLOOKUP(B141,'EC-Nitin'!$B$2:$F$46,5)</f>
        <v>43</v>
      </c>
      <c r="E141" s="2">
        <v>32.0</v>
      </c>
      <c r="F141" s="2">
        <f t="shared" si="1"/>
        <v>37.5</v>
      </c>
      <c r="G141" s="2">
        <v>13.0</v>
      </c>
      <c r="H141" s="2">
        <v>17.5</v>
      </c>
      <c r="I141" s="2">
        <v>-1.0</v>
      </c>
      <c r="J141" s="3">
        <f t="shared" si="2"/>
        <v>7.513888889</v>
      </c>
      <c r="K141" s="2">
        <v>85.0</v>
      </c>
      <c r="L141" s="2">
        <v>200.0</v>
      </c>
      <c r="N141" s="3">
        <f t="shared" si="3"/>
        <v>200</v>
      </c>
      <c r="O141" s="2">
        <v>99.0</v>
      </c>
      <c r="P141" s="2">
        <f t="shared" si="4"/>
        <v>14.2</v>
      </c>
      <c r="Q141" s="2">
        <v>7.0</v>
      </c>
      <c r="R141" s="2">
        <v>10.0</v>
      </c>
      <c r="S141" s="2">
        <v>12.0</v>
      </c>
      <c r="U141" s="2">
        <v>14.0</v>
      </c>
      <c r="V141" s="2">
        <v>15.0</v>
      </c>
      <c r="W141" s="2">
        <v>17.0</v>
      </c>
      <c r="X141" s="2">
        <v>30.0</v>
      </c>
      <c r="Y141" s="2">
        <v>27.0</v>
      </c>
      <c r="Z141" s="2">
        <v>30.0</v>
      </c>
      <c r="AA141" s="2">
        <v>29.0</v>
      </c>
      <c r="AB141" s="2">
        <f t="shared" si="5"/>
        <v>9.55</v>
      </c>
      <c r="AC141" s="2">
        <v>50.0</v>
      </c>
      <c r="AD141" s="2">
        <v>348.0</v>
      </c>
      <c r="AE141" s="3">
        <f t="shared" si="6"/>
        <v>9.95</v>
      </c>
      <c r="AF141" s="4">
        <f t="shared" si="7"/>
        <v>78.71388889</v>
      </c>
    </row>
    <row r="142">
      <c r="A142" s="1" t="s">
        <v>441</v>
      </c>
      <c r="B142" s="1" t="s">
        <v>442</v>
      </c>
      <c r="C142" s="2" t="s">
        <v>443</v>
      </c>
      <c r="D142" s="2">
        <f>VLOOKUP(B142,'EC-Nitin'!$B$2:$F$46,5)</f>
        <v>44</v>
      </c>
      <c r="E142" s="2">
        <v>29.0</v>
      </c>
      <c r="F142" s="2">
        <f t="shared" si="1"/>
        <v>36.5</v>
      </c>
      <c r="G142" s="2">
        <v>10.0</v>
      </c>
      <c r="H142" s="2">
        <v>16.0</v>
      </c>
      <c r="I142" s="2">
        <v>43.0</v>
      </c>
      <c r="J142" s="3">
        <f t="shared" si="2"/>
        <v>11.27777778</v>
      </c>
      <c r="K142" s="2">
        <v>95.0</v>
      </c>
      <c r="L142" s="2">
        <v>200.0</v>
      </c>
      <c r="M142" s="2">
        <v>170.0</v>
      </c>
      <c r="N142" s="3">
        <f t="shared" si="3"/>
        <v>200</v>
      </c>
      <c r="O142" s="2">
        <v>9.0</v>
      </c>
      <c r="P142" s="2">
        <f t="shared" si="4"/>
        <v>10.2</v>
      </c>
      <c r="Q142" s="2">
        <v>7.0</v>
      </c>
      <c r="R142" s="2">
        <v>6.0</v>
      </c>
      <c r="S142" s="2">
        <v>9.0</v>
      </c>
      <c r="T142" s="2">
        <v>15.0</v>
      </c>
      <c r="U142" s="2">
        <v>12.0</v>
      </c>
      <c r="V142" s="2">
        <v>10.0</v>
      </c>
      <c r="W142" s="2">
        <v>17.0</v>
      </c>
      <c r="X142" s="2">
        <v>27.0</v>
      </c>
      <c r="Y142" s="2">
        <v>27.0</v>
      </c>
      <c r="Z142" s="2">
        <v>28.0</v>
      </c>
      <c r="AA142" s="2">
        <v>29.0</v>
      </c>
      <c r="AB142" s="2">
        <f t="shared" si="5"/>
        <v>9.35</v>
      </c>
      <c r="AC142" s="2">
        <v>50.0</v>
      </c>
      <c r="AD142" s="2">
        <v>347.0</v>
      </c>
      <c r="AE142" s="3">
        <f t="shared" si="6"/>
        <v>9.925</v>
      </c>
      <c r="AF142" s="4">
        <f t="shared" si="7"/>
        <v>77.25277778</v>
      </c>
    </row>
    <row r="143">
      <c r="A143" s="1" t="s">
        <v>444</v>
      </c>
      <c r="B143" s="1" t="s">
        <v>445</v>
      </c>
      <c r="C143" s="2" t="s">
        <v>446</v>
      </c>
      <c r="D143" s="2">
        <f>VLOOKUP(B143,'EC-Nitin'!$B$2:$F$46,5)</f>
        <v>41</v>
      </c>
      <c r="E143" s="2">
        <v>33.0</v>
      </c>
      <c r="F143" s="2">
        <f t="shared" si="1"/>
        <v>37</v>
      </c>
      <c r="G143" s="2">
        <v>14.0</v>
      </c>
      <c r="H143" s="2">
        <v>20.0</v>
      </c>
      <c r="I143" s="2">
        <v>40.0</v>
      </c>
      <c r="J143" s="3">
        <f t="shared" si="2"/>
        <v>12.94444444</v>
      </c>
      <c r="K143" s="2">
        <v>90.0</v>
      </c>
      <c r="L143" s="2">
        <v>200.0</v>
      </c>
      <c r="N143" s="3">
        <f t="shared" si="3"/>
        <v>200</v>
      </c>
      <c r="O143" s="2">
        <v>96.0</v>
      </c>
      <c r="P143" s="2">
        <f t="shared" si="4"/>
        <v>14.3</v>
      </c>
      <c r="Q143" s="2">
        <v>6.0</v>
      </c>
      <c r="R143" s="2">
        <v>7.0</v>
      </c>
      <c r="S143" s="2">
        <v>12.0</v>
      </c>
      <c r="U143" s="2">
        <v>0.0</v>
      </c>
      <c r="V143" s="2">
        <v>14.0</v>
      </c>
      <c r="W143" s="2">
        <v>20.0</v>
      </c>
      <c r="X143" s="2">
        <v>30.0</v>
      </c>
      <c r="Y143" s="2">
        <v>27.0</v>
      </c>
      <c r="Z143" s="2">
        <v>30.0</v>
      </c>
      <c r="AA143" s="2">
        <v>30.0</v>
      </c>
      <c r="AB143" s="2">
        <f t="shared" si="5"/>
        <v>8.8</v>
      </c>
      <c r="AC143" s="2">
        <v>45.0</v>
      </c>
      <c r="AD143" s="2">
        <v>343.0</v>
      </c>
      <c r="AE143" s="3">
        <f t="shared" si="6"/>
        <v>9.7</v>
      </c>
      <c r="AF143" s="4">
        <f t="shared" si="7"/>
        <v>82.74444444</v>
      </c>
    </row>
    <row r="144">
      <c r="A144" s="1" t="s">
        <v>447</v>
      </c>
      <c r="B144" s="1" t="s">
        <v>448</v>
      </c>
      <c r="C144" s="2" t="s">
        <v>449</v>
      </c>
      <c r="D144" s="2">
        <f>VLOOKUP(B144,'EC-Nitin'!$B$2:$F$46,5)</f>
        <v>23</v>
      </c>
      <c r="E144" s="2">
        <v>21.0</v>
      </c>
      <c r="F144" s="2">
        <f t="shared" si="1"/>
        <v>22</v>
      </c>
      <c r="G144" s="2">
        <v>9.0</v>
      </c>
      <c r="I144" s="2">
        <v>40.0</v>
      </c>
      <c r="J144" s="3">
        <f t="shared" si="2"/>
        <v>6.694444444</v>
      </c>
      <c r="K144" s="2">
        <v>85.0</v>
      </c>
      <c r="L144" s="2">
        <v>170.0</v>
      </c>
      <c r="N144" s="3">
        <f t="shared" si="3"/>
        <v>170</v>
      </c>
      <c r="O144" s="2">
        <v>99.0</v>
      </c>
      <c r="P144" s="2">
        <f t="shared" si="4"/>
        <v>13.45</v>
      </c>
      <c r="Q144" s="2">
        <v>5.0</v>
      </c>
      <c r="R144" s="2">
        <v>6.0</v>
      </c>
      <c r="S144" s="2">
        <v>9.0</v>
      </c>
      <c r="T144" s="2">
        <v>10.0</v>
      </c>
      <c r="U144" s="2">
        <v>9.0</v>
      </c>
      <c r="V144" s="2">
        <v>9.0</v>
      </c>
      <c r="W144" s="2">
        <v>0.0</v>
      </c>
      <c r="X144" s="2">
        <v>0.0</v>
      </c>
      <c r="AB144" s="2">
        <f t="shared" si="5"/>
        <v>2.4</v>
      </c>
      <c r="AC144" s="2">
        <v>49.0</v>
      </c>
      <c r="AD144" s="2">
        <v>342.0</v>
      </c>
      <c r="AE144" s="3">
        <f t="shared" si="6"/>
        <v>9.775</v>
      </c>
      <c r="AF144" s="4">
        <f t="shared" si="7"/>
        <v>54.31944444</v>
      </c>
    </row>
    <row r="145">
      <c r="A145" s="1" t="s">
        <v>450</v>
      </c>
      <c r="B145" s="1" t="s">
        <v>451</v>
      </c>
      <c r="C145" s="2" t="s">
        <v>452</v>
      </c>
      <c r="D145" s="2">
        <f>VLOOKUP(B145,'EC-Nitin'!$B$2:$F$46,5)</f>
        <v>46</v>
      </c>
      <c r="E145" s="2">
        <v>37.0</v>
      </c>
      <c r="F145" s="2">
        <f t="shared" si="1"/>
        <v>41.5</v>
      </c>
      <c r="G145" s="2">
        <v>17.0</v>
      </c>
      <c r="H145" s="2">
        <v>20.0</v>
      </c>
      <c r="I145" s="2">
        <v>42.0</v>
      </c>
      <c r="J145" s="3">
        <f t="shared" si="2"/>
        <v>13.91666667</v>
      </c>
      <c r="K145" s="2">
        <v>100.0</v>
      </c>
      <c r="L145" s="2">
        <v>200.0</v>
      </c>
      <c r="N145" s="3">
        <f t="shared" si="3"/>
        <v>200</v>
      </c>
      <c r="O145" s="2">
        <v>95.0</v>
      </c>
      <c r="P145" s="2">
        <f t="shared" si="4"/>
        <v>14.75</v>
      </c>
      <c r="Q145" s="2">
        <v>6.0</v>
      </c>
      <c r="R145" s="2">
        <v>9.0</v>
      </c>
      <c r="S145" s="2">
        <v>12.0</v>
      </c>
      <c r="T145" s="2">
        <v>10.0</v>
      </c>
      <c r="U145" s="2">
        <v>14.0</v>
      </c>
      <c r="V145" s="2">
        <v>14.0</v>
      </c>
      <c r="W145" s="2">
        <v>19.0</v>
      </c>
      <c r="X145" s="2">
        <v>30.0</v>
      </c>
      <c r="Y145" s="2">
        <v>27.0</v>
      </c>
      <c r="Z145" s="2">
        <v>30.0</v>
      </c>
      <c r="AA145" s="2">
        <v>30.0</v>
      </c>
      <c r="AB145" s="2">
        <f t="shared" si="5"/>
        <v>10.05</v>
      </c>
      <c r="AC145" s="2">
        <v>43.0</v>
      </c>
      <c r="AD145" s="2">
        <v>343.0</v>
      </c>
      <c r="AE145" s="3">
        <f t="shared" si="6"/>
        <v>9.65</v>
      </c>
      <c r="AF145" s="4">
        <f t="shared" si="7"/>
        <v>89.86666667</v>
      </c>
    </row>
    <row r="146">
      <c r="A146" s="1" t="s">
        <v>453</v>
      </c>
      <c r="B146" s="1" t="s">
        <v>454</v>
      </c>
      <c r="C146" s="2" t="s">
        <v>455</v>
      </c>
      <c r="D146" s="2">
        <f>VLOOKUP(B146,'EC-Nitin'!$B$2:$F$46,5)</f>
        <v>34</v>
      </c>
      <c r="E146" s="2">
        <v>23.0</v>
      </c>
      <c r="F146" s="2">
        <f t="shared" si="1"/>
        <v>28.5</v>
      </c>
      <c r="G146" s="2">
        <v>10.0</v>
      </c>
      <c r="H146" s="2">
        <v>19.0</v>
      </c>
      <c r="I146" s="2">
        <v>42.0</v>
      </c>
      <c r="J146" s="3">
        <f t="shared" si="2"/>
        <v>11.91666667</v>
      </c>
      <c r="K146" s="2">
        <v>90.0</v>
      </c>
      <c r="L146" s="2">
        <v>185.0</v>
      </c>
      <c r="N146" s="3">
        <f t="shared" si="3"/>
        <v>185</v>
      </c>
      <c r="O146" s="2">
        <v>99.0</v>
      </c>
      <c r="P146" s="2">
        <f t="shared" si="4"/>
        <v>14.075</v>
      </c>
      <c r="Q146" s="2">
        <v>5.0</v>
      </c>
      <c r="R146" s="2">
        <v>3.0</v>
      </c>
      <c r="S146" s="2">
        <v>9.0</v>
      </c>
      <c r="U146" s="2">
        <v>13.0</v>
      </c>
      <c r="V146" s="2">
        <v>6.0</v>
      </c>
      <c r="W146" s="2">
        <v>19.0</v>
      </c>
      <c r="X146" s="2">
        <v>30.0</v>
      </c>
      <c r="Y146" s="2">
        <v>27.0</v>
      </c>
      <c r="Z146" s="2">
        <v>27.0</v>
      </c>
      <c r="AA146" s="2">
        <v>28.0</v>
      </c>
      <c r="AB146" s="2">
        <f t="shared" si="5"/>
        <v>8.35</v>
      </c>
      <c r="AC146" s="2">
        <v>0.0</v>
      </c>
      <c r="AD146" s="2">
        <v>340.0</v>
      </c>
      <c r="AE146" s="3">
        <f t="shared" si="6"/>
        <v>8.5</v>
      </c>
      <c r="AF146" s="4">
        <f t="shared" si="7"/>
        <v>71.34166667</v>
      </c>
    </row>
    <row r="147">
      <c r="A147" s="1" t="s">
        <v>456</v>
      </c>
      <c r="B147" s="1" t="s">
        <v>457</v>
      </c>
      <c r="C147" s="2" t="s">
        <v>458</v>
      </c>
      <c r="D147" s="2">
        <f>VLOOKUP(B147,'EC-Nitin'!$B$2:$F$46,5)</f>
        <v>38</v>
      </c>
      <c r="E147" s="2">
        <v>37.0</v>
      </c>
      <c r="F147" s="2">
        <f t="shared" si="1"/>
        <v>37.5</v>
      </c>
      <c r="G147" s="2">
        <v>18.0</v>
      </c>
      <c r="H147" s="2">
        <v>16.5</v>
      </c>
      <c r="I147" s="2">
        <v>40.0</v>
      </c>
      <c r="J147" s="3">
        <f t="shared" si="2"/>
        <v>13.06944444</v>
      </c>
      <c r="K147" s="2">
        <v>100.0</v>
      </c>
      <c r="L147" s="2">
        <v>200.0</v>
      </c>
      <c r="N147" s="3">
        <f t="shared" si="3"/>
        <v>200</v>
      </c>
      <c r="O147" s="2">
        <v>97.0</v>
      </c>
      <c r="P147" s="2">
        <f t="shared" si="4"/>
        <v>14.85</v>
      </c>
      <c r="Q147" s="2">
        <v>7.0</v>
      </c>
      <c r="R147" s="2">
        <v>8.0</v>
      </c>
      <c r="S147" s="2">
        <v>12.0</v>
      </c>
      <c r="T147" s="2">
        <v>13.0</v>
      </c>
      <c r="U147" s="2">
        <v>14.0</v>
      </c>
      <c r="V147" s="2">
        <v>15.0</v>
      </c>
      <c r="W147" s="2">
        <v>20.0</v>
      </c>
      <c r="X147" s="2">
        <v>30.0</v>
      </c>
      <c r="Y147" s="2">
        <v>27.0</v>
      </c>
      <c r="Z147" s="2">
        <v>30.0</v>
      </c>
      <c r="AA147" s="2">
        <v>29.0</v>
      </c>
      <c r="AB147" s="2">
        <f t="shared" si="5"/>
        <v>10.25</v>
      </c>
      <c r="AC147" s="2">
        <v>50.0</v>
      </c>
      <c r="AD147" s="2">
        <v>343.0</v>
      </c>
      <c r="AE147" s="3">
        <f t="shared" si="6"/>
        <v>9.825</v>
      </c>
      <c r="AF147" s="4">
        <f t="shared" si="7"/>
        <v>85.49444444</v>
      </c>
    </row>
    <row r="148">
      <c r="A148" s="1" t="s">
        <v>459</v>
      </c>
      <c r="B148" s="1" t="s">
        <v>460</v>
      </c>
      <c r="C148" s="2" t="s">
        <v>461</v>
      </c>
      <c r="D148" s="2">
        <f>VLOOKUP(B148,'EC-Nitin'!$B$2:$F$46,5)</f>
        <v>45</v>
      </c>
      <c r="E148" s="2">
        <v>39.0</v>
      </c>
      <c r="F148" s="2">
        <f t="shared" si="1"/>
        <v>42</v>
      </c>
      <c r="G148" s="2">
        <v>15.0</v>
      </c>
      <c r="H148" s="2">
        <v>20.0</v>
      </c>
      <c r="I148" s="2">
        <v>36.0</v>
      </c>
      <c r="J148" s="3">
        <f t="shared" si="2"/>
        <v>12.75</v>
      </c>
      <c r="K148" s="2">
        <v>85.0</v>
      </c>
      <c r="L148" s="2">
        <v>200.0</v>
      </c>
      <c r="N148" s="3">
        <f t="shared" si="3"/>
        <v>200</v>
      </c>
      <c r="O148" s="2">
        <v>98.0</v>
      </c>
      <c r="P148" s="2">
        <f t="shared" si="4"/>
        <v>14.15</v>
      </c>
      <c r="Q148" s="2">
        <v>7.0</v>
      </c>
      <c r="R148" s="2">
        <v>10.0</v>
      </c>
      <c r="S148" s="2">
        <v>15.0</v>
      </c>
      <c r="T148" s="2">
        <v>14.0</v>
      </c>
      <c r="U148" s="2">
        <v>15.0</v>
      </c>
      <c r="V148" s="2">
        <v>12.0</v>
      </c>
      <c r="W148" s="2">
        <v>20.0</v>
      </c>
      <c r="X148" s="2">
        <v>30.0</v>
      </c>
      <c r="Y148" s="2">
        <v>26.0</v>
      </c>
      <c r="Z148" s="2">
        <v>30.0</v>
      </c>
      <c r="AA148" s="2">
        <v>30.0</v>
      </c>
      <c r="AB148" s="2">
        <f t="shared" si="5"/>
        <v>10.45</v>
      </c>
      <c r="AC148" s="2">
        <v>50.0</v>
      </c>
      <c r="AD148" s="2">
        <v>345.0</v>
      </c>
      <c r="AE148" s="3">
        <f t="shared" si="6"/>
        <v>9.875</v>
      </c>
      <c r="AF148" s="4">
        <f t="shared" si="7"/>
        <v>89.225</v>
      </c>
    </row>
    <row r="149">
      <c r="A149" s="1" t="s">
        <v>462</v>
      </c>
      <c r="B149" s="1" t="s">
        <v>463</v>
      </c>
      <c r="C149" s="2" t="s">
        <v>464</v>
      </c>
      <c r="D149" s="2">
        <f>VLOOKUP(B149,'EC-Nitin'!$B$2:$F$46,5)</f>
        <v>44</v>
      </c>
      <c r="E149" s="2">
        <v>35.0</v>
      </c>
      <c r="F149" s="2">
        <f t="shared" si="1"/>
        <v>39.5</v>
      </c>
      <c r="G149" s="2">
        <v>15.0</v>
      </c>
      <c r="H149" s="2">
        <v>17.0</v>
      </c>
      <c r="I149" s="2">
        <v>40.0</v>
      </c>
      <c r="J149" s="3">
        <f t="shared" si="2"/>
        <v>12.44444444</v>
      </c>
      <c r="K149" s="2">
        <v>95.0</v>
      </c>
      <c r="L149" s="2">
        <v>200.0</v>
      </c>
      <c r="N149" s="3">
        <f t="shared" si="3"/>
        <v>200</v>
      </c>
      <c r="O149" s="2">
        <v>100.0</v>
      </c>
      <c r="P149" s="2">
        <f t="shared" si="4"/>
        <v>14.75</v>
      </c>
      <c r="Q149" s="2">
        <v>7.0</v>
      </c>
      <c r="R149" s="2">
        <v>8.0</v>
      </c>
      <c r="S149" s="2">
        <v>15.0</v>
      </c>
      <c r="T149" s="2">
        <v>15.0</v>
      </c>
      <c r="U149" s="2">
        <v>15.0</v>
      </c>
      <c r="V149" s="2">
        <v>14.0</v>
      </c>
      <c r="W149" s="2">
        <v>20.0</v>
      </c>
      <c r="X149" s="2">
        <v>30.0</v>
      </c>
      <c r="Y149" s="2">
        <v>24.0</v>
      </c>
      <c r="Z149" s="2">
        <v>30.0</v>
      </c>
      <c r="AA149" s="2">
        <v>30.0</v>
      </c>
      <c r="AB149" s="2">
        <f t="shared" si="5"/>
        <v>10.4</v>
      </c>
      <c r="AC149" s="2">
        <v>46.0</v>
      </c>
      <c r="AD149" s="2">
        <v>349.0</v>
      </c>
      <c r="AE149" s="3">
        <f t="shared" si="6"/>
        <v>9.875</v>
      </c>
      <c r="AF149" s="4">
        <f t="shared" si="7"/>
        <v>86.96944444</v>
      </c>
    </row>
    <row r="150">
      <c r="A150" s="1" t="s">
        <v>465</v>
      </c>
      <c r="B150" s="1" t="s">
        <v>466</v>
      </c>
      <c r="C150" s="2" t="s">
        <v>467</v>
      </c>
      <c r="D150" s="2">
        <f>VLOOKUP(B150, 'EE-Nitin'!$B$2:$F$57,5)</f>
        <v>38</v>
      </c>
      <c r="E150" s="2">
        <v>21.0</v>
      </c>
      <c r="F150" s="2">
        <f t="shared" si="1"/>
        <v>29.5</v>
      </c>
      <c r="G150" s="2">
        <v>9.0</v>
      </c>
      <c r="H150" s="2">
        <v>14.0</v>
      </c>
      <c r="I150" s="2">
        <v>35.0</v>
      </c>
      <c r="J150" s="3">
        <f t="shared" si="2"/>
        <v>9.638888889</v>
      </c>
      <c r="K150" s="2">
        <v>93.0</v>
      </c>
      <c r="L150" s="2">
        <v>190.0</v>
      </c>
      <c r="N150" s="3">
        <f t="shared" si="3"/>
        <v>190</v>
      </c>
      <c r="O150" s="2">
        <v>98.0</v>
      </c>
      <c r="P150" s="2">
        <f t="shared" si="4"/>
        <v>14.3</v>
      </c>
      <c r="Q150" s="2">
        <v>7.0</v>
      </c>
      <c r="R150" s="2">
        <v>10.0</v>
      </c>
      <c r="S150" s="2">
        <v>10.0</v>
      </c>
      <c r="T150" s="2">
        <v>13.5</v>
      </c>
      <c r="U150" s="2">
        <v>15.0</v>
      </c>
      <c r="V150" s="2">
        <v>14.0</v>
      </c>
      <c r="W150" s="2">
        <v>20.0</v>
      </c>
      <c r="X150" s="2">
        <v>29.0</v>
      </c>
      <c r="Y150" s="2">
        <v>28.0</v>
      </c>
      <c r="Z150" s="2">
        <v>29.0</v>
      </c>
      <c r="AA150" s="2">
        <v>30.0</v>
      </c>
      <c r="AB150" s="2">
        <f t="shared" si="5"/>
        <v>10.275</v>
      </c>
      <c r="AC150" s="2">
        <v>50.0</v>
      </c>
      <c r="AD150" s="2">
        <v>348.0</v>
      </c>
      <c r="AE150" s="3">
        <f t="shared" si="6"/>
        <v>9.95</v>
      </c>
      <c r="AF150" s="4">
        <f t="shared" si="7"/>
        <v>73.66388889</v>
      </c>
    </row>
    <row r="151">
      <c r="A151" s="1" t="s">
        <v>468</v>
      </c>
      <c r="B151" s="1" t="s">
        <v>469</v>
      </c>
      <c r="C151" s="2" t="s">
        <v>470</v>
      </c>
      <c r="D151" s="2">
        <f>VLOOKUP(B151, 'EE-Nitin'!$B$2:$F$57,5)</f>
        <v>26</v>
      </c>
      <c r="F151" s="2">
        <f t="shared" si="1"/>
        <v>13</v>
      </c>
      <c r="G151" s="2">
        <v>4.0</v>
      </c>
      <c r="H151" s="2">
        <v>7.0</v>
      </c>
      <c r="I151" s="2">
        <v>20.0</v>
      </c>
      <c r="J151" s="3">
        <f t="shared" si="2"/>
        <v>4.972222222</v>
      </c>
      <c r="K151" s="2">
        <v>95.0</v>
      </c>
      <c r="L151" s="2">
        <v>170.0</v>
      </c>
      <c r="N151" s="3">
        <f t="shared" si="3"/>
        <v>170</v>
      </c>
      <c r="O151" s="2">
        <v>96.0</v>
      </c>
      <c r="P151" s="2">
        <f t="shared" si="4"/>
        <v>13.8</v>
      </c>
      <c r="Q151" s="2">
        <v>7.0</v>
      </c>
      <c r="R151" s="2">
        <v>3.0</v>
      </c>
      <c r="S151" s="2">
        <v>0.0</v>
      </c>
      <c r="T151" s="2">
        <v>12.0</v>
      </c>
      <c r="U151" s="2">
        <v>14.5</v>
      </c>
      <c r="V151" s="2">
        <v>14.0</v>
      </c>
      <c r="W151" s="2">
        <v>19.5</v>
      </c>
      <c r="X151" s="2">
        <v>28.0</v>
      </c>
      <c r="Y151" s="2">
        <v>28.0</v>
      </c>
      <c r="Z151" s="2">
        <v>29.0</v>
      </c>
      <c r="AA151" s="2">
        <v>29.0</v>
      </c>
      <c r="AB151" s="2">
        <f t="shared" si="5"/>
        <v>9.2</v>
      </c>
      <c r="AC151" s="2">
        <v>45.0</v>
      </c>
      <c r="AD151" s="2">
        <v>345.0</v>
      </c>
      <c r="AE151" s="3">
        <f t="shared" si="6"/>
        <v>9.75</v>
      </c>
      <c r="AF151" s="4">
        <f t="shared" si="7"/>
        <v>50.72222222</v>
      </c>
    </row>
    <row r="152">
      <c r="A152" s="1" t="s">
        <v>471</v>
      </c>
      <c r="B152" s="1" t="s">
        <v>472</v>
      </c>
      <c r="C152" s="2" t="s">
        <v>473</v>
      </c>
      <c r="D152" s="2">
        <f>VLOOKUP(B152, 'EE-Nitin'!$B$2:$F$57,5)</f>
        <v>47</v>
      </c>
      <c r="E152" s="2">
        <v>9.0</v>
      </c>
      <c r="F152" s="2">
        <f t="shared" si="1"/>
        <v>28</v>
      </c>
      <c r="G152" s="2">
        <v>4.0</v>
      </c>
      <c r="H152" s="2">
        <v>4.0</v>
      </c>
      <c r="I152" s="2">
        <v>31.0</v>
      </c>
      <c r="J152" s="3">
        <f t="shared" si="2"/>
        <v>5.444444444</v>
      </c>
      <c r="K152" s="2">
        <v>70.0</v>
      </c>
      <c r="L152" s="2">
        <v>185.0</v>
      </c>
      <c r="N152" s="3">
        <f t="shared" si="3"/>
        <v>185</v>
      </c>
      <c r="O152" s="2">
        <v>97.0</v>
      </c>
      <c r="P152" s="2">
        <f t="shared" si="4"/>
        <v>12.975</v>
      </c>
      <c r="Q152" s="2">
        <v>5.0</v>
      </c>
      <c r="R152" s="2">
        <v>5.0</v>
      </c>
      <c r="S152" s="2">
        <v>7.0</v>
      </c>
      <c r="T152" s="2">
        <v>11.0</v>
      </c>
      <c r="U152" s="2">
        <v>14.5</v>
      </c>
      <c r="V152" s="2">
        <v>13.5</v>
      </c>
      <c r="W152" s="2">
        <v>19.5</v>
      </c>
      <c r="X152" s="2">
        <v>20.0</v>
      </c>
      <c r="Y152" s="2">
        <v>27.0</v>
      </c>
      <c r="Z152" s="2">
        <v>29.0</v>
      </c>
      <c r="AB152" s="2">
        <f t="shared" si="5"/>
        <v>7.575</v>
      </c>
      <c r="AC152" s="2">
        <v>50.0</v>
      </c>
      <c r="AD152" s="2">
        <v>343.0</v>
      </c>
      <c r="AE152" s="3">
        <f t="shared" si="6"/>
        <v>9.825</v>
      </c>
      <c r="AF152" s="4">
        <f t="shared" si="7"/>
        <v>63.81944444</v>
      </c>
    </row>
    <row r="153">
      <c r="A153" s="1" t="s">
        <v>474</v>
      </c>
      <c r="B153" s="1" t="s">
        <v>475</v>
      </c>
      <c r="C153" s="2" t="s">
        <v>476</v>
      </c>
      <c r="D153" s="2">
        <f>VLOOKUP(B153, 'EE-Nitin'!$B$2:$F$57,5)</f>
        <v>43</v>
      </c>
      <c r="E153" s="2">
        <v>33.0</v>
      </c>
      <c r="F153" s="2">
        <f t="shared" si="1"/>
        <v>38</v>
      </c>
      <c r="G153" s="2">
        <v>13.0</v>
      </c>
      <c r="H153" s="2">
        <v>16.0</v>
      </c>
      <c r="I153" s="2">
        <v>28.0</v>
      </c>
      <c r="J153" s="3">
        <f t="shared" si="2"/>
        <v>10.36111111</v>
      </c>
      <c r="K153" s="2">
        <v>99.0</v>
      </c>
      <c r="L153" s="2">
        <v>195.0</v>
      </c>
      <c r="N153" s="3">
        <f t="shared" si="3"/>
        <v>195</v>
      </c>
      <c r="O153" s="2">
        <v>98.0</v>
      </c>
      <c r="P153" s="2">
        <f t="shared" si="4"/>
        <v>14.725</v>
      </c>
      <c r="Q153" s="2">
        <v>5.0</v>
      </c>
      <c r="R153" s="2">
        <v>10.0</v>
      </c>
      <c r="S153" s="2">
        <v>11.0</v>
      </c>
      <c r="T153" s="2">
        <v>10.0</v>
      </c>
      <c r="U153" s="2">
        <v>15.0</v>
      </c>
      <c r="V153" s="2">
        <v>14.0</v>
      </c>
      <c r="W153" s="2">
        <v>19.5</v>
      </c>
      <c r="X153" s="2">
        <v>29.0</v>
      </c>
      <c r="Y153" s="2">
        <v>27.0</v>
      </c>
      <c r="Z153" s="2">
        <v>28.0</v>
      </c>
      <c r="AA153" s="2">
        <v>27.0</v>
      </c>
      <c r="AB153" s="2">
        <f t="shared" si="5"/>
        <v>9.775</v>
      </c>
      <c r="AC153" s="2">
        <v>0.0</v>
      </c>
      <c r="AD153" s="2">
        <v>344.0</v>
      </c>
      <c r="AE153" s="3">
        <f t="shared" si="6"/>
        <v>8.6</v>
      </c>
      <c r="AF153" s="4">
        <f t="shared" si="7"/>
        <v>81.46111111</v>
      </c>
    </row>
    <row r="154">
      <c r="A154" s="1" t="s">
        <v>204</v>
      </c>
      <c r="B154" s="1" t="s">
        <v>477</v>
      </c>
      <c r="C154" s="2" t="s">
        <v>478</v>
      </c>
      <c r="D154" s="2">
        <f>VLOOKUP(B154, 'EE-Nitin'!$B$2:$F$57,5)</f>
        <v>30</v>
      </c>
      <c r="E154" s="2">
        <v>16.0</v>
      </c>
      <c r="F154" s="2">
        <f t="shared" si="1"/>
        <v>23</v>
      </c>
      <c r="G154" s="2">
        <v>10.0</v>
      </c>
      <c r="H154" s="2">
        <v>9.0</v>
      </c>
      <c r="I154" s="2">
        <v>23.0</v>
      </c>
      <c r="J154" s="3">
        <f t="shared" si="2"/>
        <v>7.305555556</v>
      </c>
      <c r="K154" s="2">
        <v>90.0</v>
      </c>
      <c r="L154" s="2">
        <v>170.0</v>
      </c>
      <c r="M154" s="2">
        <v>160.0</v>
      </c>
      <c r="N154" s="3">
        <f t="shared" si="3"/>
        <v>170</v>
      </c>
      <c r="O154" s="2">
        <v>97.0</v>
      </c>
      <c r="P154" s="2">
        <f t="shared" si="4"/>
        <v>13.6</v>
      </c>
      <c r="Q154" s="2">
        <v>6.0</v>
      </c>
      <c r="R154" s="2">
        <v>0.0</v>
      </c>
      <c r="S154" s="2">
        <v>8.0</v>
      </c>
      <c r="T154" s="2">
        <v>13.5</v>
      </c>
      <c r="U154" s="2">
        <v>13.0</v>
      </c>
      <c r="V154" s="2">
        <v>12.0</v>
      </c>
      <c r="W154" s="2">
        <v>18.5</v>
      </c>
      <c r="X154" s="2">
        <v>27.0</v>
      </c>
      <c r="Y154" s="2">
        <v>28.0</v>
      </c>
      <c r="Z154" s="2">
        <v>28.0</v>
      </c>
      <c r="AA154" s="2">
        <v>28.0</v>
      </c>
      <c r="AB154" s="2">
        <f t="shared" si="5"/>
        <v>9.1</v>
      </c>
      <c r="AC154" s="2">
        <v>40.0</v>
      </c>
      <c r="AD154" s="2">
        <v>342.0</v>
      </c>
      <c r="AE154" s="3">
        <f t="shared" si="6"/>
        <v>9.55</v>
      </c>
      <c r="AF154" s="4">
        <f t="shared" si="7"/>
        <v>62.55555556</v>
      </c>
    </row>
    <row r="155">
      <c r="A155" s="1" t="s">
        <v>479</v>
      </c>
      <c r="B155" s="1" t="s">
        <v>480</v>
      </c>
      <c r="C155" s="2" t="s">
        <v>481</v>
      </c>
      <c r="D155" s="2">
        <f>VLOOKUP(B155, 'EE-Nitin'!$B$2:$F$57,5)</f>
        <v>38</v>
      </c>
      <c r="E155" s="2">
        <v>27.0</v>
      </c>
      <c r="F155" s="2">
        <f t="shared" si="1"/>
        <v>32.5</v>
      </c>
      <c r="G155" s="2">
        <v>10.0</v>
      </c>
      <c r="H155" s="2">
        <v>12.0</v>
      </c>
      <c r="I155" s="2">
        <v>28.0</v>
      </c>
      <c r="J155" s="3">
        <f t="shared" si="2"/>
        <v>8.611111111</v>
      </c>
      <c r="K155" s="2">
        <v>94.0</v>
      </c>
      <c r="L155" s="2">
        <v>185.0</v>
      </c>
      <c r="N155" s="3">
        <f t="shared" si="3"/>
        <v>185</v>
      </c>
      <c r="O155" s="2">
        <v>97.0</v>
      </c>
      <c r="P155" s="2">
        <f t="shared" si="4"/>
        <v>14.175</v>
      </c>
      <c r="Q155" s="2">
        <v>7.0</v>
      </c>
      <c r="R155" s="2">
        <v>5.0</v>
      </c>
      <c r="S155" s="2">
        <v>7.0</v>
      </c>
      <c r="T155" s="2">
        <v>10.0</v>
      </c>
      <c r="U155" s="2">
        <v>14.0</v>
      </c>
      <c r="V155" s="2">
        <v>14.0</v>
      </c>
      <c r="W155" s="2">
        <v>18.0</v>
      </c>
      <c r="X155" s="2">
        <v>28.0</v>
      </c>
      <c r="Y155" s="2">
        <v>29.0</v>
      </c>
      <c r="Z155" s="2">
        <v>30.0</v>
      </c>
      <c r="AA155" s="2">
        <v>29.0</v>
      </c>
      <c r="AB155" s="2">
        <f t="shared" si="5"/>
        <v>9.55</v>
      </c>
      <c r="AC155" s="2">
        <v>50.0</v>
      </c>
      <c r="AD155" s="2">
        <v>345.0</v>
      </c>
      <c r="AE155" s="3">
        <f t="shared" si="6"/>
        <v>9.875</v>
      </c>
      <c r="AF155" s="4">
        <f t="shared" si="7"/>
        <v>74.71111111</v>
      </c>
    </row>
    <row r="156">
      <c r="A156" s="1" t="s">
        <v>482</v>
      </c>
      <c r="B156" s="1" t="s">
        <v>483</v>
      </c>
      <c r="C156" s="2" t="s">
        <v>484</v>
      </c>
      <c r="D156" s="2">
        <f>VLOOKUP(B156, 'EE-Nitin'!$B$2:$F$57,5)</f>
        <v>49</v>
      </c>
      <c r="E156" s="2">
        <v>34.0</v>
      </c>
      <c r="F156" s="2">
        <f t="shared" si="1"/>
        <v>41.5</v>
      </c>
      <c r="G156" s="2">
        <v>16.0</v>
      </c>
      <c r="H156" s="2">
        <v>19.0</v>
      </c>
      <c r="I156" s="2">
        <v>36.0</v>
      </c>
      <c r="J156" s="3">
        <f t="shared" si="2"/>
        <v>12.75</v>
      </c>
      <c r="K156" s="2">
        <v>100.0</v>
      </c>
      <c r="L156" s="2">
        <v>200.0</v>
      </c>
      <c r="N156" s="3">
        <f t="shared" si="3"/>
        <v>200</v>
      </c>
      <c r="O156" s="2">
        <v>100.0</v>
      </c>
      <c r="P156" s="2">
        <f t="shared" si="4"/>
        <v>15</v>
      </c>
      <c r="Q156" s="2">
        <v>7.0</v>
      </c>
      <c r="R156" s="2">
        <v>8.0</v>
      </c>
      <c r="S156" s="2">
        <v>12.0</v>
      </c>
      <c r="T156" s="2">
        <v>14.0</v>
      </c>
      <c r="U156" s="2">
        <v>14.5</v>
      </c>
      <c r="V156" s="2">
        <v>14.0</v>
      </c>
      <c r="W156" s="2">
        <v>19.5</v>
      </c>
      <c r="X156" s="2">
        <v>29.0</v>
      </c>
      <c r="Y156" s="2">
        <v>28.0</v>
      </c>
      <c r="Z156" s="2">
        <v>30.0</v>
      </c>
      <c r="AA156" s="2">
        <v>30.0</v>
      </c>
      <c r="AB156" s="2">
        <f t="shared" si="5"/>
        <v>10.3</v>
      </c>
      <c r="AC156" s="2">
        <v>50.0</v>
      </c>
      <c r="AD156" s="2">
        <v>350.0</v>
      </c>
      <c r="AE156" s="3">
        <f t="shared" si="6"/>
        <v>10</v>
      </c>
      <c r="AF156" s="4">
        <f t="shared" si="7"/>
        <v>89.55</v>
      </c>
    </row>
    <row r="157">
      <c r="A157" s="1" t="s">
        <v>485</v>
      </c>
      <c r="B157" s="1" t="s">
        <v>486</v>
      </c>
      <c r="C157" s="2" t="s">
        <v>487</v>
      </c>
      <c r="D157" s="2">
        <f>VLOOKUP(B157, 'EE-Nitin'!$B$2:$F$57,5)</f>
        <v>0</v>
      </c>
      <c r="F157" s="2">
        <f t="shared" si="1"/>
        <v>0</v>
      </c>
      <c r="G157" s="2">
        <v>0.0</v>
      </c>
      <c r="H157" s="2">
        <v>0.0</v>
      </c>
      <c r="I157" s="2">
        <v>-1.0</v>
      </c>
      <c r="J157" s="3">
        <f t="shared" si="2"/>
        <v>-0.1111111111</v>
      </c>
      <c r="K157" s="2">
        <v>93.0</v>
      </c>
      <c r="L157" s="2">
        <v>0.0</v>
      </c>
      <c r="N157" s="3">
        <f t="shared" si="3"/>
        <v>0</v>
      </c>
      <c r="P157" s="2">
        <f t="shared" si="4"/>
        <v>4.65</v>
      </c>
      <c r="Q157" s="2">
        <v>7.0</v>
      </c>
      <c r="R157" s="2">
        <v>9.0</v>
      </c>
      <c r="S157" s="2">
        <v>10.0</v>
      </c>
      <c r="T157" s="2">
        <v>11.0</v>
      </c>
      <c r="U157" s="2">
        <v>14.5</v>
      </c>
      <c r="V157" s="2">
        <v>14.5</v>
      </c>
      <c r="W157" s="2">
        <v>20.0</v>
      </c>
      <c r="X157" s="2">
        <v>0.0</v>
      </c>
      <c r="Y157" s="2">
        <v>0.0</v>
      </c>
      <c r="AB157" s="2">
        <f t="shared" si="5"/>
        <v>4.3</v>
      </c>
      <c r="AE157" s="3">
        <f t="shared" si="6"/>
        <v>0</v>
      </c>
      <c r="AF157" s="4">
        <f t="shared" si="7"/>
        <v>8.838888889</v>
      </c>
    </row>
    <row r="158">
      <c r="A158" s="1" t="s">
        <v>488</v>
      </c>
      <c r="B158" s="1" t="s">
        <v>489</v>
      </c>
      <c r="C158" s="2" t="s">
        <v>490</v>
      </c>
      <c r="D158" s="2">
        <f>VLOOKUP(B158, 'EE-Nitin'!$B$2:$F$57,5)</f>
        <v>47</v>
      </c>
      <c r="E158" s="2">
        <v>31.0</v>
      </c>
      <c r="F158" s="2">
        <f t="shared" si="1"/>
        <v>39</v>
      </c>
      <c r="G158" s="2">
        <v>9.0</v>
      </c>
      <c r="H158" s="2">
        <v>15.0</v>
      </c>
      <c r="I158" s="2">
        <v>32.0</v>
      </c>
      <c r="J158" s="3">
        <f t="shared" si="2"/>
        <v>9.555555556</v>
      </c>
      <c r="K158" s="2">
        <v>92.0</v>
      </c>
      <c r="L158" s="2">
        <v>200.0</v>
      </c>
      <c r="N158" s="3">
        <f t="shared" si="3"/>
        <v>200</v>
      </c>
      <c r="O158" s="2">
        <v>99.0</v>
      </c>
      <c r="P158" s="2">
        <f t="shared" si="4"/>
        <v>14.55</v>
      </c>
      <c r="Q158" s="2">
        <v>7.0</v>
      </c>
      <c r="R158" s="2">
        <v>7.0</v>
      </c>
      <c r="S158" s="2">
        <v>11.0</v>
      </c>
      <c r="T158" s="2">
        <v>14.0</v>
      </c>
      <c r="U158" s="2">
        <v>14.5</v>
      </c>
      <c r="V158" s="2">
        <v>13.0</v>
      </c>
      <c r="W158" s="2">
        <v>19.5</v>
      </c>
      <c r="X158" s="2">
        <v>28.0</v>
      </c>
      <c r="Y158" s="2">
        <v>27.0</v>
      </c>
      <c r="Z158" s="2">
        <v>30.0</v>
      </c>
      <c r="AA158" s="2">
        <v>30.0</v>
      </c>
      <c r="AB158" s="2">
        <f t="shared" si="5"/>
        <v>10.05</v>
      </c>
      <c r="AC158" s="2">
        <v>50.0</v>
      </c>
      <c r="AD158" s="2">
        <v>350.0</v>
      </c>
      <c r="AE158" s="3">
        <f t="shared" si="6"/>
        <v>10</v>
      </c>
      <c r="AF158" s="4">
        <f t="shared" si="7"/>
        <v>83.15555556</v>
      </c>
    </row>
    <row r="159">
      <c r="A159" s="1" t="s">
        <v>491</v>
      </c>
      <c r="B159" s="1" t="s">
        <v>492</v>
      </c>
      <c r="C159" s="2" t="s">
        <v>493</v>
      </c>
      <c r="D159" s="2">
        <f>VLOOKUP(B159, 'EE-Nitin'!$B$2:$F$57,5)</f>
        <v>48</v>
      </c>
      <c r="E159" s="2">
        <v>28.0</v>
      </c>
      <c r="F159" s="2">
        <f t="shared" si="1"/>
        <v>38</v>
      </c>
      <c r="G159" s="2">
        <v>12.0</v>
      </c>
      <c r="H159" s="2">
        <v>13.0</v>
      </c>
      <c r="I159" s="2">
        <v>40.0</v>
      </c>
      <c r="J159" s="3">
        <f t="shared" si="2"/>
        <v>10.69444444</v>
      </c>
      <c r="K159" s="2">
        <v>95.0</v>
      </c>
      <c r="L159" s="2">
        <v>190.0</v>
      </c>
      <c r="N159" s="3">
        <f t="shared" si="3"/>
        <v>190</v>
      </c>
      <c r="O159" s="2">
        <v>99.0</v>
      </c>
      <c r="P159" s="2">
        <f t="shared" si="4"/>
        <v>14.45</v>
      </c>
      <c r="Q159" s="2">
        <v>7.0</v>
      </c>
      <c r="R159" s="2">
        <v>10.0</v>
      </c>
      <c r="S159" s="2">
        <v>12.0</v>
      </c>
      <c r="T159" s="2">
        <v>10.0</v>
      </c>
      <c r="U159" s="2">
        <v>14.5</v>
      </c>
      <c r="V159" s="2">
        <v>15.0</v>
      </c>
      <c r="W159" s="2">
        <v>19.5</v>
      </c>
      <c r="X159" s="2">
        <v>29.0</v>
      </c>
      <c r="Y159" s="2">
        <v>29.0</v>
      </c>
      <c r="Z159" s="2">
        <v>30.0</v>
      </c>
      <c r="AA159" s="2">
        <v>30.0</v>
      </c>
      <c r="AB159" s="2">
        <f t="shared" si="5"/>
        <v>10.3</v>
      </c>
      <c r="AC159" s="2">
        <v>50.0</v>
      </c>
      <c r="AD159" s="2">
        <v>348.0</v>
      </c>
      <c r="AE159" s="3">
        <f t="shared" si="6"/>
        <v>9.95</v>
      </c>
      <c r="AF159" s="4">
        <f t="shared" si="7"/>
        <v>83.39444444</v>
      </c>
    </row>
    <row r="160">
      <c r="A160" s="1" t="s">
        <v>494</v>
      </c>
      <c r="B160" s="1" t="s">
        <v>495</v>
      </c>
      <c r="C160" s="2" t="s">
        <v>496</v>
      </c>
      <c r="D160" s="2">
        <f>VLOOKUP(B160, 'EE-Nitin'!$B$2:$F$57,5)</f>
        <v>26</v>
      </c>
      <c r="E160" s="2">
        <v>20.0</v>
      </c>
      <c r="F160" s="2">
        <f t="shared" si="1"/>
        <v>23</v>
      </c>
      <c r="G160" s="2">
        <v>7.0</v>
      </c>
      <c r="H160" s="2">
        <v>0.0</v>
      </c>
      <c r="I160" s="2">
        <v>21.0</v>
      </c>
      <c r="J160" s="3">
        <f t="shared" si="2"/>
        <v>4.083333333</v>
      </c>
      <c r="K160" s="2">
        <v>84.0</v>
      </c>
      <c r="L160" s="2">
        <v>0.0</v>
      </c>
      <c r="N160" s="3">
        <f t="shared" si="3"/>
        <v>0</v>
      </c>
      <c r="O160" s="2">
        <v>97.0</v>
      </c>
      <c r="P160" s="2">
        <f t="shared" si="4"/>
        <v>9.05</v>
      </c>
      <c r="Q160" s="2">
        <v>7.0</v>
      </c>
      <c r="R160" s="2">
        <v>9.0</v>
      </c>
      <c r="S160" s="2">
        <v>7.0</v>
      </c>
      <c r="T160" s="2">
        <v>10.0</v>
      </c>
      <c r="U160" s="2">
        <v>13.0</v>
      </c>
      <c r="V160" s="2">
        <v>12.0</v>
      </c>
      <c r="W160" s="2">
        <v>18.0</v>
      </c>
      <c r="X160" s="2">
        <v>0.0</v>
      </c>
      <c r="Y160" s="2">
        <v>0.0</v>
      </c>
      <c r="Z160" s="2">
        <v>29.0</v>
      </c>
      <c r="AB160" s="2">
        <f t="shared" si="5"/>
        <v>5.25</v>
      </c>
      <c r="AC160" s="2">
        <v>0.0</v>
      </c>
      <c r="AD160" s="2">
        <v>343.0</v>
      </c>
      <c r="AE160" s="3">
        <f t="shared" si="6"/>
        <v>8.575</v>
      </c>
      <c r="AF160" s="4">
        <f t="shared" si="7"/>
        <v>49.95833333</v>
      </c>
    </row>
    <row r="161">
      <c r="A161" s="1" t="s">
        <v>497</v>
      </c>
      <c r="B161" s="1" t="s">
        <v>498</v>
      </c>
      <c r="C161" s="2" t="s">
        <v>499</v>
      </c>
      <c r="D161" s="2">
        <f>VLOOKUP(B161, 'EE-Nitin'!$B$2:$F$57,5)</f>
        <v>46</v>
      </c>
      <c r="E161" s="2">
        <v>22.0</v>
      </c>
      <c r="F161" s="2">
        <f t="shared" si="1"/>
        <v>34</v>
      </c>
      <c r="G161" s="2">
        <v>12.0</v>
      </c>
      <c r="H161" s="2">
        <v>17.0</v>
      </c>
      <c r="I161" s="2">
        <v>30.0</v>
      </c>
      <c r="J161" s="3">
        <f t="shared" si="2"/>
        <v>10.58333333</v>
      </c>
      <c r="K161" s="2">
        <v>85.0</v>
      </c>
      <c r="L161" s="2">
        <v>180.0</v>
      </c>
      <c r="N161" s="3">
        <f t="shared" si="3"/>
        <v>180</v>
      </c>
      <c r="O161" s="2">
        <v>97.0</v>
      </c>
      <c r="P161" s="2">
        <f t="shared" si="4"/>
        <v>13.6</v>
      </c>
      <c r="Q161" s="2">
        <v>6.0</v>
      </c>
      <c r="R161" s="2">
        <v>8.0</v>
      </c>
      <c r="S161" s="2">
        <v>7.0</v>
      </c>
      <c r="T161" s="2">
        <v>9.0</v>
      </c>
      <c r="U161" s="2">
        <v>13.0</v>
      </c>
      <c r="V161" s="2">
        <v>14.0</v>
      </c>
      <c r="W161" s="2">
        <v>18.0</v>
      </c>
      <c r="X161" s="2">
        <v>27.0</v>
      </c>
      <c r="Y161" s="2">
        <v>28.0</v>
      </c>
      <c r="Z161" s="2">
        <v>29.0</v>
      </c>
      <c r="AA161" s="2">
        <v>29.0</v>
      </c>
      <c r="AB161" s="2">
        <f t="shared" si="5"/>
        <v>9.4</v>
      </c>
      <c r="AC161" s="2">
        <v>50.0</v>
      </c>
      <c r="AD161" s="2">
        <v>346.0</v>
      </c>
      <c r="AE161" s="3">
        <f t="shared" si="6"/>
        <v>9.9</v>
      </c>
      <c r="AF161" s="4">
        <f t="shared" si="7"/>
        <v>77.48333333</v>
      </c>
    </row>
    <row r="162">
      <c r="A162" s="1" t="s">
        <v>500</v>
      </c>
      <c r="B162" s="1" t="s">
        <v>501</v>
      </c>
      <c r="C162" s="2" t="s">
        <v>502</v>
      </c>
      <c r="D162" s="2">
        <f>VLOOKUP(B162, 'EE-Nitin'!$B$2:$F$57,5)</f>
        <v>15</v>
      </c>
      <c r="E162" s="2">
        <v>19.0</v>
      </c>
      <c r="F162" s="2">
        <f t="shared" si="1"/>
        <v>17</v>
      </c>
      <c r="G162" s="2">
        <v>2.0</v>
      </c>
      <c r="H162" s="2">
        <v>0.0</v>
      </c>
      <c r="I162" s="2">
        <v>16.0</v>
      </c>
      <c r="J162" s="3">
        <f t="shared" si="2"/>
        <v>2.277777778</v>
      </c>
      <c r="K162" s="2">
        <v>93.0</v>
      </c>
      <c r="L162" s="2">
        <v>180.0</v>
      </c>
      <c r="N162" s="3">
        <f t="shared" si="3"/>
        <v>180</v>
      </c>
      <c r="O162" s="2">
        <v>96.0</v>
      </c>
      <c r="P162" s="2">
        <f t="shared" si="4"/>
        <v>13.95</v>
      </c>
      <c r="Q162" s="2">
        <v>6.0</v>
      </c>
      <c r="R162" s="2">
        <v>4.0</v>
      </c>
      <c r="S162" s="2">
        <v>0.0</v>
      </c>
      <c r="T162" s="2">
        <v>9.0</v>
      </c>
      <c r="U162" s="2">
        <v>13.0</v>
      </c>
      <c r="V162" s="2">
        <v>10.0</v>
      </c>
      <c r="W162" s="2">
        <v>18.0</v>
      </c>
      <c r="X162" s="2">
        <v>26.0</v>
      </c>
      <c r="Y162" s="2">
        <v>29.0</v>
      </c>
      <c r="Z162" s="2">
        <v>28.0</v>
      </c>
      <c r="AA162" s="2">
        <v>28.0</v>
      </c>
      <c r="AB162" s="2">
        <f t="shared" si="5"/>
        <v>8.55</v>
      </c>
      <c r="AC162" s="2">
        <v>45.0</v>
      </c>
      <c r="AD162" s="2">
        <v>341.0</v>
      </c>
      <c r="AE162" s="3">
        <f t="shared" si="6"/>
        <v>9.65</v>
      </c>
      <c r="AF162" s="4">
        <f t="shared" si="7"/>
        <v>51.42777778</v>
      </c>
    </row>
    <row r="163">
      <c r="A163" s="1" t="s">
        <v>503</v>
      </c>
      <c r="B163" s="1" t="s">
        <v>504</v>
      </c>
      <c r="C163" s="2" t="s">
        <v>505</v>
      </c>
      <c r="D163" s="2">
        <f>VLOOKUP(B163, 'EE-Nitin'!$B$2:$F$57,5)</f>
        <v>40</v>
      </c>
      <c r="E163" s="2">
        <v>21.0</v>
      </c>
      <c r="F163" s="2">
        <f t="shared" si="1"/>
        <v>30.5</v>
      </c>
      <c r="G163" s="2">
        <v>7.0</v>
      </c>
      <c r="H163" s="2">
        <v>7.5</v>
      </c>
      <c r="I163" s="2">
        <v>29.0</v>
      </c>
      <c r="J163" s="3">
        <f t="shared" si="2"/>
        <v>6.847222222</v>
      </c>
      <c r="K163" s="2">
        <v>90.0</v>
      </c>
      <c r="L163" s="2">
        <v>185.0</v>
      </c>
      <c r="N163" s="3">
        <f t="shared" si="3"/>
        <v>185</v>
      </c>
      <c r="O163" s="2">
        <v>97.0</v>
      </c>
      <c r="P163" s="2">
        <f t="shared" si="4"/>
        <v>13.975</v>
      </c>
      <c r="Q163" s="2">
        <v>7.0</v>
      </c>
      <c r="R163" s="2">
        <v>7.0</v>
      </c>
      <c r="S163" s="2">
        <v>7.0</v>
      </c>
      <c r="T163" s="2">
        <v>11.0</v>
      </c>
      <c r="U163" s="2">
        <v>14.5</v>
      </c>
      <c r="V163" s="2">
        <v>14.0</v>
      </c>
      <c r="W163" s="2">
        <v>20.0</v>
      </c>
      <c r="X163" s="2">
        <v>28.0</v>
      </c>
      <c r="Y163" s="2">
        <v>27.0</v>
      </c>
      <c r="Z163" s="2">
        <v>29.0</v>
      </c>
      <c r="AA163" s="2">
        <v>29.0</v>
      </c>
      <c r="AB163" s="2">
        <f t="shared" si="5"/>
        <v>9.675</v>
      </c>
      <c r="AC163" s="2">
        <v>40.0</v>
      </c>
      <c r="AD163" s="2">
        <v>342.0</v>
      </c>
      <c r="AE163" s="3">
        <f t="shared" si="6"/>
        <v>9.55</v>
      </c>
      <c r="AF163" s="4">
        <f t="shared" si="7"/>
        <v>70.54722222</v>
      </c>
    </row>
    <row r="164">
      <c r="A164" s="1" t="s">
        <v>506</v>
      </c>
      <c r="B164" s="1" t="s">
        <v>507</v>
      </c>
      <c r="C164" s="2" t="s">
        <v>508</v>
      </c>
      <c r="D164" s="2">
        <f>VLOOKUP(B164, 'EE-Nitin'!$B$2:$F$57,5)</f>
        <v>33</v>
      </c>
      <c r="E164" s="2">
        <v>20.0</v>
      </c>
      <c r="F164" s="2">
        <f t="shared" si="1"/>
        <v>26.5</v>
      </c>
      <c r="G164" s="2">
        <v>5.0</v>
      </c>
      <c r="H164" s="2">
        <v>5.0</v>
      </c>
      <c r="I164" s="2">
        <v>26.0</v>
      </c>
      <c r="J164" s="3">
        <f t="shared" si="2"/>
        <v>5.388888889</v>
      </c>
      <c r="K164" s="2">
        <v>94.0</v>
      </c>
      <c r="L164" s="2">
        <v>180.0</v>
      </c>
      <c r="N164" s="3">
        <f t="shared" si="3"/>
        <v>180</v>
      </c>
      <c r="O164" s="2">
        <v>97.0</v>
      </c>
      <c r="P164" s="2">
        <f t="shared" si="4"/>
        <v>14.05</v>
      </c>
      <c r="Q164" s="2">
        <v>6.0</v>
      </c>
      <c r="R164" s="2">
        <v>5.0</v>
      </c>
      <c r="S164" s="2">
        <v>12.0</v>
      </c>
      <c r="T164" s="2">
        <v>11.0</v>
      </c>
      <c r="U164" s="2">
        <v>14.5</v>
      </c>
      <c r="V164" s="2">
        <v>13.0</v>
      </c>
      <c r="W164" s="2">
        <v>19.5</v>
      </c>
      <c r="X164" s="2">
        <v>27.0</v>
      </c>
      <c r="Y164" s="2">
        <v>26.0</v>
      </c>
      <c r="Z164" s="2">
        <v>29.0</v>
      </c>
      <c r="AA164" s="2">
        <v>28.0</v>
      </c>
      <c r="AB164" s="2">
        <f t="shared" si="5"/>
        <v>9.55</v>
      </c>
      <c r="AC164" s="2">
        <v>50.0</v>
      </c>
      <c r="AD164" s="2">
        <v>346.0</v>
      </c>
      <c r="AE164" s="3">
        <f t="shared" si="6"/>
        <v>9.9</v>
      </c>
      <c r="AF164" s="4">
        <f t="shared" si="7"/>
        <v>65.38888889</v>
      </c>
    </row>
    <row r="165">
      <c r="A165" s="1" t="s">
        <v>509</v>
      </c>
      <c r="B165" s="1" t="s">
        <v>510</v>
      </c>
      <c r="C165" s="2" t="s">
        <v>511</v>
      </c>
      <c r="D165" s="2">
        <f>VLOOKUP(B165, 'EE-Nitin'!$B$2:$F$57,5)</f>
        <v>39</v>
      </c>
      <c r="E165" s="2">
        <v>24.0</v>
      </c>
      <c r="F165" s="2">
        <f t="shared" si="1"/>
        <v>31.5</v>
      </c>
      <c r="G165" s="2">
        <v>10.0</v>
      </c>
      <c r="H165" s="2">
        <v>5.0</v>
      </c>
      <c r="I165" s="2">
        <v>27.0</v>
      </c>
      <c r="J165" s="3">
        <f t="shared" si="2"/>
        <v>6.75</v>
      </c>
      <c r="K165" s="2">
        <v>85.0</v>
      </c>
      <c r="L165" s="2">
        <v>170.0</v>
      </c>
      <c r="M165" s="2">
        <v>190.0</v>
      </c>
      <c r="N165" s="3">
        <f t="shared" si="3"/>
        <v>190</v>
      </c>
      <c r="O165" s="2">
        <v>98.0</v>
      </c>
      <c r="P165" s="2">
        <f t="shared" si="4"/>
        <v>13.9</v>
      </c>
      <c r="Q165" s="2">
        <v>7.0</v>
      </c>
      <c r="R165" s="2">
        <v>3.0</v>
      </c>
      <c r="S165" s="2">
        <v>7.0</v>
      </c>
      <c r="T165" s="2">
        <v>11.0</v>
      </c>
      <c r="U165" s="2">
        <v>13.0</v>
      </c>
      <c r="V165" s="2">
        <v>12.0</v>
      </c>
      <c r="W165" s="2">
        <v>19.0</v>
      </c>
      <c r="X165" s="2">
        <v>25.0</v>
      </c>
      <c r="Y165" s="2">
        <v>26.0</v>
      </c>
      <c r="Z165" s="2">
        <v>29.0</v>
      </c>
      <c r="AA165" s="2">
        <v>29.0</v>
      </c>
      <c r="AB165" s="2">
        <f t="shared" si="5"/>
        <v>9.05</v>
      </c>
      <c r="AC165" s="2">
        <v>48.0</v>
      </c>
      <c r="AD165" s="2">
        <v>343.0</v>
      </c>
      <c r="AE165" s="3">
        <f t="shared" si="6"/>
        <v>9.775</v>
      </c>
      <c r="AF165" s="4">
        <f t="shared" si="7"/>
        <v>70.975</v>
      </c>
    </row>
    <row r="166">
      <c r="A166" s="1" t="s">
        <v>512</v>
      </c>
      <c r="B166" s="1" t="s">
        <v>513</v>
      </c>
      <c r="C166" s="2" t="s">
        <v>514</v>
      </c>
      <c r="D166" s="2">
        <f>VLOOKUP(B166, 'EE-Nitin'!$B$2:$F$57,5)</f>
        <v>36</v>
      </c>
      <c r="E166" s="2">
        <v>21.0</v>
      </c>
      <c r="F166" s="2">
        <f t="shared" si="1"/>
        <v>28.5</v>
      </c>
      <c r="G166" s="2">
        <v>4.0</v>
      </c>
      <c r="H166" s="2">
        <v>7.0</v>
      </c>
      <c r="I166" s="2">
        <v>23.0</v>
      </c>
      <c r="J166" s="3">
        <f t="shared" si="2"/>
        <v>5.305555556</v>
      </c>
      <c r="K166" s="2">
        <v>80.0</v>
      </c>
      <c r="L166" s="2">
        <v>165.0</v>
      </c>
      <c r="M166" s="2">
        <v>170.0</v>
      </c>
      <c r="N166" s="3">
        <f t="shared" si="3"/>
        <v>170</v>
      </c>
      <c r="O166" s="2">
        <v>98.0</v>
      </c>
      <c r="P166" s="2">
        <f t="shared" si="4"/>
        <v>13.15</v>
      </c>
      <c r="Q166" s="2">
        <v>2.0</v>
      </c>
      <c r="R166" s="2">
        <v>4.0</v>
      </c>
      <c r="S166" s="2">
        <v>0.0</v>
      </c>
      <c r="T166" s="2">
        <v>11.0</v>
      </c>
      <c r="U166" s="2">
        <v>14.0</v>
      </c>
      <c r="V166" s="2">
        <v>10.0</v>
      </c>
      <c r="W166" s="2">
        <v>20.0</v>
      </c>
      <c r="X166" s="2">
        <v>25.0</v>
      </c>
      <c r="Y166" s="2">
        <v>27.0</v>
      </c>
      <c r="Z166" s="2">
        <v>28.0</v>
      </c>
      <c r="AA166" s="2">
        <v>28.0</v>
      </c>
      <c r="AB166" s="2">
        <f t="shared" si="5"/>
        <v>8.45</v>
      </c>
      <c r="AC166" s="2">
        <v>50.0</v>
      </c>
      <c r="AD166" s="2">
        <v>345.0</v>
      </c>
      <c r="AE166" s="3">
        <f t="shared" si="6"/>
        <v>9.875</v>
      </c>
      <c r="AF166" s="4">
        <f t="shared" si="7"/>
        <v>65.28055556</v>
      </c>
    </row>
    <row r="167">
      <c r="A167" s="1" t="s">
        <v>515</v>
      </c>
      <c r="B167" s="1" t="s">
        <v>516</v>
      </c>
      <c r="C167" s="2" t="s">
        <v>517</v>
      </c>
      <c r="D167" s="2">
        <f>VLOOKUP(B167, 'EE-Nitin'!$B$2:$F$57,5)</f>
        <v>42</v>
      </c>
      <c r="E167" s="2">
        <v>14.0</v>
      </c>
      <c r="F167" s="2">
        <f t="shared" si="1"/>
        <v>28</v>
      </c>
      <c r="G167" s="2">
        <v>7.0</v>
      </c>
      <c r="H167" s="2">
        <v>4.0</v>
      </c>
      <c r="I167" s="2">
        <v>22.0</v>
      </c>
      <c r="J167" s="3">
        <f t="shared" si="2"/>
        <v>5.194444444</v>
      </c>
      <c r="K167" s="2">
        <v>95.0</v>
      </c>
      <c r="L167" s="2">
        <v>170.0</v>
      </c>
      <c r="M167" s="2">
        <v>143.0</v>
      </c>
      <c r="N167" s="3">
        <f t="shared" si="3"/>
        <v>170</v>
      </c>
      <c r="O167" s="2">
        <v>97.0</v>
      </c>
      <c r="P167" s="2">
        <f t="shared" si="4"/>
        <v>13.85</v>
      </c>
      <c r="Q167" s="2">
        <v>7.0</v>
      </c>
      <c r="R167" s="2">
        <v>6.0</v>
      </c>
      <c r="S167" s="2">
        <v>0.0</v>
      </c>
      <c r="T167" s="2">
        <v>14.0</v>
      </c>
      <c r="U167" s="2">
        <v>14.0</v>
      </c>
      <c r="V167" s="2">
        <v>14.0</v>
      </c>
      <c r="W167" s="2">
        <v>19.0</v>
      </c>
      <c r="X167" s="2">
        <v>29.0</v>
      </c>
      <c r="Y167" s="2">
        <v>27.0</v>
      </c>
      <c r="Z167" s="2">
        <v>27.0</v>
      </c>
      <c r="AA167" s="2">
        <v>28.0</v>
      </c>
      <c r="AB167" s="2">
        <f t="shared" si="5"/>
        <v>9.25</v>
      </c>
      <c r="AC167" s="2">
        <v>10.0</v>
      </c>
      <c r="AD167" s="2">
        <v>346.0</v>
      </c>
      <c r="AE167" s="3">
        <f t="shared" si="6"/>
        <v>8.9</v>
      </c>
      <c r="AF167" s="4">
        <f t="shared" si="7"/>
        <v>65.19444444</v>
      </c>
    </row>
    <row r="168">
      <c r="A168" s="1" t="s">
        <v>518</v>
      </c>
      <c r="B168" s="1" t="s">
        <v>519</v>
      </c>
      <c r="C168" s="2" t="s">
        <v>520</v>
      </c>
      <c r="D168" s="2">
        <f>VLOOKUP(B168, 'EE-Nitin'!$B$2:$F$57,5)</f>
        <v>51</v>
      </c>
      <c r="E168" s="2">
        <v>35.0</v>
      </c>
      <c r="F168" s="2">
        <f t="shared" si="1"/>
        <v>43</v>
      </c>
      <c r="G168" s="2">
        <v>15.0</v>
      </c>
      <c r="H168" s="2">
        <v>18.5</v>
      </c>
      <c r="I168" s="2">
        <v>43.0</v>
      </c>
      <c r="J168" s="3">
        <f t="shared" si="2"/>
        <v>13.15277778</v>
      </c>
      <c r="K168" s="2">
        <v>100.0</v>
      </c>
      <c r="L168" s="2">
        <v>200.0</v>
      </c>
      <c r="N168" s="3">
        <f t="shared" si="3"/>
        <v>200</v>
      </c>
      <c r="O168" s="2">
        <v>100.0</v>
      </c>
      <c r="P168" s="2">
        <f t="shared" si="4"/>
        <v>15</v>
      </c>
      <c r="Q168" s="2">
        <v>7.0</v>
      </c>
      <c r="R168" s="2">
        <v>8.0</v>
      </c>
      <c r="S168" s="2">
        <v>9.0</v>
      </c>
      <c r="T168" s="2">
        <v>14.0</v>
      </c>
      <c r="U168" s="2">
        <v>15.0</v>
      </c>
      <c r="V168" s="2">
        <v>15.0</v>
      </c>
      <c r="W168" s="2">
        <v>20.0</v>
      </c>
      <c r="X168" s="2">
        <v>30.0</v>
      </c>
      <c r="Y168" s="2">
        <v>29.0</v>
      </c>
      <c r="Z168" s="2">
        <v>30.0</v>
      </c>
      <c r="AA168" s="2">
        <v>30.0</v>
      </c>
      <c r="AB168" s="2">
        <f t="shared" si="5"/>
        <v>10.35</v>
      </c>
      <c r="AC168" s="2">
        <v>40.0</v>
      </c>
      <c r="AD168" s="2">
        <v>350.0</v>
      </c>
      <c r="AE168" s="3">
        <f t="shared" si="6"/>
        <v>9.75</v>
      </c>
      <c r="AF168" s="4">
        <f t="shared" si="7"/>
        <v>91.25277778</v>
      </c>
    </row>
    <row r="169">
      <c r="A169" s="1" t="s">
        <v>521</v>
      </c>
      <c r="B169" s="1" t="s">
        <v>522</v>
      </c>
      <c r="C169" s="2" t="s">
        <v>523</v>
      </c>
      <c r="D169" s="2">
        <f>VLOOKUP(B169, 'EE-Nitin'!$B$2:$F$57,5)</f>
        <v>45</v>
      </c>
      <c r="E169" s="2">
        <v>34.0</v>
      </c>
      <c r="F169" s="2">
        <f t="shared" si="1"/>
        <v>39.5</v>
      </c>
      <c r="G169" s="2">
        <v>12.0</v>
      </c>
      <c r="H169" s="2">
        <v>19.0</v>
      </c>
      <c r="I169" s="2">
        <v>38.0</v>
      </c>
      <c r="J169" s="3">
        <f t="shared" si="2"/>
        <v>11.97222222</v>
      </c>
      <c r="K169" s="2">
        <v>92.0</v>
      </c>
      <c r="L169" s="2">
        <v>200.0</v>
      </c>
      <c r="N169" s="3">
        <f t="shared" si="3"/>
        <v>200</v>
      </c>
      <c r="O169" s="2">
        <v>100.0</v>
      </c>
      <c r="P169" s="2">
        <f t="shared" si="4"/>
        <v>14.6</v>
      </c>
      <c r="Q169" s="2">
        <v>7.0</v>
      </c>
      <c r="R169" s="2">
        <v>9.0</v>
      </c>
      <c r="S169" s="2">
        <v>12.0</v>
      </c>
      <c r="T169" s="2">
        <v>12.0</v>
      </c>
      <c r="U169" s="2">
        <v>15.0</v>
      </c>
      <c r="V169" s="2">
        <v>14.5</v>
      </c>
      <c r="W169" s="2">
        <v>20.0</v>
      </c>
      <c r="X169" s="2">
        <v>30.0</v>
      </c>
      <c r="Y169" s="2">
        <v>27.0</v>
      </c>
      <c r="Z169" s="2">
        <v>30.0</v>
      </c>
      <c r="AA169" s="2">
        <v>30.0</v>
      </c>
      <c r="AB169" s="2">
        <f t="shared" si="5"/>
        <v>10.325</v>
      </c>
      <c r="AC169" s="2">
        <v>50.0</v>
      </c>
      <c r="AD169" s="2">
        <v>345.0</v>
      </c>
      <c r="AE169" s="3">
        <f t="shared" si="6"/>
        <v>9.875</v>
      </c>
      <c r="AF169" s="4">
        <f t="shared" si="7"/>
        <v>86.27222222</v>
      </c>
    </row>
    <row r="170">
      <c r="A170" s="1" t="s">
        <v>524</v>
      </c>
      <c r="B170" s="1" t="s">
        <v>525</v>
      </c>
      <c r="C170" s="2" t="s">
        <v>526</v>
      </c>
      <c r="D170" s="2">
        <f>VLOOKUP(B170, 'EE-Nitin'!$B$2:$F$57,5)</f>
        <v>41</v>
      </c>
      <c r="E170" s="2">
        <v>22.0</v>
      </c>
      <c r="F170" s="2">
        <f t="shared" si="1"/>
        <v>31.5</v>
      </c>
      <c r="G170" s="2">
        <v>7.0</v>
      </c>
      <c r="H170" s="2">
        <v>12.5</v>
      </c>
      <c r="I170" s="2">
        <v>34.0</v>
      </c>
      <c r="J170" s="3">
        <f t="shared" si="2"/>
        <v>8.652777778</v>
      </c>
      <c r="K170" s="2">
        <v>92.0</v>
      </c>
      <c r="L170" s="2">
        <v>195.0</v>
      </c>
      <c r="N170" s="3">
        <f t="shared" si="3"/>
        <v>195</v>
      </c>
      <c r="O170" s="2">
        <v>98.0</v>
      </c>
      <c r="P170" s="2">
        <f t="shared" si="4"/>
        <v>14.375</v>
      </c>
      <c r="Q170" s="2">
        <v>6.0</v>
      </c>
      <c r="R170" s="2">
        <v>2.0</v>
      </c>
      <c r="S170" s="2">
        <v>10.0</v>
      </c>
      <c r="T170" s="2">
        <v>12.0</v>
      </c>
      <c r="U170" s="2">
        <v>14.0</v>
      </c>
      <c r="V170" s="2">
        <v>10.0</v>
      </c>
      <c r="W170" s="2">
        <v>19.5</v>
      </c>
      <c r="X170" s="2">
        <v>20.0</v>
      </c>
      <c r="Y170" s="2">
        <v>28.0</v>
      </c>
      <c r="Z170" s="2">
        <v>28.0</v>
      </c>
      <c r="AA170" s="2">
        <v>29.0</v>
      </c>
      <c r="AB170" s="2">
        <f t="shared" si="5"/>
        <v>8.925</v>
      </c>
      <c r="AC170" s="2">
        <v>45.0</v>
      </c>
      <c r="AD170" s="2">
        <v>342.0</v>
      </c>
      <c r="AE170" s="3">
        <f t="shared" si="6"/>
        <v>9.675</v>
      </c>
      <c r="AF170" s="4">
        <f t="shared" si="7"/>
        <v>73.12777778</v>
      </c>
    </row>
    <row r="171">
      <c r="A171" s="1" t="s">
        <v>527</v>
      </c>
      <c r="B171" s="1" t="s">
        <v>528</v>
      </c>
      <c r="C171" s="2" t="s">
        <v>529</v>
      </c>
      <c r="D171" s="2">
        <f>VLOOKUP(B171, 'EE-Nitin'!$B$2:$F$57,5)</f>
        <v>31</v>
      </c>
      <c r="E171" s="2">
        <v>20.0</v>
      </c>
      <c r="F171" s="2">
        <f t="shared" si="1"/>
        <v>25.5</v>
      </c>
      <c r="G171" s="2">
        <v>11.0</v>
      </c>
      <c r="H171" s="2">
        <v>13.5</v>
      </c>
      <c r="I171" s="2">
        <v>31.0</v>
      </c>
      <c r="J171" s="3">
        <f t="shared" si="2"/>
        <v>9.569444444</v>
      </c>
      <c r="K171" s="2">
        <v>97.0</v>
      </c>
      <c r="L171" s="2">
        <v>192.0</v>
      </c>
      <c r="N171" s="3">
        <f t="shared" si="3"/>
        <v>192</v>
      </c>
      <c r="O171" s="2">
        <v>98.0</v>
      </c>
      <c r="P171" s="2">
        <f t="shared" si="4"/>
        <v>14.55</v>
      </c>
      <c r="Q171" s="2">
        <v>7.0</v>
      </c>
      <c r="R171" s="2">
        <v>3.0</v>
      </c>
      <c r="S171" s="2">
        <v>10.0</v>
      </c>
      <c r="T171" s="2">
        <v>12.0</v>
      </c>
      <c r="U171" s="2">
        <v>15.0</v>
      </c>
      <c r="V171" s="2">
        <v>14.5</v>
      </c>
      <c r="W171" s="2">
        <v>20.0</v>
      </c>
      <c r="X171" s="2">
        <v>29.0</v>
      </c>
      <c r="Y171" s="2">
        <v>27.0</v>
      </c>
      <c r="Z171" s="2">
        <v>30.0</v>
      </c>
      <c r="AA171" s="2">
        <v>30.0</v>
      </c>
      <c r="AB171" s="2">
        <f t="shared" si="5"/>
        <v>9.875</v>
      </c>
      <c r="AC171" s="2">
        <v>50.0</v>
      </c>
      <c r="AD171" s="2">
        <v>350.0</v>
      </c>
      <c r="AE171" s="3">
        <f t="shared" si="6"/>
        <v>10</v>
      </c>
      <c r="AF171" s="4">
        <f t="shared" si="7"/>
        <v>69.49444444</v>
      </c>
    </row>
    <row r="172">
      <c r="A172" s="1" t="s">
        <v>530</v>
      </c>
      <c r="B172" s="1" t="s">
        <v>531</v>
      </c>
      <c r="C172" s="2" t="s">
        <v>532</v>
      </c>
      <c r="D172" s="2">
        <f>VLOOKUP(B172, 'EE-Nitin'!$B$2:$F$57,5)</f>
        <v>42</v>
      </c>
      <c r="E172" s="2">
        <v>21.0</v>
      </c>
      <c r="F172" s="2">
        <f t="shared" si="1"/>
        <v>31.5</v>
      </c>
      <c r="G172" s="2">
        <v>12.0</v>
      </c>
      <c r="H172" s="2">
        <v>15.5</v>
      </c>
      <c r="I172" s="2">
        <v>26.0</v>
      </c>
      <c r="J172" s="3">
        <f t="shared" si="2"/>
        <v>9.763888889</v>
      </c>
      <c r="K172" s="2">
        <v>93.0</v>
      </c>
      <c r="L172" s="2">
        <v>187.0</v>
      </c>
      <c r="N172" s="3">
        <f t="shared" si="3"/>
        <v>187</v>
      </c>
      <c r="O172" s="2">
        <v>99.0</v>
      </c>
      <c r="P172" s="2">
        <f t="shared" si="4"/>
        <v>14.275</v>
      </c>
      <c r="Q172" s="2">
        <v>6.0</v>
      </c>
      <c r="R172" s="2">
        <v>6.0</v>
      </c>
      <c r="S172" s="2">
        <v>5.0</v>
      </c>
      <c r="T172" s="2">
        <v>13.0</v>
      </c>
      <c r="U172" s="2">
        <v>0.0</v>
      </c>
      <c r="V172" s="2">
        <v>14.5</v>
      </c>
      <c r="W172" s="2">
        <v>20.0</v>
      </c>
      <c r="X172" s="2">
        <v>20.0</v>
      </c>
      <c r="Y172" s="2">
        <v>21.0</v>
      </c>
      <c r="Z172" s="2">
        <v>29.0</v>
      </c>
      <c r="AB172" s="2">
        <f t="shared" si="5"/>
        <v>6.725</v>
      </c>
      <c r="AC172" s="2">
        <v>45.0</v>
      </c>
      <c r="AD172" s="2">
        <v>343.0</v>
      </c>
      <c r="AE172" s="3">
        <f t="shared" si="6"/>
        <v>9.7</v>
      </c>
      <c r="AF172" s="4">
        <f t="shared" si="7"/>
        <v>71.96388889</v>
      </c>
    </row>
    <row r="173">
      <c r="A173" s="1" t="s">
        <v>533</v>
      </c>
      <c r="B173" s="1" t="s">
        <v>534</v>
      </c>
      <c r="C173" s="2" t="s">
        <v>535</v>
      </c>
      <c r="D173" s="2">
        <f>VLOOKUP(B173, 'EE-Nitin'!$B$2:$F$57,5)</f>
        <v>33</v>
      </c>
      <c r="E173" s="2">
        <v>16.0</v>
      </c>
      <c r="F173" s="2">
        <f t="shared" si="1"/>
        <v>24.5</v>
      </c>
      <c r="G173" s="2">
        <v>4.0</v>
      </c>
      <c r="H173" s="2">
        <v>6.5</v>
      </c>
      <c r="I173" s="2">
        <v>31.0</v>
      </c>
      <c r="J173" s="3">
        <f t="shared" si="2"/>
        <v>6.069444444</v>
      </c>
      <c r="K173" s="2">
        <v>93.0</v>
      </c>
      <c r="L173" s="2">
        <v>165.0</v>
      </c>
      <c r="M173" s="2">
        <v>190.0</v>
      </c>
      <c r="N173" s="3">
        <f t="shared" si="3"/>
        <v>190</v>
      </c>
      <c r="O173" s="2">
        <v>97.0</v>
      </c>
      <c r="P173" s="2">
        <f t="shared" si="4"/>
        <v>14.25</v>
      </c>
      <c r="Q173" s="2">
        <v>6.0</v>
      </c>
      <c r="R173" s="2">
        <v>6.0</v>
      </c>
      <c r="S173" s="2">
        <v>7.0</v>
      </c>
      <c r="T173" s="2">
        <v>14.0</v>
      </c>
      <c r="U173" s="2">
        <v>15.0</v>
      </c>
      <c r="V173" s="2">
        <v>15.0</v>
      </c>
      <c r="W173" s="2">
        <v>19.5</v>
      </c>
      <c r="X173" s="2">
        <v>28.0</v>
      </c>
      <c r="Y173" s="2">
        <v>29.0</v>
      </c>
      <c r="Z173" s="2">
        <v>29.0</v>
      </c>
      <c r="AA173" s="2">
        <v>30.0</v>
      </c>
      <c r="AB173" s="2">
        <f t="shared" si="5"/>
        <v>9.925</v>
      </c>
      <c r="AC173" s="2">
        <v>50.0</v>
      </c>
      <c r="AD173" s="2">
        <v>345.0</v>
      </c>
      <c r="AE173" s="3">
        <f t="shared" si="6"/>
        <v>9.875</v>
      </c>
      <c r="AF173" s="4">
        <f t="shared" si="7"/>
        <v>64.61944444</v>
      </c>
    </row>
    <row r="174">
      <c r="A174" s="1" t="s">
        <v>536</v>
      </c>
      <c r="B174" s="1" t="s">
        <v>537</v>
      </c>
      <c r="C174" s="2" t="s">
        <v>538</v>
      </c>
      <c r="D174" s="2">
        <f>VLOOKUP(B174, 'EE-Nitin'!$B$2:$F$57,5)</f>
        <v>46</v>
      </c>
      <c r="E174" s="2">
        <v>29.0</v>
      </c>
      <c r="F174" s="2">
        <f t="shared" si="1"/>
        <v>37.5</v>
      </c>
      <c r="G174" s="2">
        <v>14.0</v>
      </c>
      <c r="H174" s="2">
        <v>17.5</v>
      </c>
      <c r="I174" s="2">
        <v>40.0</v>
      </c>
      <c r="J174" s="3">
        <f t="shared" si="2"/>
        <v>12.31944444</v>
      </c>
      <c r="K174" s="2">
        <v>97.0</v>
      </c>
      <c r="L174" s="2">
        <v>192.0</v>
      </c>
      <c r="N174" s="3">
        <f t="shared" si="3"/>
        <v>192</v>
      </c>
      <c r="O174" s="2">
        <v>100.0</v>
      </c>
      <c r="P174" s="2">
        <f t="shared" si="4"/>
        <v>14.65</v>
      </c>
      <c r="Q174" s="2">
        <v>7.0</v>
      </c>
      <c r="R174" s="2">
        <v>8.0</v>
      </c>
      <c r="S174" s="2">
        <v>12.0</v>
      </c>
      <c r="T174" s="2">
        <v>12.0</v>
      </c>
      <c r="U174" s="2">
        <v>14.5</v>
      </c>
      <c r="V174" s="2">
        <v>14.0</v>
      </c>
      <c r="W174" s="2">
        <v>19.5</v>
      </c>
      <c r="X174" s="2">
        <v>30.0</v>
      </c>
      <c r="Y174" s="2">
        <v>27.0</v>
      </c>
      <c r="Z174" s="2">
        <v>30.0</v>
      </c>
      <c r="AA174" s="2">
        <v>30.0</v>
      </c>
      <c r="AB174" s="2">
        <f t="shared" si="5"/>
        <v>10.2</v>
      </c>
      <c r="AC174" s="2">
        <v>45.0</v>
      </c>
      <c r="AD174" s="2">
        <v>350.0</v>
      </c>
      <c r="AE174" s="3">
        <f t="shared" si="6"/>
        <v>9.875</v>
      </c>
      <c r="AF174" s="4">
        <f t="shared" si="7"/>
        <v>84.54444444</v>
      </c>
    </row>
    <row r="175">
      <c r="A175" s="1" t="s">
        <v>539</v>
      </c>
      <c r="B175" s="1" t="s">
        <v>540</v>
      </c>
      <c r="C175" s="2" t="s">
        <v>541</v>
      </c>
      <c r="D175" s="2">
        <f>VLOOKUP(B175, 'EE-Nitin'!$B$2:$F$57,5)</f>
        <v>37</v>
      </c>
      <c r="E175" s="2">
        <v>29.0</v>
      </c>
      <c r="F175" s="2">
        <f t="shared" si="1"/>
        <v>33</v>
      </c>
      <c r="G175" s="2">
        <v>8.0</v>
      </c>
      <c r="H175" s="2">
        <v>17.5</v>
      </c>
      <c r="I175" s="2">
        <v>38.0</v>
      </c>
      <c r="J175" s="3">
        <f t="shared" si="2"/>
        <v>10.59722222</v>
      </c>
      <c r="K175" s="2">
        <v>94.0</v>
      </c>
      <c r="L175" s="2">
        <v>192.0</v>
      </c>
      <c r="N175" s="3">
        <f t="shared" si="3"/>
        <v>192</v>
      </c>
      <c r="O175" s="2">
        <v>100.0</v>
      </c>
      <c r="P175" s="2">
        <f t="shared" si="4"/>
        <v>14.5</v>
      </c>
      <c r="Q175" s="2">
        <v>7.0</v>
      </c>
      <c r="R175" s="2">
        <v>6.0</v>
      </c>
      <c r="S175" s="2">
        <v>11.0</v>
      </c>
      <c r="T175" s="2">
        <v>9.0</v>
      </c>
      <c r="U175" s="2">
        <v>15.0</v>
      </c>
      <c r="V175" s="2">
        <v>15.0</v>
      </c>
      <c r="W175" s="2">
        <v>19.5</v>
      </c>
      <c r="X175" s="2">
        <v>29.0</v>
      </c>
      <c r="Y175" s="2">
        <v>25.0</v>
      </c>
      <c r="Z175" s="2">
        <v>30.0</v>
      </c>
      <c r="AA175" s="2">
        <v>30.0</v>
      </c>
      <c r="AB175" s="2">
        <f t="shared" si="5"/>
        <v>9.825</v>
      </c>
      <c r="AC175" s="2">
        <v>30.0</v>
      </c>
      <c r="AD175" s="2">
        <v>348.0</v>
      </c>
      <c r="AE175" s="3">
        <f t="shared" si="6"/>
        <v>9.45</v>
      </c>
      <c r="AF175" s="4">
        <f t="shared" si="7"/>
        <v>77.37222222</v>
      </c>
    </row>
    <row r="176">
      <c r="A176" s="1" t="s">
        <v>542</v>
      </c>
      <c r="B176" s="1" t="s">
        <v>543</v>
      </c>
      <c r="C176" s="2" t="s">
        <v>544</v>
      </c>
      <c r="D176" s="2">
        <f>VLOOKUP(B176, 'EE-Nitin'!$B$2:$F$57,5)</f>
        <v>43</v>
      </c>
      <c r="E176" s="2">
        <v>15.0</v>
      </c>
      <c r="F176" s="2">
        <f t="shared" si="1"/>
        <v>29</v>
      </c>
      <c r="G176" s="2">
        <v>7.0</v>
      </c>
      <c r="H176" s="2">
        <v>11.0</v>
      </c>
      <c r="I176" s="2">
        <v>30.0</v>
      </c>
      <c r="J176" s="3">
        <f t="shared" si="2"/>
        <v>7.833333333</v>
      </c>
      <c r="K176" s="2">
        <v>100.0</v>
      </c>
      <c r="L176" s="2">
        <v>195.0</v>
      </c>
      <c r="N176" s="3">
        <f t="shared" si="3"/>
        <v>195</v>
      </c>
      <c r="O176" s="2">
        <v>100.0</v>
      </c>
      <c r="P176" s="2">
        <f t="shared" si="4"/>
        <v>14.875</v>
      </c>
      <c r="Q176" s="2">
        <v>5.0</v>
      </c>
      <c r="R176" s="2">
        <v>5.0</v>
      </c>
      <c r="S176" s="2">
        <v>5.0</v>
      </c>
      <c r="T176" s="2">
        <v>15.0</v>
      </c>
      <c r="U176" s="2">
        <v>14.5</v>
      </c>
      <c r="V176" s="2">
        <v>14.5</v>
      </c>
      <c r="W176" s="2">
        <v>20.0</v>
      </c>
      <c r="X176" s="2">
        <v>28.0</v>
      </c>
      <c r="Y176" s="2">
        <v>29.0</v>
      </c>
      <c r="Z176" s="2">
        <v>30.0</v>
      </c>
      <c r="AA176" s="2">
        <v>30.0</v>
      </c>
      <c r="AB176" s="2">
        <f t="shared" si="5"/>
        <v>9.8</v>
      </c>
      <c r="AC176" s="2">
        <v>45.0</v>
      </c>
      <c r="AD176" s="2">
        <v>350.0</v>
      </c>
      <c r="AE176" s="3">
        <f t="shared" si="6"/>
        <v>9.875</v>
      </c>
      <c r="AF176" s="4">
        <f t="shared" si="7"/>
        <v>71.38333333</v>
      </c>
    </row>
    <row r="177">
      <c r="A177" s="1" t="s">
        <v>545</v>
      </c>
      <c r="B177" s="1" t="s">
        <v>546</v>
      </c>
      <c r="C177" s="2" t="s">
        <v>547</v>
      </c>
      <c r="D177" s="2">
        <f>VLOOKUP(B177, 'EE-Nitin'!$B$2:$F$57,5)</f>
        <v>42</v>
      </c>
      <c r="E177" s="2">
        <v>20.0</v>
      </c>
      <c r="F177" s="2">
        <f t="shared" si="1"/>
        <v>31</v>
      </c>
      <c r="G177" s="2">
        <v>11.0</v>
      </c>
      <c r="H177" s="2">
        <v>14.5</v>
      </c>
      <c r="I177" s="2">
        <v>37.0</v>
      </c>
      <c r="J177" s="3">
        <f t="shared" si="2"/>
        <v>10.48611111</v>
      </c>
      <c r="K177" s="2">
        <v>98.0</v>
      </c>
      <c r="L177" s="2">
        <v>200.0</v>
      </c>
      <c r="N177" s="3">
        <f t="shared" si="3"/>
        <v>200</v>
      </c>
      <c r="O177" s="2">
        <v>98.0</v>
      </c>
      <c r="P177" s="2">
        <f t="shared" si="4"/>
        <v>14.8</v>
      </c>
      <c r="Q177" s="2">
        <v>7.0</v>
      </c>
      <c r="R177" s="2">
        <v>5.0</v>
      </c>
      <c r="S177" s="2">
        <v>11.0</v>
      </c>
      <c r="T177" s="2">
        <v>10.0</v>
      </c>
      <c r="U177" s="2">
        <v>14.5</v>
      </c>
      <c r="V177" s="2">
        <v>14.5</v>
      </c>
      <c r="W177" s="2">
        <v>20.0</v>
      </c>
      <c r="X177" s="2">
        <v>30.0</v>
      </c>
      <c r="Y177" s="2">
        <v>29.0</v>
      </c>
      <c r="Z177" s="2">
        <v>30.0</v>
      </c>
      <c r="AA177" s="2">
        <v>30.0</v>
      </c>
      <c r="AB177" s="2">
        <f t="shared" si="5"/>
        <v>10.05</v>
      </c>
      <c r="AC177" s="2">
        <v>50.0</v>
      </c>
      <c r="AD177" s="2">
        <v>346.0</v>
      </c>
      <c r="AE177" s="3">
        <f t="shared" si="6"/>
        <v>9.9</v>
      </c>
      <c r="AF177" s="4">
        <f t="shared" si="7"/>
        <v>76.23611111</v>
      </c>
    </row>
    <row r="178">
      <c r="A178" s="1" t="s">
        <v>548</v>
      </c>
      <c r="B178" s="1" t="s">
        <v>549</v>
      </c>
      <c r="C178" s="2" t="s">
        <v>550</v>
      </c>
      <c r="D178" s="2">
        <f>VLOOKUP(B178, 'EE-Nitin'!$B$2:$F$57,5)</f>
        <v>25</v>
      </c>
      <c r="E178" s="2">
        <v>15.0</v>
      </c>
      <c r="F178" s="2">
        <f t="shared" si="1"/>
        <v>20</v>
      </c>
      <c r="G178" s="2">
        <v>4.0</v>
      </c>
      <c r="H178" s="2">
        <v>8.0</v>
      </c>
      <c r="I178" s="2">
        <v>26.0</v>
      </c>
      <c r="J178" s="3">
        <f t="shared" si="2"/>
        <v>5.888888889</v>
      </c>
      <c r="K178" s="2">
        <v>93.0</v>
      </c>
      <c r="L178" s="2">
        <v>170.0</v>
      </c>
      <c r="M178" s="2">
        <v>165.0</v>
      </c>
      <c r="N178" s="3">
        <f t="shared" si="3"/>
        <v>170</v>
      </c>
      <c r="O178" s="2">
        <v>98.0</v>
      </c>
      <c r="P178" s="2">
        <f t="shared" si="4"/>
        <v>13.8</v>
      </c>
      <c r="Q178" s="2">
        <v>7.0</v>
      </c>
      <c r="R178" s="2">
        <v>2.0</v>
      </c>
      <c r="S178" s="2">
        <v>7.0</v>
      </c>
      <c r="T178" s="2">
        <v>12.0</v>
      </c>
      <c r="U178" s="2">
        <v>14.5</v>
      </c>
      <c r="V178" s="2">
        <v>11.5</v>
      </c>
      <c r="W178" s="2">
        <v>19.5</v>
      </c>
      <c r="X178" s="2">
        <v>28.0</v>
      </c>
      <c r="Y178" s="2">
        <v>0.0</v>
      </c>
      <c r="Z178" s="2">
        <v>28.0</v>
      </c>
      <c r="AA178" s="2">
        <v>28.0</v>
      </c>
      <c r="AB178" s="2">
        <f t="shared" si="5"/>
        <v>7.875</v>
      </c>
      <c r="AC178" s="2">
        <v>45.0</v>
      </c>
      <c r="AD178" s="2">
        <v>345.0</v>
      </c>
      <c r="AE178" s="3">
        <f t="shared" si="6"/>
        <v>9.75</v>
      </c>
      <c r="AF178" s="4">
        <f t="shared" si="7"/>
        <v>57.31388889</v>
      </c>
    </row>
    <row r="179">
      <c r="A179" s="1" t="s">
        <v>551</v>
      </c>
      <c r="B179" s="1" t="s">
        <v>552</v>
      </c>
      <c r="C179" s="2" t="s">
        <v>553</v>
      </c>
      <c r="D179" s="2">
        <f>VLOOKUP(B179, 'EE-Nitin'!$B$2:$F$57,5)</f>
        <v>36</v>
      </c>
      <c r="E179" s="2">
        <v>29.0</v>
      </c>
      <c r="F179" s="2">
        <f t="shared" si="1"/>
        <v>32.5</v>
      </c>
      <c r="G179" s="2">
        <v>8.0</v>
      </c>
      <c r="H179" s="2">
        <v>16.5</v>
      </c>
      <c r="I179" s="2">
        <v>31.0</v>
      </c>
      <c r="J179" s="3">
        <f t="shared" si="2"/>
        <v>9.569444444</v>
      </c>
      <c r="K179" s="2">
        <v>92.0</v>
      </c>
      <c r="L179" s="2">
        <v>187.0</v>
      </c>
      <c r="N179" s="3">
        <f t="shared" si="3"/>
        <v>187</v>
      </c>
      <c r="O179" s="2">
        <v>100.0</v>
      </c>
      <c r="P179" s="2">
        <f t="shared" si="4"/>
        <v>14.275</v>
      </c>
      <c r="Q179" s="2">
        <v>3.0</v>
      </c>
      <c r="R179" s="2">
        <v>7.0</v>
      </c>
      <c r="S179" s="2">
        <v>9.0</v>
      </c>
      <c r="T179" s="2">
        <v>6.0</v>
      </c>
      <c r="U179" s="2">
        <v>15.0</v>
      </c>
      <c r="V179" s="2">
        <v>13.5</v>
      </c>
      <c r="W179" s="2">
        <v>19.5</v>
      </c>
      <c r="X179" s="2">
        <v>28.0</v>
      </c>
      <c r="Y179" s="2">
        <v>28.0</v>
      </c>
      <c r="Z179" s="2">
        <v>30.0</v>
      </c>
      <c r="AA179" s="2">
        <v>30.0</v>
      </c>
      <c r="AB179" s="2">
        <f t="shared" si="5"/>
        <v>9.45</v>
      </c>
      <c r="AC179" s="2">
        <v>45.0</v>
      </c>
      <c r="AD179" s="2">
        <v>347.0</v>
      </c>
      <c r="AE179" s="3">
        <f t="shared" si="6"/>
        <v>9.8</v>
      </c>
      <c r="AF179" s="4">
        <f t="shared" si="7"/>
        <v>75.59444444</v>
      </c>
    </row>
    <row r="180">
      <c r="A180" s="1" t="s">
        <v>554</v>
      </c>
      <c r="B180" s="1" t="s">
        <v>555</v>
      </c>
      <c r="C180" s="2" t="s">
        <v>556</v>
      </c>
      <c r="D180" s="2">
        <f>VLOOKUP(B180, 'EE-Nitin'!$B$2:$F$57,5)</f>
        <v>43</v>
      </c>
      <c r="E180" s="2">
        <v>32.0</v>
      </c>
      <c r="F180" s="2">
        <f t="shared" si="1"/>
        <v>37.5</v>
      </c>
      <c r="G180" s="2">
        <v>11.0</v>
      </c>
      <c r="H180" s="2">
        <v>12.5</v>
      </c>
      <c r="I180" s="2">
        <v>37.0</v>
      </c>
      <c r="J180" s="3">
        <f t="shared" si="2"/>
        <v>9.986111111</v>
      </c>
      <c r="K180" s="2">
        <v>98.0</v>
      </c>
      <c r="L180" s="2">
        <v>187.0</v>
      </c>
      <c r="N180" s="3">
        <f t="shared" si="3"/>
        <v>187</v>
      </c>
      <c r="O180" s="2">
        <v>99.0</v>
      </c>
      <c r="P180" s="2">
        <f t="shared" si="4"/>
        <v>14.525</v>
      </c>
      <c r="Q180" s="2">
        <v>6.0</v>
      </c>
      <c r="R180" s="2">
        <v>4.0</v>
      </c>
      <c r="S180" s="2">
        <v>13.0</v>
      </c>
      <c r="T180" s="2">
        <v>11.0</v>
      </c>
      <c r="U180" s="2">
        <v>14.5</v>
      </c>
      <c r="V180" s="2">
        <v>15.0</v>
      </c>
      <c r="W180" s="2">
        <v>20.0</v>
      </c>
      <c r="X180" s="2">
        <v>29.0</v>
      </c>
      <c r="Y180" s="2">
        <v>28.0</v>
      </c>
      <c r="Z180" s="2">
        <v>30.0</v>
      </c>
      <c r="AA180" s="2">
        <v>30.0</v>
      </c>
      <c r="AB180" s="2">
        <f t="shared" si="5"/>
        <v>10.025</v>
      </c>
      <c r="AC180" s="2">
        <v>30.0</v>
      </c>
      <c r="AD180" s="2">
        <v>348.0</v>
      </c>
      <c r="AE180" s="3">
        <f t="shared" si="6"/>
        <v>9.45</v>
      </c>
      <c r="AF180" s="4">
        <f t="shared" si="7"/>
        <v>81.48611111</v>
      </c>
    </row>
    <row r="181">
      <c r="A181" s="1" t="s">
        <v>557</v>
      </c>
      <c r="B181" s="1" t="s">
        <v>558</v>
      </c>
      <c r="C181" s="2" t="s">
        <v>559</v>
      </c>
      <c r="D181" s="2">
        <f>VLOOKUP(B181, 'EE-Nitin'!$B$2:$F$57,5)</f>
        <v>33</v>
      </c>
      <c r="E181" s="2">
        <v>9.0</v>
      </c>
      <c r="F181" s="2">
        <f t="shared" si="1"/>
        <v>21</v>
      </c>
      <c r="G181" s="2">
        <v>2.0</v>
      </c>
      <c r="H181" s="2">
        <v>9.0</v>
      </c>
      <c r="I181" s="2">
        <v>15.0</v>
      </c>
      <c r="J181" s="3">
        <f t="shared" si="2"/>
        <v>4.416666667</v>
      </c>
      <c r="K181" s="2">
        <v>90.0</v>
      </c>
      <c r="L181" s="2">
        <v>95.0</v>
      </c>
      <c r="N181" s="3">
        <f t="shared" si="3"/>
        <v>95</v>
      </c>
      <c r="O181" s="2">
        <v>97.0</v>
      </c>
      <c r="P181" s="2">
        <f t="shared" si="4"/>
        <v>11.725</v>
      </c>
      <c r="Q181" s="2">
        <v>5.0</v>
      </c>
      <c r="R181" s="2">
        <v>0.0</v>
      </c>
      <c r="S181" s="2">
        <v>7.0</v>
      </c>
      <c r="T181" s="2">
        <v>6.0</v>
      </c>
      <c r="U181" s="2">
        <v>0.0</v>
      </c>
      <c r="V181" s="2">
        <v>13.5</v>
      </c>
      <c r="W181" s="2">
        <v>19.5</v>
      </c>
      <c r="X181" s="2">
        <v>0.0</v>
      </c>
      <c r="Y181" s="2">
        <v>28.0</v>
      </c>
      <c r="Z181" s="2">
        <v>29.0</v>
      </c>
      <c r="AA181" s="2">
        <v>27.0</v>
      </c>
      <c r="AB181" s="2">
        <f t="shared" si="5"/>
        <v>6.75</v>
      </c>
      <c r="AC181" s="2">
        <v>45.0</v>
      </c>
      <c r="AD181" s="2">
        <v>342.0</v>
      </c>
      <c r="AE181" s="3">
        <f t="shared" si="6"/>
        <v>9.675</v>
      </c>
      <c r="AF181" s="4">
        <f t="shared" si="7"/>
        <v>53.56666667</v>
      </c>
    </row>
    <row r="182">
      <c r="A182" s="1" t="s">
        <v>560</v>
      </c>
      <c r="B182" s="1" t="s">
        <v>561</v>
      </c>
      <c r="C182" s="2" t="s">
        <v>562</v>
      </c>
      <c r="D182" s="2">
        <f>VLOOKUP(B182, 'EE-Nitin'!$B$2:$F$57,5)</f>
        <v>47</v>
      </c>
      <c r="E182" s="2">
        <v>32.0</v>
      </c>
      <c r="F182" s="2">
        <f t="shared" si="1"/>
        <v>39.5</v>
      </c>
      <c r="G182" s="2">
        <v>10.0</v>
      </c>
      <c r="H182" s="2">
        <v>12.0</v>
      </c>
      <c r="I182" s="2">
        <v>41.0</v>
      </c>
      <c r="J182" s="3">
        <f t="shared" si="2"/>
        <v>10.05555556</v>
      </c>
      <c r="K182" s="2">
        <v>98.0</v>
      </c>
      <c r="L182" s="2">
        <v>192.0</v>
      </c>
      <c r="N182" s="3">
        <f t="shared" si="3"/>
        <v>192</v>
      </c>
      <c r="O182" s="2">
        <v>99.0</v>
      </c>
      <c r="P182" s="2">
        <f t="shared" si="4"/>
        <v>14.65</v>
      </c>
      <c r="Q182" s="2">
        <v>7.0</v>
      </c>
      <c r="R182" s="2">
        <v>8.0</v>
      </c>
      <c r="S182" s="2">
        <v>10.0</v>
      </c>
      <c r="T182" s="2">
        <v>14.0</v>
      </c>
      <c r="U182" s="2">
        <v>13.0</v>
      </c>
      <c r="V182" s="2">
        <v>14.0</v>
      </c>
      <c r="W182" s="2">
        <v>19.5</v>
      </c>
      <c r="X182" s="2">
        <v>29.0</v>
      </c>
      <c r="Y182" s="2">
        <v>28.0</v>
      </c>
      <c r="Z182" s="2">
        <v>29.0</v>
      </c>
      <c r="AA182" s="2">
        <v>30.0</v>
      </c>
      <c r="AB182" s="2">
        <f t="shared" si="5"/>
        <v>10.075</v>
      </c>
      <c r="AC182" s="2">
        <v>45.0</v>
      </c>
      <c r="AD182" s="2">
        <v>344.0</v>
      </c>
      <c r="AE182" s="3">
        <f t="shared" si="6"/>
        <v>9.725</v>
      </c>
      <c r="AF182" s="4">
        <f t="shared" si="7"/>
        <v>84.00555556</v>
      </c>
    </row>
    <row r="183">
      <c r="A183" s="1" t="s">
        <v>563</v>
      </c>
      <c r="B183" s="12" t="s">
        <v>564</v>
      </c>
      <c r="C183" s="2" t="s">
        <v>565</v>
      </c>
      <c r="D183" s="2">
        <f>VLOOKUP(B183, 'EE-Nitin'!$B$2:$F$57,5)</f>
        <v>55</v>
      </c>
      <c r="E183" s="2">
        <v>25.0</v>
      </c>
      <c r="F183" s="2">
        <f t="shared" si="1"/>
        <v>40</v>
      </c>
      <c r="G183" s="2">
        <v>12.0</v>
      </c>
      <c r="H183" s="2">
        <v>9.0</v>
      </c>
      <c r="I183" s="2">
        <v>38.0</v>
      </c>
      <c r="J183" s="3">
        <f t="shared" si="2"/>
        <v>9.472222222</v>
      </c>
      <c r="K183" s="2">
        <v>97.0</v>
      </c>
      <c r="L183" s="2">
        <v>170.0</v>
      </c>
      <c r="M183" s="2">
        <v>195.0</v>
      </c>
      <c r="N183" s="3">
        <f t="shared" si="3"/>
        <v>195</v>
      </c>
      <c r="O183" s="2">
        <v>98.0</v>
      </c>
      <c r="P183" s="2">
        <f t="shared" si="4"/>
        <v>14.625</v>
      </c>
      <c r="Q183" s="2">
        <v>7.0</v>
      </c>
      <c r="R183" s="2">
        <v>6.0</v>
      </c>
      <c r="S183" s="2">
        <v>9.0</v>
      </c>
      <c r="T183" s="2">
        <v>9.0</v>
      </c>
      <c r="U183" s="2">
        <v>14.5</v>
      </c>
      <c r="V183" s="2">
        <v>14.0</v>
      </c>
      <c r="W183" s="2">
        <v>20.0</v>
      </c>
      <c r="X183" s="2">
        <v>30.0</v>
      </c>
      <c r="Y183" s="2">
        <v>25.0</v>
      </c>
      <c r="Z183" s="2">
        <v>29.0</v>
      </c>
      <c r="AA183" s="2">
        <v>30.0</v>
      </c>
      <c r="AB183" s="2">
        <f t="shared" si="5"/>
        <v>9.675</v>
      </c>
      <c r="AC183" s="2">
        <v>50.0</v>
      </c>
      <c r="AD183" s="2">
        <v>345.0</v>
      </c>
      <c r="AE183" s="3">
        <f t="shared" si="6"/>
        <v>9.875</v>
      </c>
      <c r="AF183" s="4">
        <f t="shared" si="7"/>
        <v>83.64722222</v>
      </c>
    </row>
    <row r="184">
      <c r="A184" s="1" t="s">
        <v>566</v>
      </c>
      <c r="B184" s="1" t="s">
        <v>567</v>
      </c>
      <c r="C184" s="2" t="s">
        <v>568</v>
      </c>
      <c r="D184" s="2">
        <f>VLOOKUP(B184, 'EE-Nitin'!$B$2:$F$57,5)</f>
        <v>51</v>
      </c>
      <c r="E184" s="2">
        <v>28.0</v>
      </c>
      <c r="F184" s="2">
        <f t="shared" si="1"/>
        <v>39.5</v>
      </c>
      <c r="G184" s="2">
        <v>13.0</v>
      </c>
      <c r="H184" s="2">
        <v>17.0</v>
      </c>
      <c r="I184" s="2">
        <v>35.0</v>
      </c>
      <c r="J184" s="3">
        <f t="shared" si="2"/>
        <v>11.38888889</v>
      </c>
      <c r="K184" s="2">
        <v>98.0</v>
      </c>
      <c r="L184" s="2">
        <v>200.0</v>
      </c>
      <c r="N184" s="3">
        <f t="shared" si="3"/>
        <v>200</v>
      </c>
      <c r="O184" s="2">
        <v>100.0</v>
      </c>
      <c r="P184" s="2">
        <f t="shared" si="4"/>
        <v>14.9</v>
      </c>
      <c r="Q184" s="2">
        <v>7.0</v>
      </c>
      <c r="R184" s="2">
        <v>4.0</v>
      </c>
      <c r="S184" s="2">
        <v>11.0</v>
      </c>
      <c r="T184" s="2">
        <v>12.0</v>
      </c>
      <c r="U184" s="2">
        <v>14.5</v>
      </c>
      <c r="V184" s="2">
        <v>15.0</v>
      </c>
      <c r="W184" s="2">
        <v>20.0</v>
      </c>
      <c r="X184" s="2">
        <v>30.0</v>
      </c>
      <c r="Y184" s="2">
        <v>29.0</v>
      </c>
      <c r="Z184" s="2">
        <v>30.0</v>
      </c>
      <c r="AA184" s="2">
        <v>30.0</v>
      </c>
      <c r="AB184" s="2">
        <f t="shared" si="5"/>
        <v>10.125</v>
      </c>
      <c r="AC184" s="2">
        <v>50.0</v>
      </c>
      <c r="AD184" s="2">
        <v>347.0</v>
      </c>
      <c r="AE184" s="3">
        <f t="shared" si="6"/>
        <v>9.925</v>
      </c>
      <c r="AF184" s="4">
        <f t="shared" si="7"/>
        <v>85.83888889</v>
      </c>
    </row>
    <row r="185">
      <c r="A185" s="1" t="s">
        <v>569</v>
      </c>
      <c r="B185" s="1" t="s">
        <v>570</v>
      </c>
      <c r="C185" s="2" t="s">
        <v>571</v>
      </c>
      <c r="D185" s="2">
        <f>VLOOKUP(B185, 'EE-Nitin'!$B$2:$F$57,5)</f>
        <v>44</v>
      </c>
      <c r="E185" s="2">
        <v>22.0</v>
      </c>
      <c r="F185" s="2">
        <f t="shared" si="1"/>
        <v>33</v>
      </c>
      <c r="G185" s="2">
        <v>6.0</v>
      </c>
      <c r="H185" s="2">
        <v>13.0</v>
      </c>
      <c r="I185" s="2">
        <v>40.0</v>
      </c>
      <c r="J185" s="3">
        <f t="shared" si="2"/>
        <v>9.194444444</v>
      </c>
      <c r="K185" s="2">
        <v>96.0</v>
      </c>
      <c r="L185" s="2">
        <v>195.0</v>
      </c>
      <c r="N185" s="3">
        <f t="shared" si="3"/>
        <v>195</v>
      </c>
      <c r="O185" s="2">
        <v>98.0</v>
      </c>
      <c r="P185" s="2">
        <f t="shared" si="4"/>
        <v>14.575</v>
      </c>
      <c r="Q185" s="2">
        <v>7.0</v>
      </c>
      <c r="R185" s="2">
        <v>5.0</v>
      </c>
      <c r="S185" s="2">
        <v>7.0</v>
      </c>
      <c r="T185" s="2">
        <v>9.0</v>
      </c>
      <c r="U185" s="2">
        <v>15.0</v>
      </c>
      <c r="V185" s="2">
        <v>14.0</v>
      </c>
      <c r="W185" s="2">
        <v>19.5</v>
      </c>
      <c r="X185" s="2">
        <v>30.0</v>
      </c>
      <c r="Y185" s="2">
        <v>25.0</v>
      </c>
      <c r="Z185" s="2">
        <v>30.0</v>
      </c>
      <c r="AA185" s="2">
        <v>30.0</v>
      </c>
      <c r="AB185" s="2">
        <f t="shared" si="5"/>
        <v>9.575</v>
      </c>
      <c r="AC185" s="2">
        <v>50.0</v>
      </c>
      <c r="AD185" s="2">
        <v>348.0</v>
      </c>
      <c r="AE185" s="3">
        <f t="shared" si="6"/>
        <v>9.95</v>
      </c>
      <c r="AF185" s="4">
        <f t="shared" si="7"/>
        <v>76.29444444</v>
      </c>
    </row>
    <row r="186">
      <c r="A186" s="1" t="s">
        <v>572</v>
      </c>
      <c r="B186" s="1" t="s">
        <v>573</v>
      </c>
      <c r="C186" s="2" t="s">
        <v>574</v>
      </c>
      <c r="D186" s="2">
        <f>VLOOKUP(B186, 'EE-Nitin'!$B$2:$F$57,5)</f>
        <v>43</v>
      </c>
      <c r="E186" s="2">
        <v>9.0</v>
      </c>
      <c r="F186" s="2">
        <f t="shared" si="1"/>
        <v>26</v>
      </c>
      <c r="G186" s="2">
        <v>3.0</v>
      </c>
      <c r="H186" s="2">
        <v>8.5</v>
      </c>
      <c r="I186" s="2">
        <v>31.0</v>
      </c>
      <c r="J186" s="3">
        <f t="shared" si="2"/>
        <v>6.319444444</v>
      </c>
      <c r="K186" s="2">
        <v>80.0</v>
      </c>
      <c r="L186" s="2">
        <v>180.0</v>
      </c>
      <c r="N186" s="3">
        <f t="shared" si="3"/>
        <v>180</v>
      </c>
      <c r="O186" s="2">
        <v>97.0</v>
      </c>
      <c r="P186" s="2">
        <f t="shared" si="4"/>
        <v>13.35</v>
      </c>
      <c r="Q186" s="2">
        <v>6.0</v>
      </c>
      <c r="R186" s="2">
        <v>4.0</v>
      </c>
      <c r="S186" s="2">
        <v>0.0</v>
      </c>
      <c r="T186" s="2">
        <v>10.0</v>
      </c>
      <c r="U186" s="2">
        <v>15.0</v>
      </c>
      <c r="V186" s="2">
        <v>11.5</v>
      </c>
      <c r="W186" s="2">
        <v>20.0</v>
      </c>
      <c r="X186" s="2">
        <v>28.0</v>
      </c>
      <c r="Y186" s="2">
        <v>23.0</v>
      </c>
      <c r="Z186" s="2">
        <v>28.0</v>
      </c>
      <c r="AA186" s="2">
        <v>28.0</v>
      </c>
      <c r="AB186" s="2">
        <f t="shared" si="5"/>
        <v>8.675</v>
      </c>
      <c r="AC186" s="2">
        <v>50.0</v>
      </c>
      <c r="AD186" s="2">
        <v>346.0</v>
      </c>
      <c r="AE186" s="3">
        <f t="shared" si="6"/>
        <v>9.9</v>
      </c>
      <c r="AF186" s="4">
        <f t="shared" si="7"/>
        <v>64.24444444</v>
      </c>
    </row>
    <row r="187">
      <c r="A187" s="1" t="s">
        <v>575</v>
      </c>
      <c r="B187" s="1" t="s">
        <v>576</v>
      </c>
      <c r="C187" s="2" t="s">
        <v>577</v>
      </c>
      <c r="D187" s="2">
        <f>VLOOKUP(B187, 'EE-Nitin'!$B$2:$F$57,5)</f>
        <v>36</v>
      </c>
      <c r="E187" s="2">
        <v>24.0</v>
      </c>
      <c r="F187" s="2">
        <f t="shared" si="1"/>
        <v>30</v>
      </c>
      <c r="G187" s="2">
        <v>3.0</v>
      </c>
      <c r="H187" s="2">
        <v>9.0</v>
      </c>
      <c r="I187" s="2">
        <v>30.0</v>
      </c>
      <c r="J187" s="3">
        <f t="shared" si="2"/>
        <v>6.333333333</v>
      </c>
      <c r="K187" s="2">
        <v>83.0</v>
      </c>
      <c r="L187" s="2">
        <v>170.0</v>
      </c>
      <c r="N187" s="3">
        <f t="shared" si="3"/>
        <v>170</v>
      </c>
      <c r="O187" s="2">
        <v>97.0</v>
      </c>
      <c r="P187" s="2">
        <f t="shared" si="4"/>
        <v>13.25</v>
      </c>
      <c r="Q187" s="2">
        <v>7.0</v>
      </c>
      <c r="R187" s="2">
        <v>5.0</v>
      </c>
      <c r="S187" s="2">
        <v>9.0</v>
      </c>
      <c r="T187" s="2">
        <v>14.0</v>
      </c>
      <c r="U187" s="2">
        <v>0.0</v>
      </c>
      <c r="V187" s="2">
        <v>14.0</v>
      </c>
      <c r="W187" s="2">
        <v>0.0</v>
      </c>
      <c r="X187" s="2">
        <v>0.0</v>
      </c>
      <c r="Y187" s="2">
        <v>0.0</v>
      </c>
      <c r="Z187" s="2">
        <v>28.0</v>
      </c>
      <c r="AA187" s="2">
        <v>28.0</v>
      </c>
      <c r="AB187" s="2">
        <f t="shared" si="5"/>
        <v>5.25</v>
      </c>
      <c r="AC187" s="2">
        <v>45.0</v>
      </c>
      <c r="AD187" s="2">
        <v>345.0</v>
      </c>
      <c r="AE187" s="3">
        <f t="shared" si="6"/>
        <v>9.75</v>
      </c>
      <c r="AF187" s="4">
        <f t="shared" si="7"/>
        <v>64.58333333</v>
      </c>
    </row>
    <row r="188">
      <c r="A188" s="1" t="s">
        <v>578</v>
      </c>
      <c r="B188" s="1" t="s">
        <v>579</v>
      </c>
      <c r="C188" s="2" t="s">
        <v>580</v>
      </c>
      <c r="D188" s="2">
        <f>VLOOKUP(B188, 'EE-Nitin'!$B$2:$F$57,5)</f>
        <v>12</v>
      </c>
      <c r="E188" s="2">
        <v>4.0</v>
      </c>
      <c r="F188" s="2">
        <f t="shared" si="1"/>
        <v>8</v>
      </c>
      <c r="G188" s="2">
        <v>1.5</v>
      </c>
      <c r="H188" s="2">
        <v>3.0</v>
      </c>
      <c r="I188" s="2">
        <v>0.0</v>
      </c>
      <c r="J188" s="3">
        <f t="shared" si="2"/>
        <v>1.125</v>
      </c>
      <c r="K188" s="2">
        <v>0.0</v>
      </c>
      <c r="L188" s="2">
        <v>95.0</v>
      </c>
      <c r="N188" s="3">
        <f t="shared" si="3"/>
        <v>95</v>
      </c>
      <c r="O188" s="2">
        <v>80.0</v>
      </c>
      <c r="P188" s="2">
        <f t="shared" si="4"/>
        <v>6.375</v>
      </c>
      <c r="Q188" s="2">
        <v>6.0</v>
      </c>
      <c r="R188" s="2">
        <v>5.0</v>
      </c>
      <c r="S188" s="2">
        <v>0.0</v>
      </c>
      <c r="T188" s="2">
        <v>8.0</v>
      </c>
      <c r="U188" s="2">
        <v>5.0</v>
      </c>
      <c r="V188" s="2">
        <v>13.0</v>
      </c>
      <c r="W188" s="2">
        <v>18.0</v>
      </c>
      <c r="X188" s="2">
        <v>28.0</v>
      </c>
      <c r="Y188" s="2">
        <v>0.0</v>
      </c>
      <c r="AA188" s="2">
        <v>29.0</v>
      </c>
      <c r="AB188" s="2">
        <f t="shared" si="5"/>
        <v>5.6</v>
      </c>
      <c r="AC188" s="2">
        <v>50.0</v>
      </c>
      <c r="AD188" s="2">
        <v>280.0</v>
      </c>
      <c r="AE188" s="3">
        <f t="shared" si="6"/>
        <v>8.25</v>
      </c>
      <c r="AF188" s="4">
        <f t="shared" si="7"/>
        <v>29.35</v>
      </c>
    </row>
    <row r="189">
      <c r="A189" s="1" t="s">
        <v>581</v>
      </c>
      <c r="B189" s="1" t="s">
        <v>582</v>
      </c>
      <c r="C189" s="2" t="s">
        <v>583</v>
      </c>
      <c r="D189" s="2">
        <f>VLOOKUP(B189, 'EE-Nitin'!$B$2:$F$57,5)</f>
        <v>51</v>
      </c>
      <c r="E189" s="2">
        <v>30.0</v>
      </c>
      <c r="F189" s="2">
        <f t="shared" si="1"/>
        <v>40.5</v>
      </c>
      <c r="G189" s="2">
        <v>13.0</v>
      </c>
      <c r="H189" s="2">
        <v>12.0</v>
      </c>
      <c r="I189" s="2">
        <v>29.0</v>
      </c>
      <c r="J189" s="3">
        <f t="shared" si="2"/>
        <v>9.472222222</v>
      </c>
      <c r="K189" s="2">
        <v>95.0</v>
      </c>
      <c r="L189" s="2">
        <v>195.0</v>
      </c>
      <c r="N189" s="3">
        <f t="shared" si="3"/>
        <v>195</v>
      </c>
      <c r="O189" s="2">
        <v>100.0</v>
      </c>
      <c r="P189" s="2">
        <f t="shared" si="4"/>
        <v>14.625</v>
      </c>
      <c r="Q189" s="2">
        <v>7.0</v>
      </c>
      <c r="R189" s="2">
        <v>6.0</v>
      </c>
      <c r="S189" s="2">
        <v>5.0</v>
      </c>
      <c r="T189" s="2">
        <v>9.0</v>
      </c>
      <c r="U189" s="2">
        <v>15.0</v>
      </c>
      <c r="V189" s="2">
        <v>15.0</v>
      </c>
      <c r="W189" s="2">
        <v>20.0</v>
      </c>
      <c r="X189" s="2">
        <v>28.0</v>
      </c>
      <c r="Y189" s="2">
        <v>30.0</v>
      </c>
      <c r="Z189" s="2">
        <v>29.0</v>
      </c>
      <c r="AA189" s="2">
        <v>29.0</v>
      </c>
      <c r="AB189" s="2">
        <f t="shared" si="5"/>
        <v>9.65</v>
      </c>
      <c r="AC189" s="2">
        <v>30.0</v>
      </c>
      <c r="AD189" s="2">
        <v>350.0</v>
      </c>
      <c r="AE189" s="3">
        <f t="shared" si="6"/>
        <v>9.5</v>
      </c>
      <c r="AF189" s="4">
        <f t="shared" si="7"/>
        <v>83.74722222</v>
      </c>
    </row>
    <row r="190">
      <c r="A190" s="1" t="s">
        <v>584</v>
      </c>
      <c r="B190" s="1" t="s">
        <v>585</v>
      </c>
      <c r="C190" s="2" t="s">
        <v>586</v>
      </c>
      <c r="D190" s="2">
        <f>VLOOKUP(B190, 'EE-Nitin'!$B$2:$F$57,5)</f>
        <v>48</v>
      </c>
      <c r="E190" s="2">
        <v>29.0</v>
      </c>
      <c r="F190" s="2">
        <f t="shared" si="1"/>
        <v>38.5</v>
      </c>
      <c r="G190" s="2">
        <v>6.0</v>
      </c>
      <c r="H190" s="2">
        <v>13.5</v>
      </c>
      <c r="I190" s="2">
        <v>35.0</v>
      </c>
      <c r="J190" s="3">
        <f t="shared" si="2"/>
        <v>8.763888889</v>
      </c>
      <c r="K190" s="2">
        <v>100.0</v>
      </c>
      <c r="L190" s="2">
        <v>145.0</v>
      </c>
      <c r="N190" s="3">
        <f t="shared" si="3"/>
        <v>145</v>
      </c>
      <c r="O190" s="2">
        <v>95.0</v>
      </c>
      <c r="P190" s="2">
        <f t="shared" si="4"/>
        <v>13.375</v>
      </c>
      <c r="Q190" s="2">
        <v>7.0</v>
      </c>
      <c r="R190" s="2">
        <v>8.0</v>
      </c>
      <c r="S190" s="2">
        <v>15.0</v>
      </c>
      <c r="T190" s="2">
        <v>8.0</v>
      </c>
      <c r="U190" s="2">
        <v>13.0</v>
      </c>
      <c r="V190" s="2">
        <v>15.0</v>
      </c>
      <c r="W190" s="2">
        <v>18.0</v>
      </c>
      <c r="X190" s="2">
        <v>30.0</v>
      </c>
      <c r="Y190" s="2">
        <v>30.0</v>
      </c>
      <c r="Z190" s="2">
        <v>29.0</v>
      </c>
      <c r="AA190" s="2">
        <v>29.0</v>
      </c>
      <c r="AB190" s="2">
        <f t="shared" si="5"/>
        <v>10.1</v>
      </c>
      <c r="AC190" s="2">
        <v>50.0</v>
      </c>
      <c r="AD190" s="2">
        <v>350.0</v>
      </c>
      <c r="AE190" s="3">
        <f t="shared" si="6"/>
        <v>10</v>
      </c>
      <c r="AF190" s="4">
        <f t="shared" si="7"/>
        <v>80.73888889</v>
      </c>
    </row>
    <row r="191">
      <c r="A191" s="1" t="s">
        <v>590</v>
      </c>
      <c r="B191" s="1" t="s">
        <v>591</v>
      </c>
      <c r="C191" s="2" t="s">
        <v>592</v>
      </c>
      <c r="D191" s="2">
        <f>VLOOKUP(B191, 'EE-Nitin'!$B$2:$F$57,5)</f>
        <v>44</v>
      </c>
      <c r="E191" s="2">
        <v>27.0</v>
      </c>
      <c r="F191" s="2">
        <f t="shared" si="1"/>
        <v>35.5</v>
      </c>
      <c r="G191" s="2">
        <v>6.0</v>
      </c>
      <c r="H191" s="2">
        <v>12.5</v>
      </c>
      <c r="I191" s="2">
        <v>32.0</v>
      </c>
      <c r="J191" s="3">
        <f t="shared" si="2"/>
        <v>8.180555556</v>
      </c>
      <c r="K191" s="2">
        <v>95.0</v>
      </c>
      <c r="L191" s="2">
        <v>200.0</v>
      </c>
      <c r="N191" s="3">
        <f t="shared" si="3"/>
        <v>200</v>
      </c>
      <c r="O191" s="2">
        <v>100.0</v>
      </c>
      <c r="P191" s="2">
        <f t="shared" si="4"/>
        <v>14.75</v>
      </c>
      <c r="Q191" s="2">
        <v>7.0</v>
      </c>
      <c r="R191" s="2">
        <v>7.0</v>
      </c>
      <c r="S191" s="2">
        <v>13.0</v>
      </c>
      <c r="T191" s="2">
        <v>13.0</v>
      </c>
      <c r="U191" s="2">
        <v>15.0</v>
      </c>
      <c r="V191" s="2">
        <v>15.0</v>
      </c>
      <c r="W191" s="2">
        <v>10.0</v>
      </c>
      <c r="X191" s="2">
        <v>29.0</v>
      </c>
      <c r="Y191" s="2">
        <v>29.0</v>
      </c>
      <c r="Z191" s="2">
        <v>29.0</v>
      </c>
      <c r="AA191" s="2">
        <v>27.0</v>
      </c>
      <c r="AB191" s="2">
        <f t="shared" si="5"/>
        <v>9.7</v>
      </c>
      <c r="AC191" s="2">
        <v>40.0</v>
      </c>
      <c r="AD191" s="2">
        <v>320.0</v>
      </c>
      <c r="AE191" s="3">
        <f t="shared" si="6"/>
        <v>9</v>
      </c>
      <c r="AF191" s="4">
        <f t="shared" si="7"/>
        <v>77.13055556</v>
      </c>
    </row>
    <row r="192">
      <c r="A192" s="1" t="s">
        <v>593</v>
      </c>
      <c r="B192" s="1" t="s">
        <v>594</v>
      </c>
      <c r="C192" s="2" t="s">
        <v>595</v>
      </c>
      <c r="D192" s="2">
        <f>VLOOKUP(B192, 'EE-Nitin'!$B$2:$F$57,5)</f>
        <v>35</v>
      </c>
      <c r="E192" s="2">
        <v>23.0</v>
      </c>
      <c r="F192" s="2">
        <f t="shared" si="1"/>
        <v>29</v>
      </c>
      <c r="G192" s="2">
        <v>5.0</v>
      </c>
      <c r="H192" s="2">
        <v>13.0</v>
      </c>
      <c r="I192" s="2">
        <v>33.0</v>
      </c>
      <c r="J192" s="3">
        <f t="shared" si="2"/>
        <v>8.166666667</v>
      </c>
      <c r="K192" s="2">
        <v>85.0</v>
      </c>
      <c r="L192" s="2">
        <v>170.0</v>
      </c>
      <c r="N192" s="3">
        <f t="shared" si="3"/>
        <v>170</v>
      </c>
      <c r="O192" s="2">
        <v>80.0</v>
      </c>
      <c r="P192" s="2">
        <f t="shared" si="4"/>
        <v>12.5</v>
      </c>
      <c r="Q192" s="2">
        <v>6.0</v>
      </c>
      <c r="R192" s="2">
        <v>3.0</v>
      </c>
      <c r="S192" s="2">
        <v>15.0</v>
      </c>
      <c r="T192" s="2">
        <v>12.0</v>
      </c>
      <c r="U192" s="2">
        <v>13.0</v>
      </c>
      <c r="V192" s="2">
        <v>14.0</v>
      </c>
      <c r="W192" s="2">
        <v>20.0</v>
      </c>
      <c r="X192" s="2">
        <v>26.0</v>
      </c>
      <c r="Y192" s="2">
        <v>26.0</v>
      </c>
      <c r="Z192" s="2">
        <v>28.0</v>
      </c>
      <c r="AA192" s="2">
        <v>28.0</v>
      </c>
      <c r="AB192" s="2">
        <f t="shared" si="5"/>
        <v>9.55</v>
      </c>
      <c r="AC192" s="2">
        <v>40.0</v>
      </c>
      <c r="AD192" s="2">
        <v>350.0</v>
      </c>
      <c r="AE192" s="3">
        <f t="shared" si="6"/>
        <v>9.75</v>
      </c>
      <c r="AF192" s="4">
        <f t="shared" si="7"/>
        <v>68.96666667</v>
      </c>
    </row>
    <row r="193">
      <c r="A193" s="1" t="s">
        <v>596</v>
      </c>
      <c r="B193" s="1" t="s">
        <v>597</v>
      </c>
      <c r="C193" s="2" t="s">
        <v>598</v>
      </c>
      <c r="D193" s="2">
        <f>VLOOKUP(B193, 'EE-Nitin'!$B$2:$F$57,5)</f>
        <v>44</v>
      </c>
      <c r="E193" s="2">
        <v>33.0</v>
      </c>
      <c r="F193" s="2">
        <f t="shared" si="1"/>
        <v>38.5</v>
      </c>
      <c r="G193" s="2">
        <v>8.0</v>
      </c>
      <c r="H193" s="2">
        <v>14.0</v>
      </c>
      <c r="I193" s="2">
        <v>32.0</v>
      </c>
      <c r="J193" s="3">
        <f t="shared" si="2"/>
        <v>9.055555556</v>
      </c>
      <c r="K193" s="2">
        <v>75.0</v>
      </c>
      <c r="L193" s="2">
        <v>185.0</v>
      </c>
      <c r="N193" s="3">
        <f t="shared" si="3"/>
        <v>185</v>
      </c>
      <c r="O193" s="2">
        <v>91.0</v>
      </c>
      <c r="P193" s="2">
        <f t="shared" si="4"/>
        <v>12.925</v>
      </c>
      <c r="Q193" s="2">
        <v>7.0</v>
      </c>
      <c r="R193" s="2">
        <v>8.0</v>
      </c>
      <c r="S193" s="2">
        <v>12.0</v>
      </c>
      <c r="T193" s="2">
        <v>1.0</v>
      </c>
      <c r="U193" s="2">
        <v>15.0</v>
      </c>
      <c r="V193" s="2">
        <v>15.0</v>
      </c>
      <c r="W193" s="2">
        <v>18.0</v>
      </c>
      <c r="X193" s="2">
        <v>30.0</v>
      </c>
      <c r="Y193" s="2">
        <v>30.0</v>
      </c>
      <c r="Z193" s="2">
        <v>29.0</v>
      </c>
      <c r="AA193" s="2">
        <v>28.0</v>
      </c>
      <c r="AB193" s="2">
        <f t="shared" si="5"/>
        <v>9.65</v>
      </c>
      <c r="AC193" s="2">
        <v>40.0</v>
      </c>
      <c r="AD193" s="2">
        <v>330.0</v>
      </c>
      <c r="AE193" s="3">
        <f t="shared" si="6"/>
        <v>9.25</v>
      </c>
      <c r="AF193" s="4">
        <f t="shared" si="7"/>
        <v>79.38055556</v>
      </c>
    </row>
    <row r="194">
      <c r="A194" s="1" t="s">
        <v>599</v>
      </c>
      <c r="B194" s="1" t="s">
        <v>600</v>
      </c>
      <c r="C194" s="2" t="s">
        <v>601</v>
      </c>
      <c r="D194" s="2">
        <f>VLOOKUP(B194, 'EE-Nitin'!$B$2:$F$57,5)</f>
        <v>45</v>
      </c>
      <c r="E194" s="2">
        <v>35.0</v>
      </c>
      <c r="F194" s="2">
        <f t="shared" si="1"/>
        <v>40</v>
      </c>
      <c r="G194" s="2">
        <v>14.0</v>
      </c>
      <c r="H194" s="2">
        <v>7.0</v>
      </c>
      <c r="I194" s="2">
        <v>36.0</v>
      </c>
      <c r="J194" s="3">
        <f t="shared" si="2"/>
        <v>9.25</v>
      </c>
      <c r="K194" s="2">
        <v>95.0</v>
      </c>
      <c r="L194" s="2">
        <v>200.0</v>
      </c>
      <c r="N194" s="3">
        <f t="shared" si="3"/>
        <v>200</v>
      </c>
      <c r="O194" s="2">
        <v>100.0</v>
      </c>
      <c r="P194" s="2">
        <f t="shared" si="4"/>
        <v>14.75</v>
      </c>
      <c r="Q194" s="2">
        <v>7.0</v>
      </c>
      <c r="R194" s="2">
        <v>8.0</v>
      </c>
      <c r="S194" s="2">
        <v>12.0</v>
      </c>
      <c r="T194" s="2">
        <v>10.0</v>
      </c>
      <c r="U194" s="2">
        <v>15.0</v>
      </c>
      <c r="V194" s="2">
        <v>14.0</v>
      </c>
      <c r="W194" s="2">
        <v>20.0</v>
      </c>
      <c r="X194" s="2">
        <v>30.0</v>
      </c>
      <c r="Y194" s="2">
        <v>29.0</v>
      </c>
      <c r="Z194" s="2">
        <v>29.0</v>
      </c>
      <c r="AA194" s="2">
        <v>30.0</v>
      </c>
      <c r="AB194" s="2">
        <f t="shared" si="5"/>
        <v>10.2</v>
      </c>
      <c r="AC194" s="2">
        <v>50.0</v>
      </c>
      <c r="AD194" s="2">
        <v>340.0</v>
      </c>
      <c r="AE194" s="3">
        <f t="shared" si="6"/>
        <v>9.75</v>
      </c>
      <c r="AF194" s="4">
        <f t="shared" si="7"/>
        <v>83.95</v>
      </c>
    </row>
    <row r="195">
      <c r="A195" s="1" t="s">
        <v>602</v>
      </c>
      <c r="B195" s="1" t="s">
        <v>603</v>
      </c>
      <c r="C195" s="2" t="s">
        <v>604</v>
      </c>
      <c r="D195" s="2">
        <f>VLOOKUP(B195, 'EE-Nitin'!$B$2:$F$57,5)</f>
        <v>35</v>
      </c>
      <c r="E195" s="2">
        <v>21.0</v>
      </c>
      <c r="F195" s="2">
        <f t="shared" si="1"/>
        <v>28</v>
      </c>
      <c r="G195" s="2">
        <v>6.0</v>
      </c>
      <c r="H195" s="2">
        <v>10.0</v>
      </c>
      <c r="I195" s="2">
        <v>32.0</v>
      </c>
      <c r="J195" s="3">
        <f t="shared" si="2"/>
        <v>7.555555556</v>
      </c>
      <c r="K195" s="2">
        <v>100.0</v>
      </c>
      <c r="L195" s="2">
        <v>180.0</v>
      </c>
      <c r="N195" s="3">
        <f t="shared" si="3"/>
        <v>180</v>
      </c>
      <c r="O195" s="2">
        <v>80.0</v>
      </c>
      <c r="P195" s="2">
        <f t="shared" si="4"/>
        <v>13.5</v>
      </c>
      <c r="Q195" s="2">
        <v>5.0</v>
      </c>
      <c r="R195" s="2">
        <v>8.0</v>
      </c>
      <c r="S195" s="2">
        <v>9.0</v>
      </c>
      <c r="T195" s="2">
        <v>8.0</v>
      </c>
      <c r="U195" s="2">
        <v>12.0</v>
      </c>
      <c r="V195" s="2">
        <v>15.0</v>
      </c>
      <c r="W195" s="2">
        <v>20.0</v>
      </c>
      <c r="X195" s="2">
        <v>30.0</v>
      </c>
      <c r="Y195" s="2">
        <v>30.0</v>
      </c>
      <c r="Z195" s="2">
        <v>28.0</v>
      </c>
      <c r="AA195" s="2">
        <v>29.0</v>
      </c>
      <c r="AB195" s="2">
        <f t="shared" si="5"/>
        <v>9.7</v>
      </c>
      <c r="AC195" s="2">
        <v>10.0</v>
      </c>
      <c r="AD195" s="2">
        <v>310.0</v>
      </c>
      <c r="AE195" s="3">
        <f t="shared" si="6"/>
        <v>8</v>
      </c>
      <c r="AF195" s="4">
        <f t="shared" si="7"/>
        <v>66.75555556</v>
      </c>
    </row>
    <row r="196">
      <c r="A196" s="1" t="s">
        <v>605</v>
      </c>
      <c r="B196" s="1" t="s">
        <v>606</v>
      </c>
      <c r="C196" s="2" t="s">
        <v>607</v>
      </c>
      <c r="D196" s="2">
        <f>VLOOKUP(B196, 'EE-Nitin'!$B$2:$F$57,5)</f>
        <v>29</v>
      </c>
      <c r="E196" s="2">
        <v>25.0</v>
      </c>
      <c r="F196" s="2">
        <f t="shared" si="1"/>
        <v>27</v>
      </c>
      <c r="G196" s="2">
        <v>9.0</v>
      </c>
      <c r="H196" s="2">
        <v>11.0</v>
      </c>
      <c r="I196" s="2">
        <v>15.0</v>
      </c>
      <c r="J196" s="3">
        <f t="shared" si="2"/>
        <v>6.666666667</v>
      </c>
      <c r="K196" s="2">
        <v>80.0</v>
      </c>
      <c r="L196" s="2">
        <v>200.0</v>
      </c>
      <c r="N196" s="3">
        <f t="shared" si="3"/>
        <v>200</v>
      </c>
      <c r="O196" s="2">
        <v>100.0</v>
      </c>
      <c r="P196" s="2">
        <f t="shared" si="4"/>
        <v>14</v>
      </c>
      <c r="Q196" s="2">
        <v>7.0</v>
      </c>
      <c r="R196" s="2">
        <v>2.0</v>
      </c>
      <c r="S196" s="2">
        <v>15.0</v>
      </c>
      <c r="T196" s="2">
        <v>3.0</v>
      </c>
      <c r="U196" s="2">
        <v>8.0</v>
      </c>
      <c r="V196" s="2">
        <v>13.0</v>
      </c>
      <c r="W196" s="2">
        <v>16.0</v>
      </c>
      <c r="X196" s="2">
        <v>26.0</v>
      </c>
      <c r="Y196" s="2">
        <v>27.0</v>
      </c>
      <c r="Z196" s="2">
        <v>29.0</v>
      </c>
      <c r="AA196" s="2">
        <v>27.0</v>
      </c>
      <c r="AB196" s="2">
        <f t="shared" si="5"/>
        <v>8.65</v>
      </c>
      <c r="AC196" s="2">
        <v>50.0</v>
      </c>
      <c r="AD196" s="2">
        <v>350.0</v>
      </c>
      <c r="AE196" s="3">
        <f t="shared" si="6"/>
        <v>10</v>
      </c>
      <c r="AF196" s="4">
        <f t="shared" si="7"/>
        <v>66.31666667</v>
      </c>
    </row>
    <row r="197">
      <c r="A197" s="1" t="s">
        <v>608</v>
      </c>
      <c r="B197" s="1" t="s">
        <v>609</v>
      </c>
      <c r="C197" s="2" t="s">
        <v>610</v>
      </c>
      <c r="D197" s="2">
        <f>VLOOKUP(B197, 'EE-Nitin'!$B$2:$F$57,5)</f>
        <v>37</v>
      </c>
      <c r="E197" s="2">
        <v>20.0</v>
      </c>
      <c r="F197" s="2">
        <f t="shared" si="1"/>
        <v>28.5</v>
      </c>
      <c r="G197" s="2">
        <v>3.0</v>
      </c>
      <c r="H197" s="2">
        <v>7.0</v>
      </c>
      <c r="I197" s="2">
        <v>27.0</v>
      </c>
      <c r="J197" s="3">
        <f t="shared" si="2"/>
        <v>5.5</v>
      </c>
      <c r="K197" s="2">
        <v>60.0</v>
      </c>
      <c r="L197" s="2">
        <v>105.0</v>
      </c>
      <c r="N197" s="3">
        <f t="shared" si="3"/>
        <v>105</v>
      </c>
      <c r="O197" s="2">
        <v>100.0</v>
      </c>
      <c r="P197" s="2">
        <f t="shared" si="4"/>
        <v>10.625</v>
      </c>
      <c r="Q197" s="2">
        <v>0.0</v>
      </c>
      <c r="R197" s="2">
        <v>2.0</v>
      </c>
      <c r="S197" s="2">
        <v>0.0</v>
      </c>
      <c r="T197" s="2">
        <v>6.0</v>
      </c>
      <c r="U197" s="2">
        <v>5.0</v>
      </c>
      <c r="V197" s="2">
        <v>0.0</v>
      </c>
      <c r="W197" s="2">
        <v>15.0</v>
      </c>
      <c r="X197" s="2">
        <v>23.0</v>
      </c>
      <c r="Y197" s="2">
        <v>24.0</v>
      </c>
      <c r="Z197" s="2">
        <v>29.0</v>
      </c>
      <c r="AA197" s="2">
        <v>28.0</v>
      </c>
      <c r="AB197" s="2">
        <f t="shared" si="5"/>
        <v>6.6</v>
      </c>
      <c r="AC197" s="2">
        <v>30.0</v>
      </c>
      <c r="AD197" s="2">
        <v>335.0</v>
      </c>
      <c r="AE197" s="3">
        <f t="shared" si="6"/>
        <v>9.125</v>
      </c>
      <c r="AF197" s="4">
        <f t="shared" si="7"/>
        <v>60.35</v>
      </c>
    </row>
    <row r="198">
      <c r="A198" s="1" t="s">
        <v>611</v>
      </c>
      <c r="B198" s="1" t="s">
        <v>612</v>
      </c>
      <c r="C198" s="2" t="s">
        <v>613</v>
      </c>
      <c r="D198" s="2">
        <f>VLOOKUP(B198, 'EE-Nitin'!$B$2:$F$57,5)</f>
        <v>36</v>
      </c>
      <c r="E198" s="2">
        <v>22.0</v>
      </c>
      <c r="F198" s="2">
        <f t="shared" si="1"/>
        <v>29</v>
      </c>
      <c r="G198" s="2">
        <v>18.0</v>
      </c>
      <c r="H198" s="2">
        <v>13.0</v>
      </c>
      <c r="I198" s="2">
        <v>28.0</v>
      </c>
      <c r="J198" s="3">
        <f t="shared" si="2"/>
        <v>10.86111111</v>
      </c>
      <c r="K198" s="2">
        <v>95.0</v>
      </c>
      <c r="L198" s="2">
        <v>200.0</v>
      </c>
      <c r="N198" s="3">
        <f t="shared" si="3"/>
        <v>200</v>
      </c>
      <c r="O198" s="2">
        <v>100.0</v>
      </c>
      <c r="P198" s="2">
        <f t="shared" si="4"/>
        <v>14.75</v>
      </c>
      <c r="Q198" s="2">
        <v>7.0</v>
      </c>
      <c r="R198" s="2">
        <v>0.0</v>
      </c>
      <c r="S198" s="2">
        <v>12.0</v>
      </c>
      <c r="T198" s="2">
        <v>11.0</v>
      </c>
      <c r="U198" s="2">
        <v>15.0</v>
      </c>
      <c r="V198" s="2">
        <v>15.0</v>
      </c>
      <c r="W198" s="2">
        <v>20.0</v>
      </c>
      <c r="X198" s="2">
        <v>28.0</v>
      </c>
      <c r="Y198" s="2">
        <v>30.0</v>
      </c>
      <c r="Z198" s="2">
        <v>30.0</v>
      </c>
      <c r="AA198" s="2">
        <v>30.0</v>
      </c>
      <c r="AB198" s="2">
        <f t="shared" si="5"/>
        <v>9.9</v>
      </c>
      <c r="AC198" s="2">
        <v>50.0</v>
      </c>
      <c r="AD198" s="2">
        <v>345.0</v>
      </c>
      <c r="AE198" s="3">
        <f t="shared" si="6"/>
        <v>9.875</v>
      </c>
      <c r="AF198" s="4">
        <f t="shared" si="7"/>
        <v>74.38611111</v>
      </c>
    </row>
    <row r="199">
      <c r="A199" s="1" t="s">
        <v>614</v>
      </c>
      <c r="B199" s="1" t="s">
        <v>615</v>
      </c>
      <c r="C199" s="2" t="s">
        <v>616</v>
      </c>
      <c r="D199" s="2">
        <f>VLOOKUP(B199, 'EE-Nitin'!$B$2:$F$57,5)</f>
        <v>22</v>
      </c>
      <c r="E199" s="2">
        <v>19.0</v>
      </c>
      <c r="F199" s="2">
        <f t="shared" si="1"/>
        <v>20.5</v>
      </c>
      <c r="G199" s="2">
        <v>5.0</v>
      </c>
      <c r="H199" s="2">
        <v>8.0</v>
      </c>
      <c r="I199" s="2">
        <v>26.5</v>
      </c>
      <c r="J199" s="3">
        <f t="shared" si="2"/>
        <v>6.194444444</v>
      </c>
      <c r="K199" s="2">
        <v>100.0</v>
      </c>
      <c r="L199" s="2">
        <v>110.0</v>
      </c>
      <c r="N199" s="3">
        <f t="shared" si="3"/>
        <v>110</v>
      </c>
      <c r="O199" s="2">
        <v>80.0</v>
      </c>
      <c r="P199" s="2">
        <f t="shared" si="4"/>
        <v>11.75</v>
      </c>
      <c r="Q199" s="2">
        <v>7.0</v>
      </c>
      <c r="R199" s="2">
        <v>0.0</v>
      </c>
      <c r="S199" s="2">
        <v>12.0</v>
      </c>
      <c r="T199" s="2">
        <v>8.0</v>
      </c>
      <c r="U199" s="2">
        <v>14.0</v>
      </c>
      <c r="V199" s="2">
        <v>15.0</v>
      </c>
      <c r="W199" s="2">
        <v>20.0</v>
      </c>
      <c r="X199" s="2">
        <v>28.0</v>
      </c>
      <c r="Y199" s="2">
        <v>27.0</v>
      </c>
      <c r="Z199" s="2">
        <v>30.0</v>
      </c>
      <c r="AA199" s="2">
        <v>28.0</v>
      </c>
      <c r="AB199" s="2">
        <f t="shared" si="5"/>
        <v>9.45</v>
      </c>
      <c r="AC199" s="2">
        <v>50.0</v>
      </c>
      <c r="AD199" s="2">
        <v>330.0</v>
      </c>
      <c r="AE199" s="3">
        <f t="shared" si="6"/>
        <v>9.5</v>
      </c>
      <c r="AF199" s="4">
        <f t="shared" si="7"/>
        <v>57.39444444</v>
      </c>
    </row>
    <row r="200">
      <c r="A200" s="1" t="s">
        <v>617</v>
      </c>
      <c r="B200" s="1" t="s">
        <v>618</v>
      </c>
      <c r="C200" s="2" t="s">
        <v>619</v>
      </c>
      <c r="D200" s="2">
        <f>VLOOKUP(B200, 'EE-Nitin'!$B$2:$F$57,5)</f>
        <v>22</v>
      </c>
      <c r="E200" s="2">
        <v>28.0</v>
      </c>
      <c r="F200" s="2">
        <f t="shared" si="1"/>
        <v>25</v>
      </c>
      <c r="G200" s="2">
        <v>15.0</v>
      </c>
      <c r="H200" s="2">
        <v>9.0</v>
      </c>
      <c r="I200" s="2">
        <v>0.0</v>
      </c>
      <c r="J200" s="3">
        <f t="shared" si="2"/>
        <v>6</v>
      </c>
      <c r="K200" s="2">
        <v>90.0</v>
      </c>
      <c r="L200" s="2">
        <v>185.0</v>
      </c>
      <c r="N200" s="3">
        <f t="shared" si="3"/>
        <v>185</v>
      </c>
      <c r="O200" s="2">
        <v>100.0</v>
      </c>
      <c r="P200" s="2">
        <f t="shared" si="4"/>
        <v>14.125</v>
      </c>
      <c r="Q200" s="2">
        <v>7.0</v>
      </c>
      <c r="R200" s="2">
        <v>10.0</v>
      </c>
      <c r="S200" s="2">
        <v>12.0</v>
      </c>
      <c r="T200" s="2">
        <v>12.0</v>
      </c>
      <c r="U200" s="2">
        <v>14.0</v>
      </c>
      <c r="V200" s="2">
        <v>14.0</v>
      </c>
      <c r="W200" s="2">
        <v>20.0</v>
      </c>
      <c r="X200" s="2">
        <v>29.0</v>
      </c>
      <c r="Y200" s="2">
        <v>28.0</v>
      </c>
      <c r="Z200" s="2">
        <v>29.0</v>
      </c>
      <c r="AB200" s="2">
        <f t="shared" si="5"/>
        <v>8.75</v>
      </c>
      <c r="AC200" s="2">
        <v>30.0</v>
      </c>
      <c r="AD200" s="2">
        <v>0.0</v>
      </c>
      <c r="AE200" s="3">
        <f t="shared" si="6"/>
        <v>0.75</v>
      </c>
      <c r="AF200" s="4">
        <f t="shared" si="7"/>
        <v>54.625</v>
      </c>
    </row>
    <row r="201">
      <c r="A201" s="1" t="s">
        <v>620</v>
      </c>
      <c r="B201" s="1" t="s">
        <v>621</v>
      </c>
      <c r="C201" s="2" t="s">
        <v>622</v>
      </c>
      <c r="D201" s="2">
        <f>VLOOKUP(B201, 'EE-Nitin'!$B$2:$F$57,5)</f>
        <v>48</v>
      </c>
      <c r="E201" s="2">
        <v>28.0</v>
      </c>
      <c r="F201" s="2">
        <f t="shared" si="1"/>
        <v>38</v>
      </c>
      <c r="G201" s="2">
        <v>6.0</v>
      </c>
      <c r="H201" s="2">
        <v>14.0</v>
      </c>
      <c r="I201" s="2">
        <v>31.0</v>
      </c>
      <c r="J201" s="3">
        <f t="shared" si="2"/>
        <v>8.444444444</v>
      </c>
      <c r="K201" s="2">
        <v>85.0</v>
      </c>
      <c r="L201" s="2">
        <v>165.0</v>
      </c>
      <c r="M201" s="2">
        <v>200.0</v>
      </c>
      <c r="N201" s="3">
        <f t="shared" si="3"/>
        <v>200</v>
      </c>
      <c r="O201" s="2">
        <v>80.0</v>
      </c>
      <c r="P201" s="2">
        <f t="shared" si="4"/>
        <v>13.25</v>
      </c>
      <c r="Q201" s="2">
        <v>7.0</v>
      </c>
      <c r="R201" s="2">
        <v>6.0</v>
      </c>
      <c r="S201" s="2">
        <v>6.0</v>
      </c>
      <c r="T201" s="2">
        <v>5.0</v>
      </c>
      <c r="U201" s="2">
        <v>15.0</v>
      </c>
      <c r="V201" s="2">
        <v>9.0</v>
      </c>
      <c r="W201" s="2">
        <v>18.0</v>
      </c>
      <c r="X201" s="2">
        <v>30.0</v>
      </c>
      <c r="Y201" s="2">
        <v>27.0</v>
      </c>
      <c r="Z201" s="2">
        <v>29.0</v>
      </c>
      <c r="AA201" s="2">
        <v>28.0</v>
      </c>
      <c r="AB201" s="2">
        <f t="shared" si="5"/>
        <v>9</v>
      </c>
      <c r="AC201" s="2">
        <v>40.0</v>
      </c>
      <c r="AD201" s="2">
        <v>350.0</v>
      </c>
      <c r="AE201" s="3">
        <f t="shared" si="6"/>
        <v>9.75</v>
      </c>
      <c r="AF201" s="4">
        <f t="shared" si="7"/>
        <v>78.44444444</v>
      </c>
    </row>
    <row r="202">
      <c r="A202" s="1" t="s">
        <v>623</v>
      </c>
      <c r="B202" s="1" t="s">
        <v>624</v>
      </c>
      <c r="C202" s="2" t="s">
        <v>625</v>
      </c>
      <c r="D202" s="2">
        <f>VLOOKUP(B202, 'EE-Nitin'!$B$2:$F$57,5)</f>
        <v>46</v>
      </c>
      <c r="E202" s="2">
        <v>27.0</v>
      </c>
      <c r="F202" s="2">
        <f t="shared" si="1"/>
        <v>36.5</v>
      </c>
      <c r="G202" s="2">
        <v>10.0</v>
      </c>
      <c r="H202" s="2">
        <v>10.0</v>
      </c>
      <c r="I202" s="2">
        <v>25.0</v>
      </c>
      <c r="J202" s="3">
        <f t="shared" si="2"/>
        <v>7.777777778</v>
      </c>
      <c r="K202" s="2">
        <v>85.0</v>
      </c>
      <c r="L202" s="2">
        <v>100.0</v>
      </c>
      <c r="N202" s="3">
        <f t="shared" si="3"/>
        <v>100</v>
      </c>
      <c r="O202" s="2">
        <v>89.0</v>
      </c>
      <c r="P202" s="2">
        <f t="shared" si="4"/>
        <v>11.2</v>
      </c>
      <c r="Q202" s="2">
        <v>7.0</v>
      </c>
      <c r="R202" s="2">
        <v>7.0</v>
      </c>
      <c r="S202" s="2">
        <v>12.0</v>
      </c>
      <c r="T202" s="2">
        <v>10.0</v>
      </c>
      <c r="U202" s="2">
        <v>14.0</v>
      </c>
      <c r="V202" s="2">
        <v>15.0</v>
      </c>
      <c r="W202" s="2">
        <v>18.0</v>
      </c>
      <c r="X202" s="2">
        <v>29.0</v>
      </c>
      <c r="Y202" s="2">
        <v>30.0</v>
      </c>
      <c r="Z202" s="2">
        <v>29.0</v>
      </c>
      <c r="AA202" s="2">
        <v>28.0</v>
      </c>
      <c r="AB202" s="2">
        <f t="shared" si="5"/>
        <v>9.95</v>
      </c>
      <c r="AC202" s="2">
        <v>20.0</v>
      </c>
      <c r="AD202" s="2">
        <v>330.0</v>
      </c>
      <c r="AE202" s="3">
        <f t="shared" si="6"/>
        <v>8.75</v>
      </c>
      <c r="AF202" s="4">
        <f t="shared" si="7"/>
        <v>74.17777778</v>
      </c>
    </row>
    <row r="203">
      <c r="A203" s="1" t="s">
        <v>626</v>
      </c>
      <c r="B203" s="1" t="s">
        <v>627</v>
      </c>
      <c r="C203" s="2" t="s">
        <v>628</v>
      </c>
      <c r="D203" s="2">
        <f>VLOOKUP(B203, 'EE-Nitin'!$B$2:$F$57,5)</f>
        <v>40</v>
      </c>
      <c r="E203" s="2">
        <v>26.0</v>
      </c>
      <c r="F203" s="2">
        <f t="shared" si="1"/>
        <v>33</v>
      </c>
      <c r="G203" s="2">
        <v>8.0</v>
      </c>
      <c r="H203" s="2">
        <v>13.0</v>
      </c>
      <c r="I203" s="2">
        <v>35.0</v>
      </c>
      <c r="J203" s="3">
        <f t="shared" si="2"/>
        <v>9.138888889</v>
      </c>
      <c r="K203" s="2">
        <v>100.0</v>
      </c>
      <c r="L203" s="2">
        <v>120.0</v>
      </c>
      <c r="N203" s="3">
        <f t="shared" si="3"/>
        <v>120</v>
      </c>
      <c r="O203" s="2">
        <v>80.0</v>
      </c>
      <c r="P203" s="2">
        <f t="shared" si="4"/>
        <v>12</v>
      </c>
      <c r="Q203" s="2">
        <v>7.0</v>
      </c>
      <c r="R203" s="2">
        <v>8.0</v>
      </c>
      <c r="S203" s="2">
        <v>15.0</v>
      </c>
      <c r="T203" s="2">
        <v>2.0</v>
      </c>
      <c r="U203" s="2">
        <v>15.0</v>
      </c>
      <c r="V203" s="2">
        <v>15.0</v>
      </c>
      <c r="W203" s="2">
        <v>15.0</v>
      </c>
      <c r="X203" s="2">
        <v>28.0</v>
      </c>
      <c r="Y203" s="2">
        <v>27.0</v>
      </c>
      <c r="Z203" s="2">
        <v>28.0</v>
      </c>
      <c r="AA203" s="2">
        <v>29.0</v>
      </c>
      <c r="AB203" s="2">
        <f t="shared" si="5"/>
        <v>9.45</v>
      </c>
      <c r="AC203" s="2">
        <v>50.0</v>
      </c>
      <c r="AD203" s="2">
        <v>350.0</v>
      </c>
      <c r="AE203" s="3">
        <f t="shared" si="6"/>
        <v>10</v>
      </c>
      <c r="AF203" s="4">
        <f t="shared" si="7"/>
        <v>73.58888889</v>
      </c>
    </row>
    <row r="204">
      <c r="A204" s="1" t="s">
        <v>629</v>
      </c>
      <c r="B204" s="1" t="s">
        <v>630</v>
      </c>
      <c r="C204" s="2" t="s">
        <v>631</v>
      </c>
      <c r="D204" s="2">
        <f>VLOOKUP(B204, 'EE-Nitin'!$B$2:$F$57,5)</f>
        <v>29</v>
      </c>
      <c r="E204" s="2">
        <v>21.0</v>
      </c>
      <c r="F204" s="2">
        <f t="shared" si="1"/>
        <v>25</v>
      </c>
      <c r="G204" s="2">
        <v>4.5</v>
      </c>
      <c r="H204" s="2">
        <v>0.0</v>
      </c>
      <c r="I204" s="2">
        <v>17.0</v>
      </c>
      <c r="J204" s="3">
        <f t="shared" si="2"/>
        <v>3.013888889</v>
      </c>
      <c r="K204" s="2">
        <v>100.0</v>
      </c>
      <c r="M204" s="2">
        <v>0.0</v>
      </c>
      <c r="N204" s="3">
        <f t="shared" si="3"/>
        <v>0</v>
      </c>
      <c r="O204" s="2">
        <v>90.0</v>
      </c>
      <c r="P204" s="2">
        <f t="shared" si="4"/>
        <v>9.5</v>
      </c>
      <c r="Q204" s="2">
        <v>7.0</v>
      </c>
      <c r="R204" s="2">
        <v>9.0</v>
      </c>
      <c r="S204" s="2">
        <v>0.0</v>
      </c>
      <c r="T204" s="2">
        <v>0.0</v>
      </c>
      <c r="U204" s="2">
        <v>15.0</v>
      </c>
      <c r="V204" s="2">
        <v>15.0</v>
      </c>
      <c r="W204" s="2">
        <v>20.0</v>
      </c>
      <c r="X204" s="2">
        <v>0.0</v>
      </c>
      <c r="Y204" s="2">
        <v>0.0</v>
      </c>
      <c r="Z204" s="2">
        <v>30.0</v>
      </c>
      <c r="AA204" s="2">
        <v>27.0</v>
      </c>
      <c r="AB204" s="2">
        <f t="shared" si="5"/>
        <v>6.15</v>
      </c>
      <c r="AC204" s="2">
        <v>0.0</v>
      </c>
      <c r="AD204" s="2">
        <v>310.0</v>
      </c>
      <c r="AE204" s="3">
        <f t="shared" si="6"/>
        <v>7.75</v>
      </c>
      <c r="AF204" s="4">
        <f t="shared" si="7"/>
        <v>51.41388889</v>
      </c>
    </row>
    <row r="205">
      <c r="A205" s="1" t="s">
        <v>632</v>
      </c>
      <c r="B205" s="1" t="s">
        <v>633</v>
      </c>
      <c r="C205" s="2" t="s">
        <v>634</v>
      </c>
      <c r="D205" s="2">
        <f>VLOOKUP(B205, 'EE-Nitin'!$B$2:$F$57,5)</f>
        <v>34</v>
      </c>
      <c r="E205" s="2">
        <v>32.0</v>
      </c>
      <c r="F205" s="2">
        <f t="shared" si="1"/>
        <v>33</v>
      </c>
      <c r="G205" s="2">
        <v>15.0</v>
      </c>
      <c r="H205" s="2">
        <v>6.5</v>
      </c>
      <c r="I205" s="2">
        <v>27.0</v>
      </c>
      <c r="J205" s="3">
        <f t="shared" si="2"/>
        <v>8.375</v>
      </c>
      <c r="K205" s="2">
        <v>90.0</v>
      </c>
      <c r="L205" s="2">
        <v>150.0</v>
      </c>
      <c r="N205" s="3">
        <f t="shared" si="3"/>
        <v>150</v>
      </c>
      <c r="O205" s="2">
        <v>0.0</v>
      </c>
      <c r="P205" s="2">
        <f t="shared" si="4"/>
        <v>8.25</v>
      </c>
      <c r="Q205" s="2">
        <v>7.0</v>
      </c>
      <c r="R205" s="2">
        <v>7.0</v>
      </c>
      <c r="S205" s="2">
        <v>0.0</v>
      </c>
      <c r="T205" s="2">
        <v>4.0</v>
      </c>
      <c r="U205" s="2">
        <v>14.0</v>
      </c>
      <c r="V205" s="2">
        <v>14.0</v>
      </c>
      <c r="W205" s="2">
        <v>20.0</v>
      </c>
      <c r="X205" s="2">
        <v>30.0</v>
      </c>
      <c r="Y205" s="2">
        <v>30.0</v>
      </c>
      <c r="Z205" s="2">
        <v>28.0</v>
      </c>
      <c r="AB205" s="2">
        <f t="shared" si="5"/>
        <v>7.7</v>
      </c>
      <c r="AC205" s="2">
        <v>30.0</v>
      </c>
      <c r="AD205" s="2">
        <v>310.0</v>
      </c>
      <c r="AE205" s="3">
        <f t="shared" si="6"/>
        <v>8.5</v>
      </c>
      <c r="AF205" s="4">
        <f t="shared" si="7"/>
        <v>65.825</v>
      </c>
    </row>
    <row r="206">
      <c r="A206" s="1" t="s">
        <v>587</v>
      </c>
      <c r="B206" s="1" t="s">
        <v>588</v>
      </c>
      <c r="C206" s="2" t="s">
        <v>589</v>
      </c>
      <c r="D206" s="2">
        <f>VLOOKUP(B206, 'EE-Nitin'!$B$2:$F$57,5)</f>
        <v>35</v>
      </c>
      <c r="E206" s="2">
        <v>14.0</v>
      </c>
      <c r="F206" s="2">
        <f t="shared" si="1"/>
        <v>24.5</v>
      </c>
      <c r="G206" s="2">
        <v>10.5</v>
      </c>
      <c r="H206" s="2">
        <v>10.0</v>
      </c>
      <c r="I206" s="2">
        <v>16.0</v>
      </c>
      <c r="J206" s="3">
        <f t="shared" si="2"/>
        <v>6.902777778</v>
      </c>
      <c r="K206" s="2">
        <v>95.0</v>
      </c>
      <c r="L206" s="2">
        <v>165.0</v>
      </c>
      <c r="N206" s="3">
        <f t="shared" si="3"/>
        <v>165</v>
      </c>
      <c r="O206" s="2">
        <v>85.0</v>
      </c>
      <c r="P206" s="2">
        <f t="shared" si="4"/>
        <v>13.125</v>
      </c>
      <c r="Q206" s="2">
        <v>7.0</v>
      </c>
      <c r="R206" s="2">
        <v>5.0</v>
      </c>
      <c r="S206" s="2">
        <v>9.0</v>
      </c>
      <c r="T206" s="2">
        <v>5.0</v>
      </c>
      <c r="U206" s="2">
        <v>15.0</v>
      </c>
      <c r="V206" s="2">
        <v>15.0</v>
      </c>
      <c r="W206" s="2">
        <v>20.0</v>
      </c>
      <c r="X206" s="2">
        <v>30.0</v>
      </c>
      <c r="Y206" s="2">
        <v>30.0</v>
      </c>
      <c r="Z206" s="2">
        <v>28.0</v>
      </c>
      <c r="AA206" s="2">
        <v>28.0</v>
      </c>
      <c r="AB206" s="2">
        <f t="shared" si="5"/>
        <v>9.6</v>
      </c>
      <c r="AC206" s="2">
        <v>50.0</v>
      </c>
      <c r="AD206" s="2">
        <v>320.0</v>
      </c>
      <c r="AE206" s="3">
        <f t="shared" si="6"/>
        <v>9.25</v>
      </c>
      <c r="AF206" s="4">
        <f t="shared" si="7"/>
        <v>63.37777778</v>
      </c>
    </row>
    <row r="207">
      <c r="A207" s="1" t="s">
        <v>635</v>
      </c>
      <c r="B207" s="1" t="s">
        <v>636</v>
      </c>
      <c r="C207" s="2" t="s">
        <v>637</v>
      </c>
      <c r="D207" s="2">
        <f>VLOOKUP(B207, 'ME-Subhashree'!$B$2:$F$56,5)</f>
        <v>37</v>
      </c>
      <c r="E207" s="2">
        <v>18.0</v>
      </c>
      <c r="F207" s="2">
        <f t="shared" si="1"/>
        <v>27.5</v>
      </c>
      <c r="G207" s="2">
        <v>6.0</v>
      </c>
      <c r="H207" s="2">
        <v>9.0</v>
      </c>
      <c r="I207" s="2">
        <v>27.0</v>
      </c>
      <c r="J207" s="3">
        <f t="shared" si="2"/>
        <v>6.75</v>
      </c>
      <c r="K207" s="2">
        <v>90.0</v>
      </c>
      <c r="L207" s="2">
        <v>165.0</v>
      </c>
      <c r="N207" s="3">
        <f t="shared" si="3"/>
        <v>165</v>
      </c>
      <c r="O207" s="2">
        <v>100.0</v>
      </c>
      <c r="P207" s="2">
        <f t="shared" si="4"/>
        <v>13.625</v>
      </c>
      <c r="Q207" s="2">
        <v>6.0</v>
      </c>
      <c r="R207" s="2">
        <v>5.0</v>
      </c>
      <c r="S207" s="2">
        <v>7.0</v>
      </c>
      <c r="T207" s="2">
        <v>15.0</v>
      </c>
      <c r="U207" s="2">
        <v>15.0</v>
      </c>
      <c r="V207" s="2">
        <v>13.0</v>
      </c>
      <c r="W207" s="2">
        <v>17.0</v>
      </c>
      <c r="X207" s="2">
        <v>27.0</v>
      </c>
      <c r="Y207" s="2">
        <v>27.0</v>
      </c>
      <c r="Z207" s="2">
        <v>28.0</v>
      </c>
      <c r="AA207" s="2">
        <v>28.0</v>
      </c>
      <c r="AB207" s="2">
        <f t="shared" si="5"/>
        <v>9.4</v>
      </c>
      <c r="AC207" s="2">
        <v>40.0</v>
      </c>
      <c r="AD207" s="2">
        <v>300.0</v>
      </c>
      <c r="AE207" s="3">
        <f t="shared" si="6"/>
        <v>8.5</v>
      </c>
      <c r="AF207" s="4">
        <f t="shared" si="7"/>
        <v>65.775</v>
      </c>
    </row>
    <row r="208">
      <c r="A208" s="1" t="s">
        <v>638</v>
      </c>
      <c r="B208" s="1" t="s">
        <v>639</v>
      </c>
      <c r="C208" s="2" t="s">
        <v>640</v>
      </c>
      <c r="D208" s="2">
        <f>VLOOKUP(B208, 'ME-Subhashree'!$B$2:$F$56,5)</f>
        <v>53</v>
      </c>
      <c r="E208" s="2">
        <v>31.0</v>
      </c>
      <c r="F208" s="2">
        <f t="shared" si="1"/>
        <v>42</v>
      </c>
      <c r="G208" s="2">
        <v>13.0</v>
      </c>
      <c r="H208" s="2">
        <v>18.5</v>
      </c>
      <c r="I208" s="2">
        <v>28.0</v>
      </c>
      <c r="J208" s="3">
        <f t="shared" si="2"/>
        <v>10.98611111</v>
      </c>
      <c r="K208" s="2">
        <v>100.0</v>
      </c>
      <c r="L208" s="2">
        <v>200.0</v>
      </c>
      <c r="N208" s="3">
        <f t="shared" si="3"/>
        <v>200</v>
      </c>
      <c r="O208" s="2">
        <v>90.0</v>
      </c>
      <c r="P208" s="2">
        <f t="shared" si="4"/>
        <v>14.5</v>
      </c>
      <c r="Q208" s="2">
        <v>7.0</v>
      </c>
      <c r="R208" s="2">
        <v>8.0</v>
      </c>
      <c r="S208" s="2">
        <v>15.0</v>
      </c>
      <c r="T208" s="2">
        <v>15.0</v>
      </c>
      <c r="U208" s="2">
        <v>15.0</v>
      </c>
      <c r="V208" s="2">
        <v>15.0</v>
      </c>
      <c r="W208" s="2">
        <v>20.0</v>
      </c>
      <c r="X208" s="2">
        <v>30.0</v>
      </c>
      <c r="Y208" s="2">
        <v>28.0</v>
      </c>
      <c r="Z208" s="2">
        <v>29.0</v>
      </c>
      <c r="AA208" s="2">
        <v>30.0</v>
      </c>
      <c r="AB208" s="2">
        <f t="shared" si="5"/>
        <v>10.6</v>
      </c>
      <c r="AC208" s="2">
        <v>40.0</v>
      </c>
      <c r="AD208" s="2">
        <v>340.0</v>
      </c>
      <c r="AE208" s="3">
        <f t="shared" si="6"/>
        <v>9.5</v>
      </c>
      <c r="AF208" s="4">
        <f t="shared" si="7"/>
        <v>87.58611111</v>
      </c>
    </row>
    <row r="209">
      <c r="A209" s="1" t="s">
        <v>641</v>
      </c>
      <c r="B209" s="1" t="s">
        <v>642</v>
      </c>
      <c r="C209" s="2" t="s">
        <v>643</v>
      </c>
      <c r="D209" s="2">
        <f>VLOOKUP(B209, 'ME-Subhashree'!$B$2:$F$56,5)</f>
        <v>26</v>
      </c>
      <c r="E209" s="2">
        <v>24.0</v>
      </c>
      <c r="F209" s="2">
        <f t="shared" si="1"/>
        <v>25</v>
      </c>
      <c r="G209" s="2">
        <v>7.0</v>
      </c>
      <c r="H209" s="2">
        <v>8.0</v>
      </c>
      <c r="I209" s="2">
        <v>35.0</v>
      </c>
      <c r="J209" s="3">
        <f t="shared" si="2"/>
        <v>7.638888889</v>
      </c>
      <c r="K209" s="2">
        <v>90.0</v>
      </c>
      <c r="L209" s="2">
        <v>100.0</v>
      </c>
      <c r="M209" s="2">
        <v>165.0</v>
      </c>
      <c r="N209" s="3">
        <f t="shared" si="3"/>
        <v>165</v>
      </c>
      <c r="O209" s="2">
        <v>100.0</v>
      </c>
      <c r="P209" s="2">
        <f t="shared" si="4"/>
        <v>13.625</v>
      </c>
      <c r="Q209" s="2">
        <v>7.0</v>
      </c>
      <c r="R209" s="2">
        <v>7.0</v>
      </c>
      <c r="S209" s="2">
        <v>12.0</v>
      </c>
      <c r="T209" s="2">
        <v>10.0</v>
      </c>
      <c r="U209" s="2">
        <v>15.0</v>
      </c>
      <c r="V209" s="2">
        <v>14.0</v>
      </c>
      <c r="W209" s="2">
        <v>20.0</v>
      </c>
      <c r="X209" s="2">
        <v>30.0</v>
      </c>
      <c r="Y209" s="2">
        <v>27.0</v>
      </c>
      <c r="Z209" s="2">
        <v>27.0</v>
      </c>
      <c r="AA209" s="2">
        <v>28.0</v>
      </c>
      <c r="AB209" s="2">
        <f t="shared" si="5"/>
        <v>9.85</v>
      </c>
      <c r="AC209" s="2">
        <v>0.0</v>
      </c>
      <c r="AD209" s="2">
        <v>330.0</v>
      </c>
      <c r="AE209" s="3">
        <f t="shared" si="6"/>
        <v>8.25</v>
      </c>
      <c r="AF209" s="4">
        <f t="shared" si="7"/>
        <v>64.36388889</v>
      </c>
    </row>
    <row r="210">
      <c r="A210" s="1" t="s">
        <v>644</v>
      </c>
      <c r="B210" s="1" t="s">
        <v>645</v>
      </c>
      <c r="C210" s="2" t="s">
        <v>646</v>
      </c>
      <c r="D210" s="2">
        <f>VLOOKUP(B210, 'ME-Subhashree'!$B$2:$F$56,5)</f>
        <v>39</v>
      </c>
      <c r="E210" s="2">
        <v>21.0</v>
      </c>
      <c r="F210" s="2">
        <f t="shared" si="1"/>
        <v>30</v>
      </c>
      <c r="G210" s="2">
        <v>10.0</v>
      </c>
      <c r="H210" s="2">
        <v>17.0</v>
      </c>
      <c r="I210" s="2">
        <v>32.0</v>
      </c>
      <c r="J210" s="3">
        <f t="shared" si="2"/>
        <v>10.30555556</v>
      </c>
      <c r="K210" s="2">
        <v>90.0</v>
      </c>
      <c r="L210" s="2">
        <v>160.0</v>
      </c>
      <c r="N210" s="3">
        <f t="shared" si="3"/>
        <v>160</v>
      </c>
      <c r="O210" s="2">
        <v>98.0</v>
      </c>
      <c r="P210" s="2">
        <f t="shared" si="4"/>
        <v>13.4</v>
      </c>
      <c r="Q210" s="2">
        <v>7.0</v>
      </c>
      <c r="R210" s="2">
        <v>5.0</v>
      </c>
      <c r="S210" s="2">
        <v>12.0</v>
      </c>
      <c r="T210" s="2">
        <v>15.0</v>
      </c>
      <c r="U210" s="2">
        <v>15.0</v>
      </c>
      <c r="V210" s="2">
        <v>15.0</v>
      </c>
      <c r="W210" s="2">
        <v>19.0</v>
      </c>
      <c r="X210" s="2">
        <v>25.0</v>
      </c>
      <c r="Y210" s="2">
        <v>28.0</v>
      </c>
      <c r="Z210" s="2">
        <v>28.0</v>
      </c>
      <c r="AA210" s="2">
        <v>28.0</v>
      </c>
      <c r="AB210" s="2">
        <f t="shared" si="5"/>
        <v>9.85</v>
      </c>
      <c r="AC210" s="2">
        <v>50.0</v>
      </c>
      <c r="AD210" s="2">
        <v>310.0</v>
      </c>
      <c r="AE210" s="3">
        <f t="shared" si="6"/>
        <v>9</v>
      </c>
      <c r="AF210" s="4">
        <f t="shared" si="7"/>
        <v>72.55555556</v>
      </c>
    </row>
    <row r="211">
      <c r="A211" s="1" t="s">
        <v>647</v>
      </c>
      <c r="B211" s="1" t="s">
        <v>648</v>
      </c>
      <c r="C211" s="2" t="s">
        <v>649</v>
      </c>
      <c r="D211" s="2">
        <f>VLOOKUP(B211, 'ME-Subhashree'!$B$2:$F$56,5)</f>
        <v>35</v>
      </c>
      <c r="E211" s="2">
        <v>26.0</v>
      </c>
      <c r="F211" s="2">
        <f t="shared" si="1"/>
        <v>30.5</v>
      </c>
      <c r="G211" s="2">
        <v>7.0</v>
      </c>
      <c r="H211" s="2">
        <v>13.0</v>
      </c>
      <c r="I211" s="2">
        <v>28.0</v>
      </c>
      <c r="J211" s="3">
        <f t="shared" si="2"/>
        <v>8.111111111</v>
      </c>
      <c r="K211" s="2">
        <v>100.0</v>
      </c>
      <c r="L211" s="2">
        <v>190.0</v>
      </c>
      <c r="N211" s="3">
        <f t="shared" si="3"/>
        <v>190</v>
      </c>
      <c r="O211" s="2">
        <v>100.0</v>
      </c>
      <c r="P211" s="2">
        <f t="shared" si="4"/>
        <v>14.75</v>
      </c>
      <c r="Q211" s="2">
        <v>7.0</v>
      </c>
      <c r="R211" s="2">
        <v>2.0</v>
      </c>
      <c r="S211" s="2">
        <v>9.0</v>
      </c>
      <c r="T211" s="2">
        <v>10.0</v>
      </c>
      <c r="U211" s="2">
        <v>11.0</v>
      </c>
      <c r="V211" s="2">
        <v>11.0</v>
      </c>
      <c r="W211" s="2">
        <v>18.0</v>
      </c>
      <c r="X211" s="2">
        <v>21.0</v>
      </c>
      <c r="Y211" s="2">
        <v>24.0</v>
      </c>
      <c r="Z211" s="2">
        <v>29.0</v>
      </c>
      <c r="AA211" s="2">
        <v>29.0</v>
      </c>
      <c r="AB211" s="2">
        <f t="shared" si="5"/>
        <v>8.55</v>
      </c>
      <c r="AC211" s="2">
        <v>50.0</v>
      </c>
      <c r="AD211" s="2">
        <v>320.0</v>
      </c>
      <c r="AE211" s="3">
        <f t="shared" si="6"/>
        <v>9.25</v>
      </c>
      <c r="AF211" s="4">
        <f t="shared" si="7"/>
        <v>71.16111111</v>
      </c>
    </row>
    <row r="212">
      <c r="A212" s="1" t="s">
        <v>650</v>
      </c>
      <c r="B212" s="1" t="s">
        <v>651</v>
      </c>
      <c r="C212" s="2" t="s">
        <v>652</v>
      </c>
      <c r="D212" s="2">
        <f>VLOOKUP(B212, 'ME-Subhashree'!$B$2:$F$56,5)</f>
        <v>36</v>
      </c>
      <c r="E212" s="2">
        <v>25.0</v>
      </c>
      <c r="F212" s="2">
        <f t="shared" si="1"/>
        <v>30.5</v>
      </c>
      <c r="G212" s="2">
        <v>9.0</v>
      </c>
      <c r="H212" s="2">
        <v>18.5</v>
      </c>
      <c r="I212" s="2">
        <v>26.0</v>
      </c>
      <c r="J212" s="3">
        <f t="shared" si="2"/>
        <v>9.763888889</v>
      </c>
      <c r="K212" s="2">
        <v>90.0</v>
      </c>
      <c r="L212" s="2">
        <v>185.0</v>
      </c>
      <c r="N212" s="3">
        <f t="shared" si="3"/>
        <v>185</v>
      </c>
      <c r="O212" s="2">
        <v>100.0</v>
      </c>
      <c r="P212" s="2">
        <f t="shared" si="4"/>
        <v>14.125</v>
      </c>
      <c r="Q212" s="2">
        <v>7.0</v>
      </c>
      <c r="R212" s="2">
        <v>3.0</v>
      </c>
      <c r="S212" s="2">
        <v>9.0</v>
      </c>
      <c r="T212" s="2">
        <v>10.0</v>
      </c>
      <c r="U212" s="2">
        <v>12.0</v>
      </c>
      <c r="V212" s="2">
        <v>15.0</v>
      </c>
      <c r="W212" s="2">
        <v>19.0</v>
      </c>
      <c r="X212" s="2">
        <v>25.0</v>
      </c>
      <c r="Y212" s="2">
        <v>27.0</v>
      </c>
      <c r="Z212" s="2">
        <v>29.0</v>
      </c>
      <c r="AA212" s="2">
        <v>29.0</v>
      </c>
      <c r="AB212" s="2">
        <f t="shared" si="5"/>
        <v>9.25</v>
      </c>
      <c r="AC212" s="2">
        <v>50.0</v>
      </c>
      <c r="AD212" s="2">
        <v>320.0</v>
      </c>
      <c r="AE212" s="3">
        <f t="shared" si="6"/>
        <v>9.25</v>
      </c>
      <c r="AF212" s="4">
        <f t="shared" si="7"/>
        <v>72.88888889</v>
      </c>
    </row>
    <row r="213">
      <c r="A213" s="1" t="s">
        <v>653</v>
      </c>
      <c r="B213" s="1" t="s">
        <v>654</v>
      </c>
      <c r="C213" s="2" t="s">
        <v>655</v>
      </c>
      <c r="D213" s="2">
        <f>VLOOKUP(B213, 'ME-Subhashree'!$B$2:$F$56,5)</f>
        <v>39</v>
      </c>
      <c r="E213" s="2">
        <v>31.0</v>
      </c>
      <c r="F213" s="2">
        <f t="shared" si="1"/>
        <v>35</v>
      </c>
      <c r="G213" s="2">
        <v>13.0</v>
      </c>
      <c r="H213" s="2">
        <v>15.5</v>
      </c>
      <c r="I213" s="2">
        <v>28.0</v>
      </c>
      <c r="J213" s="3">
        <f t="shared" si="2"/>
        <v>10.23611111</v>
      </c>
      <c r="K213" s="2">
        <v>100.0</v>
      </c>
      <c r="L213" s="2">
        <v>195.0</v>
      </c>
      <c r="N213" s="3">
        <f t="shared" si="3"/>
        <v>195</v>
      </c>
      <c r="O213" s="2">
        <v>98.0</v>
      </c>
      <c r="P213" s="2">
        <f t="shared" si="4"/>
        <v>14.775</v>
      </c>
      <c r="Q213" s="2">
        <v>7.0</v>
      </c>
      <c r="R213" s="2">
        <v>7.0</v>
      </c>
      <c r="S213" s="2">
        <v>12.0</v>
      </c>
      <c r="T213" s="2">
        <v>12.0</v>
      </c>
      <c r="U213" s="2">
        <v>15.0</v>
      </c>
      <c r="V213" s="2">
        <v>15.0</v>
      </c>
      <c r="W213" s="2">
        <v>20.0</v>
      </c>
      <c r="X213" s="2">
        <v>26.0</v>
      </c>
      <c r="Y213" s="2">
        <v>30.0</v>
      </c>
      <c r="Z213" s="2">
        <v>29.0</v>
      </c>
      <c r="AA213" s="2">
        <v>29.0</v>
      </c>
      <c r="AB213" s="2">
        <f t="shared" si="5"/>
        <v>10.1</v>
      </c>
      <c r="AC213" s="2">
        <v>50.0</v>
      </c>
      <c r="AD213" s="2">
        <v>310.0</v>
      </c>
      <c r="AE213" s="3">
        <f t="shared" si="6"/>
        <v>9</v>
      </c>
      <c r="AF213" s="4">
        <f t="shared" si="7"/>
        <v>79.11111111</v>
      </c>
    </row>
    <row r="214">
      <c r="A214" s="1" t="s">
        <v>656</v>
      </c>
      <c r="B214" s="1" t="s">
        <v>657</v>
      </c>
      <c r="C214" s="2" t="s">
        <v>658</v>
      </c>
      <c r="D214" s="2">
        <f>VLOOKUP(B214, 'ME-Subhashree'!$B$2:$F$56,5)</f>
        <v>41</v>
      </c>
      <c r="E214" s="2">
        <v>37.0</v>
      </c>
      <c r="F214" s="2">
        <f t="shared" si="1"/>
        <v>39</v>
      </c>
      <c r="G214" s="2">
        <v>9.0</v>
      </c>
      <c r="H214" s="2">
        <v>19.0</v>
      </c>
      <c r="I214" s="2">
        <v>41.0</v>
      </c>
      <c r="J214" s="3">
        <f t="shared" si="2"/>
        <v>11.55555556</v>
      </c>
      <c r="K214" s="2">
        <v>90.0</v>
      </c>
      <c r="L214" s="2">
        <v>175.0</v>
      </c>
      <c r="N214" s="3">
        <f t="shared" si="3"/>
        <v>175</v>
      </c>
      <c r="O214" s="2">
        <v>98.0</v>
      </c>
      <c r="P214" s="2">
        <f t="shared" si="4"/>
        <v>13.775</v>
      </c>
      <c r="Q214" s="2">
        <v>7.0</v>
      </c>
      <c r="R214" s="2">
        <v>8.0</v>
      </c>
      <c r="S214" s="2">
        <v>12.0</v>
      </c>
      <c r="T214" s="2">
        <v>12.0</v>
      </c>
      <c r="U214" s="2">
        <v>14.0</v>
      </c>
      <c r="V214" s="2">
        <v>14.0</v>
      </c>
      <c r="W214" s="2">
        <v>19.0</v>
      </c>
      <c r="X214" s="2">
        <v>28.0</v>
      </c>
      <c r="Y214" s="2">
        <v>26.0</v>
      </c>
      <c r="Z214" s="2">
        <v>29.0</v>
      </c>
      <c r="AA214" s="2">
        <v>30.0</v>
      </c>
      <c r="AB214" s="2">
        <f t="shared" si="5"/>
        <v>9.95</v>
      </c>
      <c r="AC214" s="2">
        <v>50.0</v>
      </c>
      <c r="AD214" s="2">
        <v>340.0</v>
      </c>
      <c r="AE214" s="3">
        <f t="shared" si="6"/>
        <v>9.75</v>
      </c>
      <c r="AF214" s="4">
        <f t="shared" si="7"/>
        <v>84.03055556</v>
      </c>
    </row>
    <row r="215">
      <c r="A215" s="1" t="s">
        <v>659</v>
      </c>
      <c r="B215" s="1" t="s">
        <v>660</v>
      </c>
      <c r="C215" s="2" t="s">
        <v>661</v>
      </c>
      <c r="D215" s="2">
        <f>VLOOKUP(B215, 'ME-Subhashree'!$B$2:$F$56,5)</f>
        <v>35</v>
      </c>
      <c r="E215" s="2">
        <v>21.0</v>
      </c>
      <c r="F215" s="2">
        <f t="shared" si="1"/>
        <v>28</v>
      </c>
      <c r="G215" s="2">
        <v>4.0</v>
      </c>
      <c r="H215" s="2">
        <v>5.0</v>
      </c>
      <c r="I215" s="2">
        <v>20.0</v>
      </c>
      <c r="J215" s="3">
        <f t="shared" si="2"/>
        <v>4.472222222</v>
      </c>
      <c r="K215" s="2">
        <v>90.0</v>
      </c>
      <c r="L215" s="2">
        <v>175.0</v>
      </c>
      <c r="N215" s="3">
        <f t="shared" si="3"/>
        <v>175</v>
      </c>
      <c r="O215" s="2">
        <v>98.0</v>
      </c>
      <c r="P215" s="2">
        <f t="shared" si="4"/>
        <v>13.775</v>
      </c>
      <c r="Q215" s="2">
        <v>6.0</v>
      </c>
      <c r="R215" s="2">
        <v>2.0</v>
      </c>
      <c r="S215" s="2">
        <v>6.0</v>
      </c>
      <c r="T215" s="2">
        <v>5.0</v>
      </c>
      <c r="U215" s="2">
        <v>12.0</v>
      </c>
      <c r="V215" s="2">
        <v>13.0</v>
      </c>
      <c r="W215" s="2">
        <v>18.0</v>
      </c>
      <c r="X215" s="2">
        <v>25.0</v>
      </c>
      <c r="Y215" s="2">
        <v>28.0</v>
      </c>
      <c r="Z215" s="2">
        <v>30.0</v>
      </c>
      <c r="AA215" s="2">
        <v>28.0</v>
      </c>
      <c r="AB215" s="2">
        <f t="shared" si="5"/>
        <v>8.65</v>
      </c>
      <c r="AC215" s="2">
        <v>40.0</v>
      </c>
      <c r="AE215" s="3">
        <f t="shared" si="6"/>
        <v>1</v>
      </c>
      <c r="AF215" s="4">
        <f t="shared" si="7"/>
        <v>55.89722222</v>
      </c>
    </row>
    <row r="216">
      <c r="A216" s="1" t="s">
        <v>662</v>
      </c>
      <c r="B216" s="1" t="s">
        <v>663</v>
      </c>
      <c r="C216" s="2" t="s">
        <v>664</v>
      </c>
      <c r="D216" s="2">
        <f>VLOOKUP(B216, 'ME-Subhashree'!$B$2:$F$56,5)</f>
        <v>53</v>
      </c>
      <c r="E216" s="2">
        <v>33.0</v>
      </c>
      <c r="F216" s="2">
        <f t="shared" si="1"/>
        <v>43</v>
      </c>
      <c r="G216" s="2">
        <v>15.0</v>
      </c>
      <c r="H216" s="2">
        <v>19.0</v>
      </c>
      <c r="I216" s="2">
        <v>33.0</v>
      </c>
      <c r="J216" s="3">
        <f t="shared" si="2"/>
        <v>12.16666667</v>
      </c>
      <c r="K216" s="2">
        <v>100.0</v>
      </c>
      <c r="L216" s="2">
        <v>200.0</v>
      </c>
      <c r="N216" s="3">
        <f t="shared" si="3"/>
        <v>200</v>
      </c>
      <c r="O216" s="2">
        <v>91.0</v>
      </c>
      <c r="P216" s="2">
        <f t="shared" si="4"/>
        <v>14.55</v>
      </c>
      <c r="Q216" s="2">
        <v>7.0</v>
      </c>
      <c r="R216" s="2">
        <v>10.0</v>
      </c>
      <c r="S216" s="2">
        <v>15.0</v>
      </c>
      <c r="T216" s="2">
        <v>15.0</v>
      </c>
      <c r="U216" s="2">
        <v>15.0</v>
      </c>
      <c r="V216" s="2">
        <v>15.0</v>
      </c>
      <c r="W216" s="2">
        <v>20.0</v>
      </c>
      <c r="X216" s="2">
        <v>30.0</v>
      </c>
      <c r="Y216" s="2">
        <v>27.0</v>
      </c>
      <c r="Z216" s="2">
        <v>30.0</v>
      </c>
      <c r="AA216" s="2">
        <v>30.0</v>
      </c>
      <c r="AB216" s="2">
        <f t="shared" si="5"/>
        <v>10.7</v>
      </c>
      <c r="AC216" s="2">
        <v>40.0</v>
      </c>
      <c r="AD216" s="2">
        <v>340.0</v>
      </c>
      <c r="AE216" s="3">
        <f t="shared" si="6"/>
        <v>9.5</v>
      </c>
      <c r="AF216" s="4">
        <f t="shared" si="7"/>
        <v>89.91666667</v>
      </c>
    </row>
    <row r="217">
      <c r="A217" s="1" t="s">
        <v>665</v>
      </c>
      <c r="B217" s="1" t="s">
        <v>666</v>
      </c>
      <c r="C217" s="2" t="s">
        <v>667</v>
      </c>
      <c r="D217" s="2">
        <f>VLOOKUP(B217, 'ME-Subhashree'!$B$2:$F$56,5)</f>
        <v>40</v>
      </c>
      <c r="E217" s="2">
        <v>27.0</v>
      </c>
      <c r="F217" s="2">
        <f t="shared" si="1"/>
        <v>33.5</v>
      </c>
      <c r="G217" s="2">
        <v>9.0</v>
      </c>
      <c r="H217" s="2">
        <v>12.0</v>
      </c>
      <c r="I217" s="2">
        <v>31.0</v>
      </c>
      <c r="J217" s="3">
        <f t="shared" si="2"/>
        <v>8.694444444</v>
      </c>
      <c r="K217" s="2">
        <v>95.0</v>
      </c>
      <c r="L217" s="2">
        <v>180.0</v>
      </c>
      <c r="N217" s="3">
        <f t="shared" si="3"/>
        <v>180</v>
      </c>
      <c r="O217" s="2">
        <v>90.0</v>
      </c>
      <c r="P217" s="2">
        <f t="shared" si="4"/>
        <v>13.75</v>
      </c>
      <c r="Q217" s="2">
        <v>7.0</v>
      </c>
      <c r="R217" s="2">
        <v>3.0</v>
      </c>
      <c r="S217" s="2">
        <v>15.0</v>
      </c>
      <c r="T217" s="2">
        <v>14.0</v>
      </c>
      <c r="U217" s="2">
        <v>13.0</v>
      </c>
      <c r="V217" s="2">
        <v>15.0</v>
      </c>
      <c r="W217" s="2">
        <v>20.0</v>
      </c>
      <c r="X217" s="2">
        <v>28.0</v>
      </c>
      <c r="Y217" s="2">
        <v>28.0</v>
      </c>
      <c r="Z217" s="2">
        <v>29.0</v>
      </c>
      <c r="AA217" s="2">
        <v>29.0</v>
      </c>
      <c r="AB217" s="2">
        <f t="shared" si="5"/>
        <v>10.05</v>
      </c>
      <c r="AC217" s="2">
        <v>50.0</v>
      </c>
      <c r="AD217" s="2">
        <v>300.0</v>
      </c>
      <c r="AE217" s="3">
        <f t="shared" si="6"/>
        <v>8.75</v>
      </c>
      <c r="AF217" s="4">
        <f t="shared" si="7"/>
        <v>74.74444444</v>
      </c>
    </row>
    <row r="218">
      <c r="A218" s="1" t="s">
        <v>668</v>
      </c>
      <c r="B218" s="1" t="s">
        <v>669</v>
      </c>
      <c r="C218" s="2" t="s">
        <v>670</v>
      </c>
      <c r="D218" s="2">
        <f>VLOOKUP(B218, 'ME-Subhashree'!$B$2:$F$56,5)</f>
        <v>43</v>
      </c>
      <c r="E218" s="2">
        <v>36.0</v>
      </c>
      <c r="F218" s="2">
        <f t="shared" si="1"/>
        <v>39.5</v>
      </c>
      <c r="G218" s="2">
        <v>16.0</v>
      </c>
      <c r="H218" s="2">
        <v>20.0</v>
      </c>
      <c r="I218" s="2">
        <v>41.0</v>
      </c>
      <c r="J218" s="3">
        <f t="shared" si="2"/>
        <v>13.55555556</v>
      </c>
      <c r="K218" s="2">
        <v>95.0</v>
      </c>
      <c r="L218" s="2">
        <v>195.0</v>
      </c>
      <c r="N218" s="3">
        <f t="shared" si="3"/>
        <v>195</v>
      </c>
      <c r="O218" s="2">
        <v>100.0</v>
      </c>
      <c r="P218" s="2">
        <f t="shared" si="4"/>
        <v>14.625</v>
      </c>
      <c r="Q218" s="2">
        <v>7.0</v>
      </c>
      <c r="R218" s="2">
        <v>7.0</v>
      </c>
      <c r="S218" s="2">
        <v>9.0</v>
      </c>
      <c r="T218" s="2">
        <v>14.0</v>
      </c>
      <c r="U218" s="2">
        <v>15.0</v>
      </c>
      <c r="V218" s="2">
        <v>15.0</v>
      </c>
      <c r="W218" s="2">
        <v>18.0</v>
      </c>
      <c r="X218" s="2">
        <v>29.0</v>
      </c>
      <c r="Y218" s="2">
        <v>28.0</v>
      </c>
      <c r="Z218" s="2">
        <v>30.0</v>
      </c>
      <c r="AA218" s="2">
        <v>30.0</v>
      </c>
      <c r="AB218" s="2">
        <f t="shared" si="5"/>
        <v>10.1</v>
      </c>
      <c r="AC218" s="2">
        <v>50.0</v>
      </c>
      <c r="AD218" s="2">
        <v>300.0</v>
      </c>
      <c r="AE218" s="3">
        <f t="shared" si="6"/>
        <v>8.75</v>
      </c>
      <c r="AF218" s="4">
        <f t="shared" si="7"/>
        <v>86.53055556</v>
      </c>
    </row>
    <row r="219">
      <c r="A219" s="1" t="s">
        <v>671</v>
      </c>
      <c r="B219" s="1" t="s">
        <v>672</v>
      </c>
      <c r="C219" s="2" t="s">
        <v>673</v>
      </c>
      <c r="D219" s="2">
        <f>VLOOKUP(B219, 'ME-Subhashree'!$B$2:$F$56,5)</f>
        <v>46</v>
      </c>
      <c r="E219" s="2">
        <v>36.0</v>
      </c>
      <c r="F219" s="2">
        <f t="shared" si="1"/>
        <v>41</v>
      </c>
      <c r="G219" s="2">
        <v>16.0</v>
      </c>
      <c r="H219" s="2">
        <v>18.5</v>
      </c>
      <c r="I219" s="2">
        <v>34.0</v>
      </c>
      <c r="J219" s="3">
        <f t="shared" si="2"/>
        <v>12.40277778</v>
      </c>
      <c r="K219" s="2">
        <v>90.0</v>
      </c>
      <c r="L219" s="2">
        <v>200.0</v>
      </c>
      <c r="N219" s="3">
        <f t="shared" si="3"/>
        <v>200</v>
      </c>
      <c r="O219" s="2">
        <v>100.0</v>
      </c>
      <c r="P219" s="2">
        <f t="shared" si="4"/>
        <v>14.5</v>
      </c>
      <c r="Q219" s="2">
        <v>6.0</v>
      </c>
      <c r="R219" s="2">
        <v>10.0</v>
      </c>
      <c r="S219" s="2">
        <v>15.0</v>
      </c>
      <c r="T219" s="2">
        <v>10.0</v>
      </c>
      <c r="U219" s="2">
        <v>12.0</v>
      </c>
      <c r="V219" s="2">
        <v>15.0</v>
      </c>
      <c r="W219" s="2">
        <v>20.0</v>
      </c>
      <c r="X219" s="2">
        <v>30.0</v>
      </c>
      <c r="Y219" s="2">
        <v>28.0</v>
      </c>
      <c r="Z219" s="2">
        <v>30.0</v>
      </c>
      <c r="AA219" s="2">
        <v>30.0</v>
      </c>
      <c r="AB219" s="2">
        <f t="shared" si="5"/>
        <v>10.3</v>
      </c>
      <c r="AC219" s="2">
        <v>50.0</v>
      </c>
      <c r="AD219" s="2">
        <v>310.0</v>
      </c>
      <c r="AE219" s="3">
        <f t="shared" si="6"/>
        <v>9</v>
      </c>
      <c r="AF219" s="4">
        <f t="shared" si="7"/>
        <v>87.20277778</v>
      </c>
    </row>
    <row r="220">
      <c r="A220" s="1" t="s">
        <v>674</v>
      </c>
      <c r="B220" s="1" t="s">
        <v>675</v>
      </c>
      <c r="C220" s="2" t="s">
        <v>676</v>
      </c>
      <c r="D220" s="2">
        <f>VLOOKUP(B220, 'ME-Subhashree'!$B$2:$F$56,5)</f>
        <v>43</v>
      </c>
      <c r="E220" s="2">
        <v>22.0</v>
      </c>
      <c r="F220" s="2">
        <f t="shared" si="1"/>
        <v>32.5</v>
      </c>
      <c r="G220" s="2">
        <v>6.5</v>
      </c>
      <c r="H220" s="2">
        <v>15.0</v>
      </c>
      <c r="I220" s="2">
        <v>20.0</v>
      </c>
      <c r="J220" s="3">
        <f t="shared" si="2"/>
        <v>7.597222222</v>
      </c>
      <c r="K220" s="2">
        <v>85.0</v>
      </c>
      <c r="L220" s="2">
        <v>170.0</v>
      </c>
      <c r="M220" s="2">
        <v>190.0</v>
      </c>
      <c r="N220" s="3">
        <f t="shared" si="3"/>
        <v>190</v>
      </c>
      <c r="O220" s="2">
        <v>90.0</v>
      </c>
      <c r="P220" s="2">
        <f t="shared" si="4"/>
        <v>13.5</v>
      </c>
      <c r="Q220" s="2">
        <v>7.0</v>
      </c>
      <c r="R220" s="2">
        <v>5.0</v>
      </c>
      <c r="S220" s="2">
        <v>9.0</v>
      </c>
      <c r="T220" s="2">
        <v>0.0</v>
      </c>
      <c r="U220" s="2">
        <v>14.0</v>
      </c>
      <c r="V220" s="2">
        <v>15.0</v>
      </c>
      <c r="W220" s="2">
        <v>19.0</v>
      </c>
      <c r="X220" s="2">
        <v>22.0</v>
      </c>
      <c r="Y220" s="2">
        <v>24.0</v>
      </c>
      <c r="Z220" s="2">
        <v>28.0</v>
      </c>
      <c r="AA220" s="2">
        <v>28.0</v>
      </c>
      <c r="AB220" s="2">
        <f t="shared" si="5"/>
        <v>8.55</v>
      </c>
      <c r="AC220" s="2">
        <v>40.0</v>
      </c>
      <c r="AD220" s="2">
        <v>320.0</v>
      </c>
      <c r="AE220" s="3">
        <f t="shared" si="6"/>
        <v>9</v>
      </c>
      <c r="AF220" s="4">
        <f t="shared" si="7"/>
        <v>71.14722222</v>
      </c>
    </row>
    <row r="221">
      <c r="A221" s="1" t="s">
        <v>677</v>
      </c>
      <c r="B221" s="1" t="s">
        <v>678</v>
      </c>
      <c r="C221" s="2" t="s">
        <v>679</v>
      </c>
      <c r="D221" s="2">
        <f>VLOOKUP(B221, 'ME-Subhashree'!$B$2:$F$56,5)</f>
        <v>27</v>
      </c>
      <c r="E221" s="2">
        <v>14.0</v>
      </c>
      <c r="F221" s="2">
        <f t="shared" si="1"/>
        <v>20.5</v>
      </c>
      <c r="G221" s="2">
        <v>2.0</v>
      </c>
      <c r="H221" s="2">
        <v>6.0</v>
      </c>
      <c r="I221" s="2">
        <v>27.0</v>
      </c>
      <c r="J221" s="3">
        <f t="shared" si="2"/>
        <v>5</v>
      </c>
      <c r="K221" s="2">
        <v>80.0</v>
      </c>
      <c r="L221" s="2">
        <v>140.0</v>
      </c>
      <c r="N221" s="3">
        <f t="shared" si="3"/>
        <v>140</v>
      </c>
      <c r="O221" s="2">
        <v>80.0</v>
      </c>
      <c r="P221" s="2">
        <f t="shared" si="4"/>
        <v>11.5</v>
      </c>
      <c r="Q221" s="2">
        <v>0.0</v>
      </c>
      <c r="R221" s="2">
        <v>10.0</v>
      </c>
      <c r="S221" s="2">
        <v>9.0</v>
      </c>
      <c r="T221" s="2">
        <v>5.0</v>
      </c>
      <c r="U221" s="2">
        <v>15.0</v>
      </c>
      <c r="V221" s="2">
        <v>13.0</v>
      </c>
      <c r="W221" s="2">
        <v>16.0</v>
      </c>
      <c r="X221" s="2">
        <v>29.0</v>
      </c>
      <c r="Y221" s="2">
        <v>0.0</v>
      </c>
      <c r="Z221" s="2">
        <v>30.0</v>
      </c>
      <c r="AA221" s="2">
        <v>27.0</v>
      </c>
      <c r="AB221" s="2">
        <f t="shared" si="5"/>
        <v>7.7</v>
      </c>
      <c r="AC221" s="2">
        <v>0.0</v>
      </c>
      <c r="AD221" s="2">
        <v>250.0</v>
      </c>
      <c r="AE221" s="3">
        <f t="shared" si="6"/>
        <v>6.25</v>
      </c>
      <c r="AF221" s="4">
        <f t="shared" si="7"/>
        <v>50.95</v>
      </c>
    </row>
    <row r="222">
      <c r="A222" s="1" t="s">
        <v>680</v>
      </c>
      <c r="B222" s="1" t="s">
        <v>681</v>
      </c>
      <c r="C222" s="2" t="s">
        <v>682</v>
      </c>
      <c r="D222" s="2">
        <f>VLOOKUP(B222, 'ME-Subhashree'!$B$2:$F$56,5)</f>
        <v>41</v>
      </c>
      <c r="E222" s="2">
        <v>32.0</v>
      </c>
      <c r="F222" s="2">
        <f t="shared" si="1"/>
        <v>36.5</v>
      </c>
      <c r="G222" s="2">
        <v>9.0</v>
      </c>
      <c r="H222" s="2">
        <v>14.0</v>
      </c>
      <c r="I222" s="2">
        <v>36.0</v>
      </c>
      <c r="J222" s="3">
        <f t="shared" si="2"/>
        <v>9.75</v>
      </c>
      <c r="K222" s="2">
        <v>100.0</v>
      </c>
      <c r="L222" s="2">
        <v>190.0</v>
      </c>
      <c r="N222" s="3">
        <f t="shared" si="3"/>
        <v>190</v>
      </c>
      <c r="O222" s="2">
        <v>98.0</v>
      </c>
      <c r="P222" s="2">
        <f t="shared" si="4"/>
        <v>14.65</v>
      </c>
      <c r="Q222" s="2">
        <v>7.0</v>
      </c>
      <c r="R222" s="2">
        <v>8.0</v>
      </c>
      <c r="S222" s="2">
        <v>9.0</v>
      </c>
      <c r="T222" s="2">
        <v>15.0</v>
      </c>
      <c r="U222" s="2">
        <v>15.0</v>
      </c>
      <c r="V222" s="2">
        <v>14.0</v>
      </c>
      <c r="W222" s="2">
        <v>20.0</v>
      </c>
      <c r="X222" s="2">
        <v>29.0</v>
      </c>
      <c r="Y222" s="2">
        <v>27.0</v>
      </c>
      <c r="Z222" s="2">
        <v>29.0</v>
      </c>
      <c r="AA222" s="2">
        <v>28.0</v>
      </c>
      <c r="AB222" s="2">
        <f t="shared" si="5"/>
        <v>10.05</v>
      </c>
      <c r="AC222" s="2">
        <v>50.0</v>
      </c>
      <c r="AD222" s="2">
        <v>300.0</v>
      </c>
      <c r="AE222" s="3">
        <f t="shared" si="6"/>
        <v>8.75</v>
      </c>
      <c r="AF222" s="4">
        <f t="shared" si="7"/>
        <v>79.7</v>
      </c>
    </row>
    <row r="223">
      <c r="A223" s="1" t="s">
        <v>683</v>
      </c>
      <c r="B223" s="1" t="s">
        <v>684</v>
      </c>
      <c r="C223" s="2" t="s">
        <v>685</v>
      </c>
      <c r="D223" s="2">
        <f>VLOOKUP(B223, 'ME-Subhashree'!$B$2:$F$56,5)</f>
        <v>45</v>
      </c>
      <c r="E223" s="2">
        <v>24.0</v>
      </c>
      <c r="F223" s="2">
        <f t="shared" si="1"/>
        <v>34.5</v>
      </c>
      <c r="G223" s="2">
        <v>13.0</v>
      </c>
      <c r="H223" s="2">
        <v>13.0</v>
      </c>
      <c r="I223" s="2">
        <v>34.0</v>
      </c>
      <c r="J223" s="3">
        <f t="shared" si="2"/>
        <v>10.27777778</v>
      </c>
      <c r="K223" s="2">
        <v>100.0</v>
      </c>
      <c r="L223" s="2">
        <v>200.0</v>
      </c>
      <c r="N223" s="3">
        <f t="shared" si="3"/>
        <v>200</v>
      </c>
      <c r="O223" s="2">
        <v>95.0</v>
      </c>
      <c r="P223" s="2">
        <f t="shared" si="4"/>
        <v>14.75</v>
      </c>
      <c r="Q223" s="2">
        <v>7.0</v>
      </c>
      <c r="R223" s="2">
        <v>8.0</v>
      </c>
      <c r="S223" s="2">
        <v>9.0</v>
      </c>
      <c r="T223" s="2">
        <v>10.0</v>
      </c>
      <c r="U223" s="2">
        <v>15.0</v>
      </c>
      <c r="V223" s="2">
        <v>14.0</v>
      </c>
      <c r="W223" s="2">
        <v>19.0</v>
      </c>
      <c r="X223" s="2">
        <v>30.0</v>
      </c>
      <c r="Y223" s="2">
        <v>30.0</v>
      </c>
      <c r="Z223" s="2">
        <v>29.0</v>
      </c>
      <c r="AA223" s="2">
        <v>29.0</v>
      </c>
      <c r="AB223" s="2">
        <f t="shared" si="5"/>
        <v>10</v>
      </c>
      <c r="AC223" s="2">
        <v>50.0</v>
      </c>
      <c r="AD223" s="2">
        <v>300.0</v>
      </c>
      <c r="AE223" s="3">
        <f t="shared" si="6"/>
        <v>8.75</v>
      </c>
      <c r="AF223" s="4">
        <f t="shared" si="7"/>
        <v>78.27777778</v>
      </c>
    </row>
    <row r="224">
      <c r="A224" s="1" t="s">
        <v>686</v>
      </c>
      <c r="B224" s="1" t="s">
        <v>687</v>
      </c>
      <c r="C224" s="2" t="s">
        <v>688</v>
      </c>
      <c r="D224" s="2">
        <f>VLOOKUP(B224, 'ME-Subhashree'!$B$2:$F$56,5)</f>
        <v>24</v>
      </c>
      <c r="E224" s="2">
        <v>15.0</v>
      </c>
      <c r="F224" s="2">
        <f t="shared" si="1"/>
        <v>19.5</v>
      </c>
      <c r="G224" s="2">
        <v>2.0</v>
      </c>
      <c r="H224" s="2">
        <v>9.5</v>
      </c>
      <c r="I224" s="2">
        <v>18.0</v>
      </c>
      <c r="J224" s="3">
        <f t="shared" si="2"/>
        <v>4.875</v>
      </c>
      <c r="K224" s="2">
        <v>80.0</v>
      </c>
      <c r="L224" s="2">
        <v>155.0</v>
      </c>
      <c r="N224" s="3">
        <f t="shared" si="3"/>
        <v>155</v>
      </c>
      <c r="O224" s="2">
        <v>98.0</v>
      </c>
      <c r="P224" s="2">
        <f t="shared" si="4"/>
        <v>12.775</v>
      </c>
      <c r="Q224" s="2">
        <v>5.0</v>
      </c>
      <c r="R224" s="2">
        <v>5.0</v>
      </c>
      <c r="S224" s="2">
        <v>12.0</v>
      </c>
      <c r="T224" s="2">
        <v>12.0</v>
      </c>
      <c r="U224" s="2">
        <v>15.0</v>
      </c>
      <c r="V224" s="2">
        <v>12.0</v>
      </c>
      <c r="W224" s="2">
        <v>20.0</v>
      </c>
      <c r="X224" s="2">
        <v>22.0</v>
      </c>
      <c r="Y224" s="2">
        <v>17.0</v>
      </c>
      <c r="Z224" s="2">
        <v>29.0</v>
      </c>
      <c r="AA224" s="2">
        <v>28.0</v>
      </c>
      <c r="AB224" s="2">
        <f t="shared" si="5"/>
        <v>8.85</v>
      </c>
      <c r="AC224" s="2">
        <v>50.0</v>
      </c>
      <c r="AD224" s="2">
        <v>250.0</v>
      </c>
      <c r="AE224" s="3">
        <f t="shared" si="6"/>
        <v>7.5</v>
      </c>
      <c r="AF224" s="4">
        <f t="shared" si="7"/>
        <v>53.5</v>
      </c>
    </row>
    <row r="225">
      <c r="A225" s="1" t="s">
        <v>689</v>
      </c>
      <c r="B225" s="1" t="s">
        <v>690</v>
      </c>
      <c r="C225" s="2" t="s">
        <v>691</v>
      </c>
      <c r="D225" s="2">
        <f>VLOOKUP(B225, 'ME-Subhashree'!$B$2:$F$56,5)</f>
        <v>25</v>
      </c>
      <c r="E225" s="2">
        <v>13.0</v>
      </c>
      <c r="F225" s="2">
        <f t="shared" si="1"/>
        <v>19</v>
      </c>
      <c r="G225" s="2">
        <v>6.0</v>
      </c>
      <c r="H225" s="2">
        <v>13.0</v>
      </c>
      <c r="I225" s="2">
        <v>36.0</v>
      </c>
      <c r="J225" s="3">
        <f t="shared" si="2"/>
        <v>8.75</v>
      </c>
      <c r="K225" s="2">
        <v>100.0</v>
      </c>
      <c r="L225" s="2">
        <v>200.0</v>
      </c>
      <c r="N225" s="3">
        <f t="shared" si="3"/>
        <v>200</v>
      </c>
      <c r="O225" s="2">
        <v>80.0</v>
      </c>
      <c r="P225" s="2">
        <f t="shared" si="4"/>
        <v>14</v>
      </c>
      <c r="Q225" s="2">
        <v>0.0</v>
      </c>
      <c r="R225" s="2">
        <v>8.0</v>
      </c>
      <c r="S225" s="2">
        <v>15.0</v>
      </c>
      <c r="T225" s="2">
        <v>12.0</v>
      </c>
      <c r="U225" s="2">
        <v>15.0</v>
      </c>
      <c r="V225" s="2">
        <v>10.0</v>
      </c>
      <c r="W225" s="2">
        <v>20.0</v>
      </c>
      <c r="X225" s="2">
        <v>30.0</v>
      </c>
      <c r="Y225" s="2">
        <v>30.0</v>
      </c>
      <c r="Z225" s="2">
        <v>30.0</v>
      </c>
      <c r="AA225" s="2">
        <v>29.0</v>
      </c>
      <c r="AB225" s="2">
        <f t="shared" si="5"/>
        <v>9.95</v>
      </c>
      <c r="AC225" s="2">
        <v>50.0</v>
      </c>
      <c r="AD225" s="2">
        <v>340.0</v>
      </c>
      <c r="AE225" s="3">
        <f t="shared" si="6"/>
        <v>9.75</v>
      </c>
      <c r="AF225" s="4">
        <f t="shared" si="7"/>
        <v>61.45</v>
      </c>
    </row>
    <row r="226">
      <c r="A226" s="1" t="s">
        <v>692</v>
      </c>
      <c r="B226" s="1" t="s">
        <v>693</v>
      </c>
      <c r="C226" s="2" t="s">
        <v>694</v>
      </c>
      <c r="D226" s="2">
        <f>VLOOKUP(B226, 'ME-Subhashree'!$B$2:$F$56,5)</f>
        <v>37</v>
      </c>
      <c r="E226" s="2">
        <v>27.0</v>
      </c>
      <c r="F226" s="2">
        <f t="shared" si="1"/>
        <v>32</v>
      </c>
      <c r="G226" s="2">
        <v>14.0</v>
      </c>
      <c r="H226" s="2">
        <v>12.5</v>
      </c>
      <c r="I226" s="2">
        <v>25.0</v>
      </c>
      <c r="J226" s="3">
        <f t="shared" si="2"/>
        <v>9.402777778</v>
      </c>
      <c r="K226" s="2">
        <v>100.0</v>
      </c>
      <c r="L226" s="2">
        <v>200.0</v>
      </c>
      <c r="N226" s="3">
        <f t="shared" si="3"/>
        <v>200</v>
      </c>
      <c r="O226" s="2">
        <v>80.0</v>
      </c>
      <c r="P226" s="2">
        <f t="shared" si="4"/>
        <v>14</v>
      </c>
      <c r="Q226" s="2">
        <v>7.0</v>
      </c>
      <c r="R226" s="2">
        <v>10.0</v>
      </c>
      <c r="S226" s="2">
        <v>10.0</v>
      </c>
      <c r="T226" s="2">
        <v>10.0</v>
      </c>
      <c r="U226" s="2">
        <v>15.0</v>
      </c>
      <c r="V226" s="2">
        <v>15.0</v>
      </c>
      <c r="W226" s="2">
        <v>20.0</v>
      </c>
      <c r="X226" s="2">
        <v>25.0</v>
      </c>
      <c r="Y226" s="2">
        <v>30.0</v>
      </c>
      <c r="Z226" s="2">
        <v>29.0</v>
      </c>
      <c r="AA226" s="2">
        <v>29.0</v>
      </c>
      <c r="AB226" s="2">
        <f t="shared" si="5"/>
        <v>10</v>
      </c>
      <c r="AC226" s="2">
        <v>30.0</v>
      </c>
      <c r="AD226" s="2">
        <v>320.0</v>
      </c>
      <c r="AE226" s="3">
        <f t="shared" si="6"/>
        <v>8.75</v>
      </c>
      <c r="AF226" s="4">
        <f t="shared" si="7"/>
        <v>74.15277778</v>
      </c>
    </row>
    <row r="227">
      <c r="A227" s="1" t="s">
        <v>695</v>
      </c>
      <c r="B227" s="1" t="s">
        <v>696</v>
      </c>
      <c r="C227" s="2" t="s">
        <v>697</v>
      </c>
      <c r="D227" s="2">
        <f>VLOOKUP(B227, 'ME-Subhashree'!$B$2:$F$56,5)</f>
        <v>5</v>
      </c>
      <c r="E227" s="2">
        <v>7.0</v>
      </c>
      <c r="F227" s="2">
        <f t="shared" si="1"/>
        <v>6</v>
      </c>
      <c r="G227" s="2">
        <v>5.0</v>
      </c>
      <c r="H227" s="2">
        <v>0.0</v>
      </c>
      <c r="I227" s="2">
        <v>40.0</v>
      </c>
      <c r="J227" s="3">
        <f t="shared" si="2"/>
        <v>5.694444444</v>
      </c>
      <c r="K227" s="2">
        <v>100.0</v>
      </c>
      <c r="L227" s="2">
        <v>125.0</v>
      </c>
      <c r="N227" s="3">
        <f t="shared" si="3"/>
        <v>125</v>
      </c>
      <c r="O227" s="2">
        <v>0.0</v>
      </c>
      <c r="P227" s="2">
        <f t="shared" si="4"/>
        <v>8.125</v>
      </c>
      <c r="Q227" s="2">
        <v>7.0</v>
      </c>
      <c r="R227" s="2">
        <v>7.0</v>
      </c>
      <c r="S227" s="2">
        <v>15.0</v>
      </c>
      <c r="T227" s="2">
        <v>15.0</v>
      </c>
      <c r="U227" s="2">
        <v>15.0</v>
      </c>
      <c r="V227" s="2">
        <v>13.0</v>
      </c>
      <c r="W227" s="2">
        <v>20.0</v>
      </c>
      <c r="X227" s="2">
        <v>0.0</v>
      </c>
      <c r="Y227" s="2">
        <v>0.0</v>
      </c>
      <c r="Z227" s="2">
        <v>29.0</v>
      </c>
      <c r="AA227" s="2">
        <v>27.0</v>
      </c>
      <c r="AB227" s="2">
        <f t="shared" si="5"/>
        <v>7.4</v>
      </c>
      <c r="AC227" s="2">
        <v>50.0</v>
      </c>
      <c r="AD227" s="2">
        <v>320.0</v>
      </c>
      <c r="AE227" s="3">
        <f t="shared" si="6"/>
        <v>9.25</v>
      </c>
      <c r="AF227" s="4">
        <f t="shared" si="7"/>
        <v>36.46944444</v>
      </c>
    </row>
    <row r="228">
      <c r="A228" s="1" t="s">
        <v>698</v>
      </c>
      <c r="B228" s="1" t="s">
        <v>699</v>
      </c>
      <c r="C228" s="2" t="s">
        <v>700</v>
      </c>
      <c r="D228" s="2">
        <f>VLOOKUP(B228, 'ME-Subhashree'!$B$2:$F$56,5)</f>
        <v>27</v>
      </c>
      <c r="E228" s="2">
        <v>21.0</v>
      </c>
      <c r="F228" s="2">
        <f t="shared" si="1"/>
        <v>24</v>
      </c>
      <c r="G228" s="2">
        <v>7.0</v>
      </c>
      <c r="H228" s="2">
        <v>10.0</v>
      </c>
      <c r="I228" s="2">
        <v>29.0</v>
      </c>
      <c r="J228" s="3">
        <f t="shared" si="2"/>
        <v>7.472222222</v>
      </c>
      <c r="K228" s="2">
        <v>80.0</v>
      </c>
      <c r="L228" s="2">
        <v>150.0</v>
      </c>
      <c r="N228" s="3">
        <f t="shared" si="3"/>
        <v>150</v>
      </c>
      <c r="O228" s="2">
        <v>0.0</v>
      </c>
      <c r="P228" s="2">
        <f t="shared" si="4"/>
        <v>7.75</v>
      </c>
      <c r="Q228" s="2">
        <v>6.0</v>
      </c>
      <c r="R228" s="2">
        <v>5.0</v>
      </c>
      <c r="S228" s="2">
        <v>14.0</v>
      </c>
      <c r="T228" s="2">
        <v>10.0</v>
      </c>
      <c r="U228" s="2">
        <v>15.0</v>
      </c>
      <c r="V228" s="2">
        <v>14.0</v>
      </c>
      <c r="W228" s="2">
        <v>20.0</v>
      </c>
      <c r="X228" s="2">
        <v>30.0</v>
      </c>
      <c r="Y228" s="2">
        <v>28.0</v>
      </c>
      <c r="Z228" s="2">
        <v>27.0</v>
      </c>
      <c r="AA228" s="2">
        <v>29.0</v>
      </c>
      <c r="AB228" s="2">
        <f t="shared" si="5"/>
        <v>9.9</v>
      </c>
      <c r="AC228" s="2">
        <v>50.0</v>
      </c>
      <c r="AD228" s="2">
        <v>50.0</v>
      </c>
      <c r="AE228" s="3">
        <f t="shared" si="6"/>
        <v>2.5</v>
      </c>
      <c r="AF228" s="4">
        <f t="shared" si="7"/>
        <v>51.62222222</v>
      </c>
    </row>
    <row r="229">
      <c r="A229" s="1" t="s">
        <v>701</v>
      </c>
      <c r="B229" s="1" t="s">
        <v>702</v>
      </c>
      <c r="C229" s="2" t="s">
        <v>703</v>
      </c>
      <c r="D229" s="2">
        <f>VLOOKUP(B229, 'ME-Subhashree'!$B$2:$F$56,5)</f>
        <v>32</v>
      </c>
      <c r="E229" s="2">
        <v>20.0</v>
      </c>
      <c r="F229" s="2">
        <f t="shared" si="1"/>
        <v>26</v>
      </c>
      <c r="G229" s="2">
        <v>3.0</v>
      </c>
      <c r="H229" s="2">
        <v>2.0</v>
      </c>
      <c r="I229" s="2">
        <v>16.0</v>
      </c>
      <c r="J229" s="3">
        <f t="shared" si="2"/>
        <v>3.027777778</v>
      </c>
      <c r="K229" s="2">
        <v>100.0</v>
      </c>
      <c r="M229" s="2">
        <v>170.0</v>
      </c>
      <c r="N229" s="3">
        <f t="shared" si="3"/>
        <v>170</v>
      </c>
      <c r="O229" s="2">
        <v>0.0</v>
      </c>
      <c r="P229" s="2">
        <f t="shared" si="4"/>
        <v>9.25</v>
      </c>
      <c r="Q229" s="2">
        <v>7.0</v>
      </c>
      <c r="R229" s="2">
        <v>1.0</v>
      </c>
      <c r="S229" s="2">
        <v>15.0</v>
      </c>
      <c r="T229" s="2">
        <v>10.0</v>
      </c>
      <c r="U229" s="2">
        <v>15.0</v>
      </c>
      <c r="V229" s="2">
        <v>13.0</v>
      </c>
      <c r="W229" s="2">
        <v>20.0</v>
      </c>
      <c r="X229" s="2">
        <v>0.0</v>
      </c>
      <c r="Y229" s="2">
        <v>0.0</v>
      </c>
      <c r="Z229" s="2">
        <v>30.0</v>
      </c>
      <c r="AA229" s="2">
        <v>27.0</v>
      </c>
      <c r="AB229" s="2">
        <f t="shared" si="5"/>
        <v>6.9</v>
      </c>
      <c r="AC229" s="2">
        <v>0.0</v>
      </c>
      <c r="AD229" s="2">
        <v>330.0</v>
      </c>
      <c r="AE229" s="3">
        <f t="shared" si="6"/>
        <v>8.25</v>
      </c>
      <c r="AF229" s="4">
        <f t="shared" si="7"/>
        <v>53.42777778</v>
      </c>
    </row>
    <row r="230">
      <c r="A230" s="1" t="s">
        <v>704</v>
      </c>
      <c r="B230" s="1" t="s">
        <v>705</v>
      </c>
      <c r="C230" s="2" t="s">
        <v>706</v>
      </c>
      <c r="D230" s="2">
        <f>VLOOKUP(B230, 'ME-Subhashree'!$B$2:$F$56,5)</f>
        <v>31</v>
      </c>
      <c r="E230" s="2">
        <v>19.0</v>
      </c>
      <c r="F230" s="2">
        <f t="shared" si="1"/>
        <v>25</v>
      </c>
      <c r="G230" s="2">
        <v>8.0</v>
      </c>
      <c r="H230" s="2">
        <v>16.0</v>
      </c>
      <c r="I230" s="2">
        <v>16.0</v>
      </c>
      <c r="J230" s="3">
        <f t="shared" si="2"/>
        <v>7.777777778</v>
      </c>
      <c r="K230" s="2">
        <v>100.0</v>
      </c>
      <c r="L230" s="2">
        <v>180.0</v>
      </c>
      <c r="M230" s="2">
        <v>160.0</v>
      </c>
      <c r="N230" s="3">
        <f t="shared" si="3"/>
        <v>180</v>
      </c>
      <c r="O230" s="2">
        <v>100.0</v>
      </c>
      <c r="P230" s="2">
        <f t="shared" si="4"/>
        <v>14.5</v>
      </c>
      <c r="Q230" s="2">
        <v>7.0</v>
      </c>
      <c r="R230" s="2">
        <v>4.0</v>
      </c>
      <c r="S230" s="2">
        <v>12.0</v>
      </c>
      <c r="T230" s="2">
        <v>15.0</v>
      </c>
      <c r="U230" s="2">
        <v>15.0</v>
      </c>
      <c r="V230" s="2">
        <v>14.0</v>
      </c>
      <c r="W230" s="2">
        <v>20.0</v>
      </c>
      <c r="X230" s="2">
        <v>30.0</v>
      </c>
      <c r="Y230" s="2">
        <v>30.0</v>
      </c>
      <c r="Z230" s="2">
        <v>29.0</v>
      </c>
      <c r="AA230" s="2">
        <v>29.0</v>
      </c>
      <c r="AB230" s="2">
        <f t="shared" si="5"/>
        <v>10.25</v>
      </c>
      <c r="AC230" s="2">
        <v>30.0</v>
      </c>
      <c r="AD230" s="2">
        <v>340.0</v>
      </c>
      <c r="AE230" s="3">
        <f t="shared" si="6"/>
        <v>9.25</v>
      </c>
      <c r="AF230" s="4">
        <f t="shared" si="7"/>
        <v>66.77777778</v>
      </c>
    </row>
    <row r="231">
      <c r="A231" s="1" t="s">
        <v>707</v>
      </c>
      <c r="B231" s="1" t="s">
        <v>708</v>
      </c>
      <c r="C231" s="2" t="s">
        <v>709</v>
      </c>
      <c r="D231" s="2">
        <f>VLOOKUP(B231, 'ME-Subhashree'!$B$2:$F$56,5)</f>
        <v>40</v>
      </c>
      <c r="E231" s="2">
        <v>34.0</v>
      </c>
      <c r="F231" s="2">
        <f t="shared" si="1"/>
        <v>37</v>
      </c>
      <c r="G231" s="2">
        <v>9.0</v>
      </c>
      <c r="H231" s="2">
        <v>18.5</v>
      </c>
      <c r="I231" s="2">
        <v>45.0</v>
      </c>
      <c r="J231" s="3">
        <f t="shared" si="2"/>
        <v>11.875</v>
      </c>
      <c r="K231" s="2">
        <v>100.0</v>
      </c>
      <c r="L231" s="2">
        <v>200.0</v>
      </c>
      <c r="N231" s="3">
        <f t="shared" si="3"/>
        <v>200</v>
      </c>
      <c r="O231" s="2">
        <v>100.0</v>
      </c>
      <c r="P231" s="2">
        <f t="shared" si="4"/>
        <v>15</v>
      </c>
      <c r="Q231" s="2">
        <v>7.0</v>
      </c>
      <c r="R231" s="2">
        <v>10.0</v>
      </c>
      <c r="S231" s="2">
        <v>15.0</v>
      </c>
      <c r="T231" s="2">
        <v>15.0</v>
      </c>
      <c r="U231" s="2">
        <v>15.0</v>
      </c>
      <c r="V231" s="2">
        <v>15.0</v>
      </c>
      <c r="W231" s="2">
        <v>20.0</v>
      </c>
      <c r="X231" s="2">
        <v>30.0</v>
      </c>
      <c r="Y231" s="2">
        <v>30.0</v>
      </c>
      <c r="Z231" s="2">
        <v>30.0</v>
      </c>
      <c r="AA231" s="2">
        <v>30.0</v>
      </c>
      <c r="AB231" s="2">
        <f t="shared" si="5"/>
        <v>10.85</v>
      </c>
      <c r="AC231" s="2">
        <v>20.0</v>
      </c>
      <c r="AD231" s="2">
        <v>330.0</v>
      </c>
      <c r="AE231" s="3">
        <f t="shared" si="6"/>
        <v>8.75</v>
      </c>
      <c r="AF231" s="4">
        <f t="shared" si="7"/>
        <v>83.475</v>
      </c>
    </row>
    <row r="232">
      <c r="A232" s="1" t="s">
        <v>710</v>
      </c>
      <c r="B232" s="1" t="s">
        <v>711</v>
      </c>
      <c r="C232" s="2" t="s">
        <v>712</v>
      </c>
      <c r="D232" s="2">
        <f>VLOOKUP(B232, 'ME-Subhashree'!$B$2:$F$56,5)</f>
        <v>39</v>
      </c>
      <c r="E232" s="2">
        <v>21.0</v>
      </c>
      <c r="F232" s="2">
        <f t="shared" si="1"/>
        <v>30</v>
      </c>
      <c r="G232" s="2">
        <v>9.0</v>
      </c>
      <c r="H232" s="2">
        <v>8.0</v>
      </c>
      <c r="I232" s="2">
        <v>16.0</v>
      </c>
      <c r="J232" s="3">
        <f t="shared" si="2"/>
        <v>6.027777778</v>
      </c>
      <c r="K232" s="2">
        <v>100.0</v>
      </c>
      <c r="L232" s="2">
        <v>150.0</v>
      </c>
      <c r="N232" s="3">
        <f t="shared" si="3"/>
        <v>150</v>
      </c>
      <c r="O232" s="2">
        <v>100.0</v>
      </c>
      <c r="P232" s="2">
        <f t="shared" si="4"/>
        <v>13.75</v>
      </c>
      <c r="Q232" s="2">
        <v>4.0</v>
      </c>
      <c r="R232" s="2">
        <v>2.0</v>
      </c>
      <c r="S232" s="2">
        <v>12.0</v>
      </c>
      <c r="T232" s="2">
        <v>15.0</v>
      </c>
      <c r="U232" s="2">
        <v>15.0</v>
      </c>
      <c r="V232" s="2">
        <v>10.0</v>
      </c>
      <c r="W232" s="2">
        <v>20.0</v>
      </c>
      <c r="X232" s="2">
        <v>30.0</v>
      </c>
      <c r="Y232" s="2">
        <v>30.0</v>
      </c>
      <c r="Z232" s="2">
        <v>29.0</v>
      </c>
      <c r="AA232" s="2">
        <v>29.0</v>
      </c>
      <c r="AB232" s="2">
        <f t="shared" si="5"/>
        <v>9.8</v>
      </c>
      <c r="AC232" s="2">
        <v>50.0</v>
      </c>
      <c r="AD232" s="2">
        <v>340.0</v>
      </c>
      <c r="AE232" s="3">
        <f t="shared" si="6"/>
        <v>9.75</v>
      </c>
      <c r="AF232" s="4">
        <f t="shared" si="7"/>
        <v>69.32777778</v>
      </c>
    </row>
    <row r="233">
      <c r="A233" s="1" t="s">
        <v>713</v>
      </c>
      <c r="B233" s="1" t="s">
        <v>714</v>
      </c>
      <c r="C233" s="2" t="s">
        <v>715</v>
      </c>
      <c r="D233" s="2">
        <f>VLOOKUP(B233, 'ME-Subhashree'!$B$2:$F$56,5)</f>
        <v>35</v>
      </c>
      <c r="E233" s="2">
        <v>30.0</v>
      </c>
      <c r="F233" s="2">
        <f t="shared" si="1"/>
        <v>32.5</v>
      </c>
      <c r="G233" s="2">
        <v>9.0</v>
      </c>
      <c r="H233" s="2">
        <v>17.0</v>
      </c>
      <c r="I233" s="2">
        <v>45.0</v>
      </c>
      <c r="J233" s="3">
        <f t="shared" si="2"/>
        <v>11.5</v>
      </c>
      <c r="K233" s="2">
        <v>100.0</v>
      </c>
      <c r="L233" s="2">
        <v>150.0</v>
      </c>
      <c r="N233" s="3">
        <f t="shared" si="3"/>
        <v>150</v>
      </c>
      <c r="O233" s="2">
        <v>100.0</v>
      </c>
      <c r="P233" s="2">
        <f t="shared" si="4"/>
        <v>13.75</v>
      </c>
      <c r="Q233" s="2">
        <v>7.0</v>
      </c>
      <c r="R233" s="2">
        <v>5.0</v>
      </c>
      <c r="S233" s="2">
        <v>13.0</v>
      </c>
      <c r="T233" s="2">
        <v>10.0</v>
      </c>
      <c r="U233" s="2">
        <v>15.0</v>
      </c>
      <c r="V233" s="2">
        <v>15.0</v>
      </c>
      <c r="W233" s="2">
        <v>20.0</v>
      </c>
      <c r="X233" s="2">
        <v>30.0</v>
      </c>
      <c r="Y233" s="2">
        <v>30.0</v>
      </c>
      <c r="Z233" s="2">
        <v>29.0</v>
      </c>
      <c r="AA233" s="2">
        <v>28.0</v>
      </c>
      <c r="AB233" s="2">
        <f t="shared" si="5"/>
        <v>10.1</v>
      </c>
      <c r="AC233" s="2">
        <v>30.0</v>
      </c>
      <c r="AD233" s="2">
        <v>340.0</v>
      </c>
      <c r="AE233" s="3">
        <f t="shared" si="6"/>
        <v>9.25</v>
      </c>
      <c r="AF233" s="4">
        <f t="shared" si="7"/>
        <v>77.1</v>
      </c>
    </row>
    <row r="234">
      <c r="A234" s="1" t="s">
        <v>716</v>
      </c>
      <c r="B234" s="1" t="s">
        <v>717</v>
      </c>
      <c r="C234" s="2" t="s">
        <v>718</v>
      </c>
      <c r="D234" s="2">
        <f>VLOOKUP(B234, 'ME-Subhashree'!$B$2:$F$56,5)</f>
        <v>39</v>
      </c>
      <c r="E234" s="2">
        <v>28.0</v>
      </c>
      <c r="F234" s="2">
        <f t="shared" si="1"/>
        <v>33.5</v>
      </c>
      <c r="G234" s="2">
        <v>7.0</v>
      </c>
      <c r="H234" s="2">
        <v>15.5</v>
      </c>
      <c r="I234" s="2">
        <v>29.0</v>
      </c>
      <c r="J234" s="3">
        <f t="shared" si="2"/>
        <v>8.847222222</v>
      </c>
      <c r="K234" s="2">
        <v>100.0</v>
      </c>
      <c r="L234" s="2">
        <v>200.0</v>
      </c>
      <c r="N234" s="3">
        <f t="shared" si="3"/>
        <v>200</v>
      </c>
      <c r="O234" s="2">
        <v>80.0</v>
      </c>
      <c r="P234" s="2">
        <f t="shared" si="4"/>
        <v>14</v>
      </c>
      <c r="Q234" s="2">
        <v>7.0</v>
      </c>
      <c r="R234" s="2">
        <v>4.0</v>
      </c>
      <c r="S234" s="2">
        <v>15.0</v>
      </c>
      <c r="T234" s="2">
        <v>15.0</v>
      </c>
      <c r="U234" s="2">
        <v>15.0</v>
      </c>
      <c r="V234" s="2">
        <v>15.0</v>
      </c>
      <c r="W234" s="2">
        <v>20.0</v>
      </c>
      <c r="X234" s="2">
        <v>25.0</v>
      </c>
      <c r="Y234" s="2">
        <v>30.0</v>
      </c>
      <c r="Z234" s="2">
        <v>29.0</v>
      </c>
      <c r="AA234" s="2">
        <v>27.0</v>
      </c>
      <c r="AB234" s="2">
        <f t="shared" si="5"/>
        <v>10.1</v>
      </c>
      <c r="AC234" s="2">
        <v>30.0</v>
      </c>
      <c r="AD234" s="2">
        <v>330.0</v>
      </c>
      <c r="AE234" s="3">
        <f t="shared" si="6"/>
        <v>9</v>
      </c>
      <c r="AF234" s="4">
        <f t="shared" si="7"/>
        <v>75.44722222</v>
      </c>
    </row>
    <row r="235">
      <c r="A235" s="1" t="s">
        <v>719</v>
      </c>
      <c r="B235" s="1" t="s">
        <v>720</v>
      </c>
      <c r="C235" s="2" t="s">
        <v>721</v>
      </c>
      <c r="D235" s="2">
        <f>VLOOKUP(B235, 'ME-Subhashree'!$B$2:$F$56,5)</f>
        <v>38</v>
      </c>
      <c r="E235" s="2">
        <v>19.0</v>
      </c>
      <c r="F235" s="2">
        <f t="shared" si="1"/>
        <v>28.5</v>
      </c>
      <c r="G235" s="2">
        <v>8.5</v>
      </c>
      <c r="H235" s="2">
        <v>15.5</v>
      </c>
      <c r="I235" s="2">
        <v>31.0</v>
      </c>
      <c r="J235" s="3">
        <f t="shared" si="2"/>
        <v>9.444444444</v>
      </c>
      <c r="K235" s="2">
        <v>100.0</v>
      </c>
      <c r="L235" s="2">
        <v>150.0</v>
      </c>
      <c r="N235" s="3">
        <f t="shared" si="3"/>
        <v>150</v>
      </c>
      <c r="O235" s="2">
        <v>100.0</v>
      </c>
      <c r="P235" s="2">
        <f t="shared" si="4"/>
        <v>13.75</v>
      </c>
      <c r="Q235" s="2">
        <v>7.0</v>
      </c>
      <c r="R235" s="2">
        <v>5.0</v>
      </c>
      <c r="S235" s="2">
        <v>12.0</v>
      </c>
      <c r="T235" s="2">
        <v>15.0</v>
      </c>
      <c r="U235" s="2">
        <v>15.0</v>
      </c>
      <c r="V235" s="2">
        <v>15.0</v>
      </c>
      <c r="W235" s="2">
        <v>20.0</v>
      </c>
      <c r="X235" s="2">
        <v>30.0</v>
      </c>
      <c r="Y235" s="2">
        <v>30.0</v>
      </c>
      <c r="Z235" s="2">
        <v>29.0</v>
      </c>
      <c r="AA235" s="2">
        <v>29.0</v>
      </c>
      <c r="AB235" s="2">
        <f t="shared" si="5"/>
        <v>10.35</v>
      </c>
      <c r="AC235" s="2">
        <v>30.0</v>
      </c>
      <c r="AD235" s="2">
        <v>340.0</v>
      </c>
      <c r="AE235" s="3">
        <f t="shared" si="6"/>
        <v>9.25</v>
      </c>
      <c r="AF235" s="4">
        <f t="shared" si="7"/>
        <v>71.29444444</v>
      </c>
    </row>
    <row r="236">
      <c r="A236" s="1" t="s">
        <v>722</v>
      </c>
      <c r="B236" s="1" t="s">
        <v>723</v>
      </c>
      <c r="C236" s="2" t="s">
        <v>724</v>
      </c>
      <c r="D236" s="2">
        <f>VLOOKUP(B236, 'ME-Subhashree'!$B$2:$F$56,5)</f>
        <v>39</v>
      </c>
      <c r="E236" s="2">
        <v>31.0</v>
      </c>
      <c r="F236" s="2">
        <f t="shared" si="1"/>
        <v>35</v>
      </c>
      <c r="G236" s="2">
        <v>11.0</v>
      </c>
      <c r="H236" s="2">
        <v>20.0</v>
      </c>
      <c r="I236" s="2">
        <v>45.0</v>
      </c>
      <c r="J236" s="3">
        <f t="shared" si="2"/>
        <v>12.75</v>
      </c>
      <c r="K236" s="2">
        <v>100.0</v>
      </c>
      <c r="L236" s="2">
        <v>200.0</v>
      </c>
      <c r="N236" s="3">
        <f t="shared" si="3"/>
        <v>200</v>
      </c>
      <c r="O236" s="2">
        <v>100.0</v>
      </c>
      <c r="P236" s="2">
        <f t="shared" si="4"/>
        <v>15</v>
      </c>
      <c r="Q236" s="2">
        <v>7.0</v>
      </c>
      <c r="R236" s="2">
        <v>8.0</v>
      </c>
      <c r="S236" s="2">
        <v>12.0</v>
      </c>
      <c r="T236" s="2">
        <v>15.0</v>
      </c>
      <c r="U236" s="2">
        <v>15.0</v>
      </c>
      <c r="V236" s="2">
        <v>15.0</v>
      </c>
      <c r="W236" s="2">
        <v>20.0</v>
      </c>
      <c r="X236" s="2">
        <v>25.0</v>
      </c>
      <c r="Y236" s="2">
        <v>30.0</v>
      </c>
      <c r="Z236" s="2">
        <v>30.0</v>
      </c>
      <c r="AA236" s="2">
        <v>30.0</v>
      </c>
      <c r="AB236" s="2">
        <f t="shared" si="5"/>
        <v>10.35</v>
      </c>
      <c r="AC236" s="2">
        <v>50.0</v>
      </c>
      <c r="AD236" s="2">
        <v>330.0</v>
      </c>
      <c r="AE236" s="3">
        <f t="shared" si="6"/>
        <v>9.5</v>
      </c>
      <c r="AF236" s="4">
        <f t="shared" si="7"/>
        <v>82.6</v>
      </c>
    </row>
    <row r="237">
      <c r="A237" s="1" t="s">
        <v>725</v>
      </c>
      <c r="B237" s="1" t="s">
        <v>726</v>
      </c>
      <c r="C237" s="2" t="s">
        <v>727</v>
      </c>
      <c r="D237" s="2">
        <f>VLOOKUP(B237, 'ME-Subhashree'!$B$2:$F$56,5)</f>
        <v>40</v>
      </c>
      <c r="E237" s="2">
        <v>25.0</v>
      </c>
      <c r="F237" s="2">
        <f t="shared" si="1"/>
        <v>32.5</v>
      </c>
      <c r="G237" s="2">
        <v>8.0</v>
      </c>
      <c r="H237" s="2">
        <v>18.0</v>
      </c>
      <c r="I237" s="2">
        <v>34.0</v>
      </c>
      <c r="J237" s="3">
        <f t="shared" si="2"/>
        <v>10.27777778</v>
      </c>
      <c r="K237" s="2">
        <v>100.0</v>
      </c>
      <c r="L237" s="2">
        <v>150.0</v>
      </c>
      <c r="N237" s="3">
        <f t="shared" si="3"/>
        <v>150</v>
      </c>
      <c r="O237" s="2">
        <v>100.0</v>
      </c>
      <c r="P237" s="2">
        <f t="shared" si="4"/>
        <v>13.75</v>
      </c>
      <c r="Q237" s="2">
        <v>7.0</v>
      </c>
      <c r="R237" s="2">
        <v>9.0</v>
      </c>
      <c r="S237" s="2">
        <v>10.0</v>
      </c>
      <c r="T237" s="2">
        <v>10.0</v>
      </c>
      <c r="U237" s="2">
        <v>15.0</v>
      </c>
      <c r="V237" s="2">
        <v>15.0</v>
      </c>
      <c r="W237" s="2">
        <v>20.0</v>
      </c>
      <c r="X237" s="2">
        <v>29.0</v>
      </c>
      <c r="Y237" s="2">
        <v>25.0</v>
      </c>
      <c r="Z237" s="2">
        <v>28.0</v>
      </c>
      <c r="AA237" s="2">
        <v>28.0</v>
      </c>
      <c r="AB237" s="2">
        <f t="shared" si="5"/>
        <v>9.8</v>
      </c>
      <c r="AC237" s="2">
        <v>0.0</v>
      </c>
      <c r="AD237" s="2">
        <v>320.0</v>
      </c>
      <c r="AE237" s="3">
        <f t="shared" si="6"/>
        <v>8</v>
      </c>
      <c r="AF237" s="4">
        <f t="shared" si="7"/>
        <v>74.32777778</v>
      </c>
    </row>
    <row r="238">
      <c r="A238" s="1" t="s">
        <v>728</v>
      </c>
      <c r="B238" s="1" t="s">
        <v>729</v>
      </c>
      <c r="C238" s="2" t="s">
        <v>730</v>
      </c>
      <c r="D238" s="2">
        <f>VLOOKUP(B238, 'ME-Subhashree'!$B$2:$F$56,5)</f>
        <v>29</v>
      </c>
      <c r="E238" s="2">
        <v>27.0</v>
      </c>
      <c r="F238" s="2">
        <f t="shared" si="1"/>
        <v>28</v>
      </c>
      <c r="G238" s="2">
        <v>9.0</v>
      </c>
      <c r="H238" s="2">
        <v>17.0</v>
      </c>
      <c r="I238" s="2">
        <v>39.0</v>
      </c>
      <c r="J238" s="3">
        <f t="shared" si="2"/>
        <v>10.83333333</v>
      </c>
      <c r="K238" s="2">
        <v>100.0</v>
      </c>
      <c r="L238" s="2">
        <v>200.0</v>
      </c>
      <c r="N238" s="3">
        <f t="shared" si="3"/>
        <v>200</v>
      </c>
      <c r="O238" s="2">
        <v>100.0</v>
      </c>
      <c r="P238" s="2">
        <f t="shared" si="4"/>
        <v>15</v>
      </c>
      <c r="Q238" s="2">
        <v>6.0</v>
      </c>
      <c r="R238" s="2">
        <v>7.0</v>
      </c>
      <c r="S238" s="2">
        <v>11.0</v>
      </c>
      <c r="T238" s="2">
        <v>10.0</v>
      </c>
      <c r="U238" s="2">
        <v>15.0</v>
      </c>
      <c r="V238" s="2">
        <v>15.0</v>
      </c>
      <c r="W238" s="2">
        <v>20.0</v>
      </c>
      <c r="X238" s="2">
        <v>30.0</v>
      </c>
      <c r="Y238" s="2">
        <v>30.0</v>
      </c>
      <c r="Z238" s="2">
        <v>30.0</v>
      </c>
      <c r="AA238" s="2">
        <v>30.0</v>
      </c>
      <c r="AB238" s="2">
        <f t="shared" si="5"/>
        <v>10.2</v>
      </c>
      <c r="AC238" s="2">
        <v>40.0</v>
      </c>
      <c r="AD238" s="2">
        <v>330.0</v>
      </c>
      <c r="AE238" s="3">
        <f t="shared" si="6"/>
        <v>9.25</v>
      </c>
      <c r="AF238" s="4">
        <f t="shared" si="7"/>
        <v>73.28333333</v>
      </c>
    </row>
    <row r="239">
      <c r="A239" s="1" t="s">
        <v>731</v>
      </c>
      <c r="B239" s="1" t="s">
        <v>732</v>
      </c>
      <c r="C239" s="2" t="s">
        <v>733</v>
      </c>
      <c r="D239" s="2">
        <f>VLOOKUP(B239, 'ME-Subhashree'!$B$2:$F$56,5)</f>
        <v>38</v>
      </c>
      <c r="E239" s="2">
        <v>32.0</v>
      </c>
      <c r="F239" s="2">
        <f t="shared" si="1"/>
        <v>35</v>
      </c>
      <c r="G239" s="2">
        <v>4.0</v>
      </c>
      <c r="H239" s="2">
        <v>11.5</v>
      </c>
      <c r="I239" s="2">
        <v>23.0</v>
      </c>
      <c r="J239" s="3">
        <f t="shared" si="2"/>
        <v>6.430555556</v>
      </c>
      <c r="K239" s="2">
        <v>100.0</v>
      </c>
      <c r="L239" s="2">
        <v>170.0</v>
      </c>
      <c r="M239" s="2">
        <v>180.0</v>
      </c>
      <c r="N239" s="3">
        <f t="shared" si="3"/>
        <v>180</v>
      </c>
      <c r="O239" s="2">
        <v>100.0</v>
      </c>
      <c r="P239" s="2">
        <f t="shared" si="4"/>
        <v>14.5</v>
      </c>
      <c r="Q239" s="2">
        <v>7.0</v>
      </c>
      <c r="R239" s="2">
        <v>9.0</v>
      </c>
      <c r="S239" s="2">
        <v>12.0</v>
      </c>
      <c r="T239" s="2">
        <v>15.0</v>
      </c>
      <c r="U239" s="2">
        <v>15.0</v>
      </c>
      <c r="V239" s="2">
        <v>12.0</v>
      </c>
      <c r="W239" s="2">
        <v>20.0</v>
      </c>
      <c r="X239" s="2">
        <v>30.0</v>
      </c>
      <c r="Y239" s="2">
        <v>28.0</v>
      </c>
      <c r="Z239" s="2">
        <v>29.0</v>
      </c>
      <c r="AA239" s="2">
        <v>28.0</v>
      </c>
      <c r="AB239" s="2">
        <f t="shared" si="5"/>
        <v>10.25</v>
      </c>
      <c r="AC239" s="2">
        <v>30.0</v>
      </c>
      <c r="AD239" s="2">
        <v>340.0</v>
      </c>
      <c r="AE239" s="3">
        <f t="shared" si="6"/>
        <v>9.25</v>
      </c>
      <c r="AF239" s="4">
        <f t="shared" si="7"/>
        <v>75.43055556</v>
      </c>
    </row>
    <row r="240">
      <c r="A240" s="1" t="s">
        <v>734</v>
      </c>
      <c r="B240" s="1" t="s">
        <v>735</v>
      </c>
      <c r="C240" s="2" t="s">
        <v>736</v>
      </c>
      <c r="D240" s="2">
        <f>VLOOKUP(B240, 'ME-Subhashree'!$B$2:$F$56,5)</f>
        <v>28</v>
      </c>
      <c r="E240" s="2">
        <v>16.0</v>
      </c>
      <c r="F240" s="2">
        <f t="shared" si="1"/>
        <v>22</v>
      </c>
      <c r="G240" s="2">
        <v>5.0</v>
      </c>
      <c r="H240" s="2">
        <v>2.0</v>
      </c>
      <c r="I240" s="2">
        <v>9.0</v>
      </c>
      <c r="J240" s="3">
        <f t="shared" si="2"/>
        <v>2.75</v>
      </c>
      <c r="K240" s="2">
        <v>50.0</v>
      </c>
      <c r="L240" s="2">
        <v>125.0</v>
      </c>
      <c r="N240" s="3">
        <f t="shared" si="3"/>
        <v>125</v>
      </c>
      <c r="O240" s="2">
        <v>100.0</v>
      </c>
      <c r="P240" s="2">
        <f t="shared" si="4"/>
        <v>10.625</v>
      </c>
      <c r="Q240" s="2">
        <v>6.0</v>
      </c>
      <c r="R240" s="2">
        <v>5.0</v>
      </c>
      <c r="S240" s="2">
        <v>12.0</v>
      </c>
      <c r="T240" s="2">
        <v>12.0</v>
      </c>
      <c r="U240" s="2">
        <v>12.0</v>
      </c>
      <c r="V240" s="2">
        <v>11.0</v>
      </c>
      <c r="W240" s="2">
        <v>20.0</v>
      </c>
      <c r="X240" s="2">
        <v>30.0</v>
      </c>
      <c r="Y240" s="2">
        <v>28.0</v>
      </c>
      <c r="AA240" s="2">
        <v>29.0</v>
      </c>
      <c r="AB240" s="2">
        <f t="shared" si="5"/>
        <v>8.25</v>
      </c>
      <c r="AC240" s="2">
        <v>30.0</v>
      </c>
      <c r="AD240" s="2">
        <v>300.0</v>
      </c>
      <c r="AE240" s="3">
        <f t="shared" si="6"/>
        <v>8.25</v>
      </c>
      <c r="AF240" s="4">
        <f t="shared" si="7"/>
        <v>51.875</v>
      </c>
    </row>
    <row r="241">
      <c r="A241" s="1" t="s">
        <v>737</v>
      </c>
      <c r="B241" s="1" t="s">
        <v>738</v>
      </c>
      <c r="C241" s="2" t="s">
        <v>739</v>
      </c>
      <c r="D241" s="2">
        <f>VLOOKUP(B241, 'ME-Subhashree'!$B$2:$F$56,5)</f>
        <v>29</v>
      </c>
      <c r="E241" s="2">
        <v>23.0</v>
      </c>
      <c r="F241" s="2">
        <f t="shared" si="1"/>
        <v>26</v>
      </c>
      <c r="G241" s="2">
        <v>3.0</v>
      </c>
      <c r="H241" s="2">
        <v>7.0</v>
      </c>
      <c r="I241" s="2">
        <v>24.0</v>
      </c>
      <c r="J241" s="3">
        <f t="shared" si="2"/>
        <v>5.166666667</v>
      </c>
      <c r="K241" s="2">
        <v>100.0</v>
      </c>
      <c r="L241" s="2">
        <v>150.0</v>
      </c>
      <c r="N241" s="3">
        <f t="shared" si="3"/>
        <v>150</v>
      </c>
      <c r="O241" s="2">
        <v>100.0</v>
      </c>
      <c r="P241" s="2">
        <f t="shared" si="4"/>
        <v>13.75</v>
      </c>
      <c r="Q241" s="2">
        <v>0.0</v>
      </c>
      <c r="R241" s="2">
        <v>6.0</v>
      </c>
      <c r="S241" s="2">
        <v>15.0</v>
      </c>
      <c r="T241" s="2">
        <v>10.0</v>
      </c>
      <c r="U241" s="2">
        <v>15.0</v>
      </c>
      <c r="V241" s="2">
        <v>15.0</v>
      </c>
      <c r="W241" s="2">
        <v>20.0</v>
      </c>
      <c r="X241" s="2">
        <v>30.0</v>
      </c>
      <c r="Y241" s="2">
        <v>30.0</v>
      </c>
      <c r="Z241" s="2">
        <v>28.0</v>
      </c>
      <c r="AA241" s="2">
        <v>28.0</v>
      </c>
      <c r="AB241" s="2">
        <f t="shared" si="5"/>
        <v>9.85</v>
      </c>
      <c r="AC241" s="2">
        <v>30.0</v>
      </c>
      <c r="AD241" s="2">
        <v>300.0</v>
      </c>
      <c r="AE241" s="3">
        <f t="shared" si="6"/>
        <v>8.25</v>
      </c>
      <c r="AF241" s="4">
        <f t="shared" si="7"/>
        <v>63.01666667</v>
      </c>
    </row>
    <row r="242">
      <c r="A242" s="1" t="s">
        <v>740</v>
      </c>
      <c r="B242" s="1" t="s">
        <v>741</v>
      </c>
      <c r="C242" s="2" t="s">
        <v>742</v>
      </c>
      <c r="D242" s="2">
        <f>VLOOKUP(B242, 'ME-Subhashree'!$B$2:$F$56,5)</f>
        <v>6</v>
      </c>
      <c r="E242" s="2">
        <v>6.0</v>
      </c>
      <c r="F242" s="2">
        <f t="shared" si="1"/>
        <v>6</v>
      </c>
      <c r="G242" s="2">
        <v>3.0</v>
      </c>
      <c r="H242" s="2">
        <v>1.0</v>
      </c>
      <c r="I242" s="2">
        <v>40.0</v>
      </c>
      <c r="J242" s="3">
        <f t="shared" si="2"/>
        <v>5.444444444</v>
      </c>
      <c r="K242" s="2">
        <v>100.0</v>
      </c>
      <c r="L242" s="2">
        <v>100.0</v>
      </c>
      <c r="N242" s="3">
        <f t="shared" si="3"/>
        <v>100</v>
      </c>
      <c r="O242" s="2">
        <v>100.0</v>
      </c>
      <c r="P242" s="2">
        <f t="shared" si="4"/>
        <v>12.5</v>
      </c>
      <c r="Q242" s="2">
        <v>6.0</v>
      </c>
      <c r="R242" s="2">
        <v>4.0</v>
      </c>
      <c r="S242" s="2">
        <v>10.0</v>
      </c>
      <c r="T242" s="2">
        <v>10.0</v>
      </c>
      <c r="U242" s="2">
        <v>15.0</v>
      </c>
      <c r="V242" s="2">
        <v>15.0</v>
      </c>
      <c r="W242" s="2">
        <v>20.0</v>
      </c>
      <c r="X242" s="2">
        <v>30.0</v>
      </c>
      <c r="Y242" s="2">
        <v>30.0</v>
      </c>
      <c r="AA242" s="2">
        <v>28.0</v>
      </c>
      <c r="AB242" s="2">
        <f t="shared" si="5"/>
        <v>8.4</v>
      </c>
      <c r="AC242" s="2">
        <v>40.0</v>
      </c>
      <c r="AD242" s="2">
        <v>330.0</v>
      </c>
      <c r="AE242" s="3">
        <f t="shared" si="6"/>
        <v>9.25</v>
      </c>
      <c r="AF242" s="4">
        <f t="shared" si="7"/>
        <v>41.59444444</v>
      </c>
    </row>
    <row r="243">
      <c r="A243" s="1" t="s">
        <v>743</v>
      </c>
      <c r="B243" s="1" t="s">
        <v>744</v>
      </c>
      <c r="C243" s="2" t="s">
        <v>745</v>
      </c>
      <c r="D243" s="2">
        <f>VLOOKUP(B243, 'ME-Subhashree'!$B$2:$F$56,5)</f>
        <v>38</v>
      </c>
      <c r="E243" s="2">
        <v>25.0</v>
      </c>
      <c r="F243" s="2">
        <f t="shared" si="1"/>
        <v>31.5</v>
      </c>
      <c r="G243" s="2">
        <v>8.0</v>
      </c>
      <c r="H243" s="2">
        <v>5.5</v>
      </c>
      <c r="I243" s="2">
        <v>42.0</v>
      </c>
      <c r="J243" s="3">
        <f t="shared" si="2"/>
        <v>8.041666667</v>
      </c>
      <c r="K243" s="2">
        <v>100.0</v>
      </c>
      <c r="L243" s="2">
        <v>125.0</v>
      </c>
      <c r="N243" s="3">
        <f t="shared" si="3"/>
        <v>125</v>
      </c>
      <c r="O243" s="2">
        <v>100.0</v>
      </c>
      <c r="P243" s="2">
        <f t="shared" si="4"/>
        <v>13.125</v>
      </c>
      <c r="Q243" s="2">
        <v>6.0</v>
      </c>
      <c r="R243" s="2">
        <v>6.0</v>
      </c>
      <c r="S243" s="2">
        <v>12.0</v>
      </c>
      <c r="T243" s="2">
        <v>12.0</v>
      </c>
      <c r="U243" s="2">
        <v>15.0</v>
      </c>
      <c r="V243" s="2">
        <v>15.0</v>
      </c>
      <c r="W243" s="2">
        <v>20.0</v>
      </c>
      <c r="X243" s="2">
        <v>30.0</v>
      </c>
      <c r="Y243" s="2">
        <v>30.0</v>
      </c>
      <c r="Z243" s="2">
        <v>28.0</v>
      </c>
      <c r="AB243" s="2">
        <f t="shared" si="5"/>
        <v>8.7</v>
      </c>
      <c r="AC243" s="2">
        <v>30.0</v>
      </c>
      <c r="AD243" s="2">
        <v>340.0</v>
      </c>
      <c r="AE243" s="3">
        <f t="shared" si="6"/>
        <v>9.25</v>
      </c>
      <c r="AF243" s="4">
        <f t="shared" si="7"/>
        <v>70.61666667</v>
      </c>
    </row>
    <row r="244">
      <c r="A244" s="1" t="s">
        <v>746</v>
      </c>
      <c r="B244" s="1" t="s">
        <v>747</v>
      </c>
      <c r="C244" s="2" t="s">
        <v>748</v>
      </c>
      <c r="D244" s="2">
        <f>VLOOKUP(B244, 'ME-Subhashree'!$B$2:$F$56,5)</f>
        <v>26</v>
      </c>
      <c r="E244" s="2">
        <v>34.0</v>
      </c>
      <c r="F244" s="2">
        <f t="shared" si="1"/>
        <v>30</v>
      </c>
      <c r="G244" s="2">
        <v>9.0</v>
      </c>
      <c r="H244" s="2">
        <v>7.5</v>
      </c>
      <c r="I244" s="2">
        <v>14.0</v>
      </c>
      <c r="J244" s="3">
        <f t="shared" si="2"/>
        <v>5.680555556</v>
      </c>
      <c r="K244" s="2">
        <v>90.0</v>
      </c>
      <c r="L244" s="2">
        <v>175.0</v>
      </c>
      <c r="N244" s="3">
        <f t="shared" si="3"/>
        <v>175</v>
      </c>
      <c r="P244" s="2">
        <f t="shared" si="4"/>
        <v>8.875</v>
      </c>
      <c r="Q244" s="2">
        <v>7.0</v>
      </c>
      <c r="R244" s="2">
        <v>7.0</v>
      </c>
      <c r="S244" s="2">
        <v>12.0</v>
      </c>
      <c r="T244" s="2">
        <v>10.0</v>
      </c>
      <c r="U244" s="2">
        <v>14.0</v>
      </c>
      <c r="V244" s="2">
        <v>13.5</v>
      </c>
      <c r="W244" s="2">
        <v>19.5</v>
      </c>
      <c r="X244" s="2">
        <v>27.58</v>
      </c>
      <c r="Y244" s="2">
        <v>27.11</v>
      </c>
      <c r="Z244" s="2">
        <v>29.0</v>
      </c>
      <c r="AA244" s="2">
        <v>28.0</v>
      </c>
      <c r="AB244" s="2">
        <f t="shared" si="5"/>
        <v>9.7345</v>
      </c>
      <c r="AC244" s="2">
        <v>43.0</v>
      </c>
      <c r="AD244" s="2">
        <v>345.0</v>
      </c>
      <c r="AE244" s="3">
        <f t="shared" si="6"/>
        <v>9.7</v>
      </c>
      <c r="AF244" s="4">
        <f t="shared" si="7"/>
        <v>63.99005556</v>
      </c>
    </row>
    <row r="245">
      <c r="A245" s="1" t="s">
        <v>749</v>
      </c>
      <c r="B245" s="1" t="s">
        <v>750</v>
      </c>
      <c r="C245" s="2" t="s">
        <v>751</v>
      </c>
      <c r="D245" s="2">
        <f>VLOOKUP(B245, 'ME-Subhashree'!$B$2:$F$56,5)</f>
        <v>27</v>
      </c>
      <c r="E245" s="2">
        <v>29.0</v>
      </c>
      <c r="F245" s="2">
        <f t="shared" si="1"/>
        <v>28</v>
      </c>
      <c r="G245" s="2">
        <v>5.0</v>
      </c>
      <c r="H245" s="2">
        <v>6.0</v>
      </c>
      <c r="I245" s="2">
        <v>14.0</v>
      </c>
      <c r="J245" s="3">
        <f t="shared" si="2"/>
        <v>4.305555556</v>
      </c>
      <c r="K245" s="2">
        <v>70.0</v>
      </c>
      <c r="L245" s="2">
        <v>179.0</v>
      </c>
      <c r="N245" s="3">
        <f t="shared" si="3"/>
        <v>179</v>
      </c>
      <c r="P245" s="2">
        <f t="shared" si="4"/>
        <v>7.975</v>
      </c>
      <c r="Q245" s="2">
        <v>7.0</v>
      </c>
      <c r="R245" s="2">
        <v>7.0</v>
      </c>
      <c r="S245" s="2">
        <v>10.0</v>
      </c>
      <c r="T245" s="2">
        <v>10.0</v>
      </c>
      <c r="V245" s="2">
        <v>13.0</v>
      </c>
      <c r="W245" s="2">
        <v>17.0</v>
      </c>
      <c r="AB245" s="2">
        <f t="shared" si="5"/>
        <v>3.2</v>
      </c>
      <c r="AE245" s="3">
        <f t="shared" si="6"/>
        <v>0</v>
      </c>
      <c r="AF245" s="4">
        <f t="shared" si="7"/>
        <v>43.48055556</v>
      </c>
    </row>
    <row r="246">
      <c r="A246" s="1" t="s">
        <v>752</v>
      </c>
      <c r="B246" s="1" t="s">
        <v>753</v>
      </c>
      <c r="C246" s="2" t="s">
        <v>754</v>
      </c>
      <c r="D246" s="2">
        <f>VLOOKUP(B246, 'ME-Subhashree'!$B$2:$F$56,5)</f>
        <v>40</v>
      </c>
      <c r="E246" s="2">
        <v>30.0</v>
      </c>
      <c r="F246" s="2">
        <f t="shared" si="1"/>
        <v>35</v>
      </c>
      <c r="G246" s="2">
        <v>8.0</v>
      </c>
      <c r="H246" s="2">
        <v>11.5</v>
      </c>
      <c r="I246" s="2">
        <v>33.0</v>
      </c>
      <c r="J246" s="3">
        <f t="shared" si="2"/>
        <v>8.541666667</v>
      </c>
      <c r="K246" s="2">
        <v>100.0</v>
      </c>
      <c r="L246" s="2">
        <v>180.0</v>
      </c>
      <c r="N246" s="3">
        <f t="shared" si="3"/>
        <v>180</v>
      </c>
      <c r="O246" s="2">
        <v>94.0</v>
      </c>
      <c r="P246" s="2">
        <f t="shared" si="4"/>
        <v>14.2</v>
      </c>
      <c r="Q246" s="2">
        <v>6.0</v>
      </c>
      <c r="R246" s="2">
        <v>5.0</v>
      </c>
      <c r="S246" s="2">
        <v>12.0</v>
      </c>
      <c r="T246" s="2">
        <v>15.0</v>
      </c>
      <c r="U246" s="2">
        <v>13.0</v>
      </c>
      <c r="V246" s="2">
        <v>14.0</v>
      </c>
      <c r="W246" s="2">
        <v>20.0</v>
      </c>
      <c r="X246" s="2">
        <v>29.69</v>
      </c>
      <c r="Y246" s="2">
        <v>27.89</v>
      </c>
      <c r="Z246" s="2">
        <v>29.0</v>
      </c>
      <c r="AA246" s="2">
        <v>30.0</v>
      </c>
      <c r="AB246" s="2">
        <f t="shared" si="5"/>
        <v>10.079</v>
      </c>
      <c r="AC246" s="2">
        <v>43.0</v>
      </c>
      <c r="AD246" s="2">
        <v>330.0</v>
      </c>
      <c r="AE246" s="3">
        <f t="shared" si="6"/>
        <v>9.325</v>
      </c>
      <c r="AF246" s="4">
        <f t="shared" si="7"/>
        <v>77.14566667</v>
      </c>
    </row>
    <row r="247">
      <c r="A247" s="1" t="s">
        <v>755</v>
      </c>
      <c r="B247" s="1" t="s">
        <v>756</v>
      </c>
      <c r="C247" s="2" t="s">
        <v>757</v>
      </c>
      <c r="D247" s="2">
        <f>VLOOKUP(B247, 'ME-Subhashree'!$B$2:$F$56,5)</f>
        <v>44</v>
      </c>
      <c r="E247" s="2">
        <v>31.0</v>
      </c>
      <c r="F247" s="2">
        <f t="shared" si="1"/>
        <v>37.5</v>
      </c>
      <c r="G247" s="2">
        <v>7.0</v>
      </c>
      <c r="H247" s="2">
        <v>18.0</v>
      </c>
      <c r="I247" s="2">
        <v>28.0</v>
      </c>
      <c r="J247" s="3">
        <f t="shared" si="2"/>
        <v>9.361111111</v>
      </c>
      <c r="K247" s="2">
        <v>95.0</v>
      </c>
      <c r="L247" s="2">
        <v>185.0</v>
      </c>
      <c r="N247" s="3">
        <f t="shared" si="3"/>
        <v>185</v>
      </c>
      <c r="O247" s="2">
        <v>91.0</v>
      </c>
      <c r="P247" s="2">
        <f t="shared" si="4"/>
        <v>13.925</v>
      </c>
      <c r="Q247" s="2">
        <v>7.0</v>
      </c>
      <c r="R247" s="2">
        <v>10.0</v>
      </c>
      <c r="S247" s="2">
        <v>13.0</v>
      </c>
      <c r="T247" s="2">
        <v>13.0</v>
      </c>
      <c r="U247" s="2">
        <v>15.0</v>
      </c>
      <c r="V247" s="2">
        <v>12.5</v>
      </c>
      <c r="W247" s="2">
        <v>20.0</v>
      </c>
      <c r="X247" s="2">
        <v>28.12</v>
      </c>
      <c r="Y247" s="2">
        <v>28.42</v>
      </c>
      <c r="Z247" s="2">
        <v>29.0</v>
      </c>
      <c r="AA247" s="2">
        <v>28.0</v>
      </c>
      <c r="AB247" s="2">
        <f t="shared" si="5"/>
        <v>10.202</v>
      </c>
      <c r="AC247" s="2">
        <v>48.0</v>
      </c>
      <c r="AD247" s="2">
        <v>340.0</v>
      </c>
      <c r="AE247" s="3">
        <f t="shared" si="6"/>
        <v>9.7</v>
      </c>
      <c r="AF247" s="4">
        <f t="shared" si="7"/>
        <v>80.68811111</v>
      </c>
    </row>
    <row r="248">
      <c r="A248" s="1" t="s">
        <v>758</v>
      </c>
      <c r="B248" s="1" t="s">
        <v>759</v>
      </c>
      <c r="C248" s="2" t="s">
        <v>760</v>
      </c>
      <c r="D248" s="2">
        <f>VLOOKUP(B248, 'ME-Subhashree'!$B$2:$F$56,5)</f>
        <v>42</v>
      </c>
      <c r="E248" s="2">
        <v>26.0</v>
      </c>
      <c r="F248" s="2">
        <f t="shared" si="1"/>
        <v>34</v>
      </c>
      <c r="G248" s="2">
        <v>9.0</v>
      </c>
      <c r="H248" s="2">
        <v>15.0</v>
      </c>
      <c r="I248" s="2">
        <v>27.0</v>
      </c>
      <c r="J248" s="3">
        <f t="shared" si="2"/>
        <v>9</v>
      </c>
      <c r="K248" s="2">
        <v>80.0</v>
      </c>
      <c r="L248" s="2">
        <v>200.0</v>
      </c>
      <c r="N248" s="3">
        <f t="shared" si="3"/>
        <v>200</v>
      </c>
      <c r="O248" s="2">
        <v>93.0</v>
      </c>
      <c r="P248" s="2">
        <f t="shared" si="4"/>
        <v>13.65</v>
      </c>
      <c r="Q248" s="2">
        <v>7.0</v>
      </c>
      <c r="R248" s="2">
        <v>6.0</v>
      </c>
      <c r="S248" s="2">
        <v>7.0</v>
      </c>
      <c r="T248" s="2">
        <v>10.0</v>
      </c>
      <c r="U248" s="2">
        <v>14.5</v>
      </c>
      <c r="V248" s="2">
        <v>13.0</v>
      </c>
      <c r="W248" s="2">
        <v>20.0</v>
      </c>
      <c r="X248" s="2">
        <v>25.31</v>
      </c>
      <c r="Y248" s="2">
        <v>25.0</v>
      </c>
      <c r="Z248" s="2">
        <v>29.0</v>
      </c>
      <c r="AA248" s="2">
        <v>28.0</v>
      </c>
      <c r="AB248" s="2">
        <f t="shared" si="5"/>
        <v>9.2405</v>
      </c>
      <c r="AC248" s="2">
        <v>50.0</v>
      </c>
      <c r="AD248" s="2">
        <v>345.0</v>
      </c>
      <c r="AE248" s="3">
        <f t="shared" si="6"/>
        <v>9.875</v>
      </c>
      <c r="AF248" s="4">
        <f t="shared" si="7"/>
        <v>75.7655</v>
      </c>
    </row>
    <row r="249">
      <c r="A249" s="1" t="s">
        <v>761</v>
      </c>
      <c r="B249" s="1" t="s">
        <v>762</v>
      </c>
      <c r="C249" s="2" t="s">
        <v>763</v>
      </c>
      <c r="D249" s="2">
        <f>VLOOKUP(B249, 'ME-Subhashree'!$B$2:$F$56,5)</f>
        <v>29</v>
      </c>
      <c r="E249" s="2">
        <v>29.0</v>
      </c>
      <c r="F249" s="2">
        <f t="shared" si="1"/>
        <v>29</v>
      </c>
      <c r="G249" s="2">
        <v>10.0</v>
      </c>
      <c r="H249" s="2">
        <v>13.0</v>
      </c>
      <c r="I249" s="2">
        <v>33.0</v>
      </c>
      <c r="J249" s="3">
        <f t="shared" si="2"/>
        <v>9.416666667</v>
      </c>
      <c r="K249" s="2">
        <v>87.0</v>
      </c>
      <c r="L249" s="2">
        <v>190.0</v>
      </c>
      <c r="N249" s="3">
        <f t="shared" si="3"/>
        <v>190</v>
      </c>
      <c r="O249" s="2">
        <v>95.0</v>
      </c>
      <c r="P249" s="2">
        <f t="shared" si="4"/>
        <v>13.85</v>
      </c>
      <c r="Q249" s="2">
        <v>7.0</v>
      </c>
      <c r="R249" s="2">
        <v>6.0</v>
      </c>
      <c r="S249" s="2">
        <v>14.0</v>
      </c>
      <c r="T249" s="2">
        <v>11.0</v>
      </c>
      <c r="U249" s="2">
        <v>13.0</v>
      </c>
      <c r="V249" s="2">
        <v>13.0</v>
      </c>
      <c r="W249" s="2">
        <v>20.0</v>
      </c>
      <c r="X249" s="2">
        <v>25.62</v>
      </c>
      <c r="Y249" s="2">
        <v>29.74</v>
      </c>
      <c r="Z249" s="2">
        <v>29.0</v>
      </c>
      <c r="AA249" s="2">
        <v>29.0</v>
      </c>
      <c r="AB249" s="2">
        <f t="shared" si="5"/>
        <v>9.868</v>
      </c>
      <c r="AC249" s="2">
        <v>0.0</v>
      </c>
      <c r="AD249" s="2">
        <v>340.0</v>
      </c>
      <c r="AE249" s="3">
        <f t="shared" si="6"/>
        <v>8.5</v>
      </c>
      <c r="AF249" s="4">
        <f t="shared" si="7"/>
        <v>70.63466667</v>
      </c>
    </row>
    <row r="250">
      <c r="A250" s="1" t="s">
        <v>764</v>
      </c>
      <c r="B250" s="1" t="s">
        <v>765</v>
      </c>
      <c r="C250" s="2" t="s">
        <v>766</v>
      </c>
      <c r="D250" s="2">
        <f>VLOOKUP(B250, 'ME-Subhashree'!$B$2:$F$56,5)</f>
        <v>48</v>
      </c>
      <c r="E250" s="2">
        <v>32.0</v>
      </c>
      <c r="F250" s="2">
        <f t="shared" si="1"/>
        <v>40</v>
      </c>
      <c r="G250" s="2">
        <v>9.0</v>
      </c>
      <c r="H250" s="2">
        <v>11.0</v>
      </c>
      <c r="I250" s="2">
        <v>25.0</v>
      </c>
      <c r="J250" s="3">
        <f t="shared" si="2"/>
        <v>7.777777778</v>
      </c>
      <c r="K250" s="2">
        <v>100.0</v>
      </c>
      <c r="L250" s="2">
        <v>180.0</v>
      </c>
      <c r="N250" s="3">
        <f t="shared" si="3"/>
        <v>180</v>
      </c>
      <c r="O250" s="2">
        <v>70.0</v>
      </c>
      <c r="P250" s="2">
        <f t="shared" si="4"/>
        <v>13</v>
      </c>
      <c r="Q250" s="2">
        <v>7.0</v>
      </c>
      <c r="R250" s="2">
        <v>7.0</v>
      </c>
      <c r="S250" s="2">
        <v>10.0</v>
      </c>
      <c r="T250" s="2">
        <v>10.0</v>
      </c>
      <c r="U250" s="2">
        <v>15.0</v>
      </c>
      <c r="V250" s="2">
        <v>14.0</v>
      </c>
      <c r="W250" s="2">
        <v>20.0</v>
      </c>
      <c r="X250" s="2">
        <v>26.56</v>
      </c>
      <c r="Y250" s="2">
        <v>27.63</v>
      </c>
      <c r="Z250" s="2">
        <v>28.0</v>
      </c>
      <c r="AA250" s="2">
        <v>27.0</v>
      </c>
      <c r="AB250" s="2">
        <f t="shared" si="5"/>
        <v>9.6095</v>
      </c>
      <c r="AC250" s="2">
        <v>50.0</v>
      </c>
      <c r="AD250" s="2">
        <v>345.0</v>
      </c>
      <c r="AE250" s="3">
        <f t="shared" si="6"/>
        <v>9.875</v>
      </c>
      <c r="AF250" s="4">
        <f t="shared" si="7"/>
        <v>80.26227778</v>
      </c>
    </row>
    <row r="251">
      <c r="A251" s="1" t="s">
        <v>767</v>
      </c>
      <c r="B251" s="1" t="s">
        <v>768</v>
      </c>
      <c r="C251" s="2" t="s">
        <v>769</v>
      </c>
      <c r="D251" s="2">
        <f>VLOOKUP(B251, 'ME-Subhashree'!$B$2:$F$56,5)</f>
        <v>47</v>
      </c>
      <c r="E251" s="2">
        <v>28.0</v>
      </c>
      <c r="F251" s="2">
        <f t="shared" si="1"/>
        <v>37.5</v>
      </c>
      <c r="G251" s="2">
        <v>11.0</v>
      </c>
      <c r="H251" s="2">
        <v>12.5</v>
      </c>
      <c r="I251" s="2">
        <v>25.0</v>
      </c>
      <c r="J251" s="3">
        <f t="shared" si="2"/>
        <v>8.652777778</v>
      </c>
      <c r="K251" s="2">
        <v>90.0</v>
      </c>
      <c r="L251" s="2">
        <v>195.0</v>
      </c>
      <c r="N251" s="3">
        <f t="shared" si="3"/>
        <v>195</v>
      </c>
      <c r="O251" s="2">
        <v>96.0</v>
      </c>
      <c r="P251" s="2">
        <f t="shared" si="4"/>
        <v>14.175</v>
      </c>
      <c r="Q251" s="2">
        <v>7.0</v>
      </c>
      <c r="R251" s="2">
        <v>7.0</v>
      </c>
      <c r="S251" s="2">
        <v>12.0</v>
      </c>
      <c r="T251" s="2">
        <v>15.0</v>
      </c>
      <c r="U251" s="2">
        <v>15.0</v>
      </c>
      <c r="V251" s="2">
        <v>13.5</v>
      </c>
      <c r="W251" s="2">
        <v>19.5</v>
      </c>
      <c r="X251" s="2">
        <v>25.62</v>
      </c>
      <c r="Y251" s="2">
        <v>26.84</v>
      </c>
      <c r="Z251" s="2">
        <v>30.0</v>
      </c>
      <c r="AA251" s="2">
        <v>30.0</v>
      </c>
      <c r="AB251" s="2">
        <f t="shared" si="5"/>
        <v>10.073</v>
      </c>
      <c r="AC251" s="2">
        <v>43.0</v>
      </c>
      <c r="AD251" s="2">
        <v>345.0</v>
      </c>
      <c r="AE251" s="3">
        <f t="shared" si="6"/>
        <v>9.7</v>
      </c>
      <c r="AF251" s="4">
        <f t="shared" si="7"/>
        <v>80.10077778</v>
      </c>
    </row>
    <row r="252">
      <c r="A252" s="1" t="s">
        <v>770</v>
      </c>
      <c r="B252" s="1" t="s">
        <v>771</v>
      </c>
      <c r="C252" s="2" t="s">
        <v>772</v>
      </c>
      <c r="D252" s="2">
        <f>VLOOKUP(B252, 'ME-Subhashree'!$B$2:$F$56,5)</f>
        <v>34</v>
      </c>
      <c r="E252" s="2">
        <v>30.0</v>
      </c>
      <c r="F252" s="2">
        <f t="shared" si="1"/>
        <v>32</v>
      </c>
      <c r="G252" s="2">
        <v>12.0</v>
      </c>
      <c r="H252" s="2">
        <v>9.5</v>
      </c>
      <c r="I252" s="2">
        <v>27.0</v>
      </c>
      <c r="J252" s="3">
        <f t="shared" si="2"/>
        <v>8.375</v>
      </c>
      <c r="K252" s="2">
        <v>90.0</v>
      </c>
      <c r="L252" s="2">
        <v>200.0</v>
      </c>
      <c r="N252" s="3">
        <f t="shared" si="3"/>
        <v>200</v>
      </c>
      <c r="O252" s="2">
        <v>90.0</v>
      </c>
      <c r="P252" s="2">
        <f t="shared" si="4"/>
        <v>14</v>
      </c>
      <c r="Q252" s="2">
        <v>7.0</v>
      </c>
      <c r="R252" s="2">
        <v>4.0</v>
      </c>
      <c r="S252" s="2">
        <v>15.0</v>
      </c>
      <c r="T252" s="2">
        <v>12.0</v>
      </c>
      <c r="U252" s="2">
        <v>15.0</v>
      </c>
      <c r="V252" s="2">
        <v>14.0</v>
      </c>
      <c r="W252" s="2">
        <v>20.0</v>
      </c>
      <c r="X252" s="2">
        <v>28.44</v>
      </c>
      <c r="Y252" s="2">
        <v>27.89</v>
      </c>
      <c r="Z252" s="2">
        <v>30.0</v>
      </c>
      <c r="AA252" s="2">
        <v>29.0</v>
      </c>
      <c r="AB252" s="2">
        <f t="shared" si="5"/>
        <v>10.1165</v>
      </c>
      <c r="AC252" s="2">
        <v>49.0</v>
      </c>
      <c r="AD252" s="2">
        <v>345.0</v>
      </c>
      <c r="AE252" s="3">
        <f t="shared" si="6"/>
        <v>9.85</v>
      </c>
      <c r="AF252" s="4">
        <f t="shared" si="7"/>
        <v>74.3415</v>
      </c>
    </row>
    <row r="253">
      <c r="A253" s="1" t="s">
        <v>773</v>
      </c>
      <c r="B253" s="1" t="s">
        <v>774</v>
      </c>
      <c r="C253" s="2" t="s">
        <v>773</v>
      </c>
      <c r="D253" s="2">
        <f>VLOOKUP(B253, 'ME-Subhashree'!$B$2:$F$56,5)</f>
        <v>40</v>
      </c>
      <c r="E253" s="2">
        <v>34.0</v>
      </c>
      <c r="F253" s="2">
        <f t="shared" si="1"/>
        <v>37</v>
      </c>
      <c r="G253" s="2">
        <v>8.0</v>
      </c>
      <c r="H253" s="2">
        <v>17.0</v>
      </c>
      <c r="I253" s="2">
        <v>27.0</v>
      </c>
      <c r="J253" s="3">
        <f t="shared" si="2"/>
        <v>9.25</v>
      </c>
      <c r="K253" s="2">
        <v>95.0</v>
      </c>
      <c r="L253" s="2">
        <v>190.0</v>
      </c>
      <c r="N253" s="3">
        <f t="shared" si="3"/>
        <v>190</v>
      </c>
      <c r="O253" s="2">
        <v>92.0</v>
      </c>
      <c r="P253" s="2">
        <f t="shared" si="4"/>
        <v>14.1</v>
      </c>
      <c r="Q253" s="2">
        <v>7.0</v>
      </c>
      <c r="R253" s="2">
        <v>6.0</v>
      </c>
      <c r="S253" s="2">
        <v>14.0</v>
      </c>
      <c r="T253" s="2">
        <v>10.0</v>
      </c>
      <c r="U253" s="2">
        <v>14.0</v>
      </c>
      <c r="V253" s="2">
        <v>13.5</v>
      </c>
      <c r="W253" s="2">
        <v>20.0</v>
      </c>
      <c r="X253" s="2">
        <v>25.0</v>
      </c>
      <c r="Y253" s="2">
        <v>26.32</v>
      </c>
      <c r="Z253" s="2">
        <v>29.0</v>
      </c>
      <c r="AA253" s="2">
        <v>29.0</v>
      </c>
      <c r="AB253" s="2">
        <f t="shared" si="5"/>
        <v>9.691</v>
      </c>
      <c r="AC253" s="2">
        <v>43.0</v>
      </c>
      <c r="AD253" s="2">
        <v>345.0</v>
      </c>
      <c r="AE253" s="3">
        <f t="shared" si="6"/>
        <v>9.7</v>
      </c>
      <c r="AF253" s="4">
        <f t="shared" si="7"/>
        <v>79.741</v>
      </c>
    </row>
    <row r="254">
      <c r="A254" s="1" t="s">
        <v>775</v>
      </c>
      <c r="B254" s="1" t="s">
        <v>776</v>
      </c>
      <c r="C254" s="2" t="s">
        <v>777</v>
      </c>
      <c r="D254" s="2">
        <f>VLOOKUP(B254, 'ME-Subhashree'!$B$2:$F$56,5)</f>
        <v>19</v>
      </c>
      <c r="E254" s="2">
        <v>13.0</v>
      </c>
      <c r="F254" s="2">
        <f t="shared" si="1"/>
        <v>16</v>
      </c>
      <c r="G254" s="2">
        <v>6.5</v>
      </c>
      <c r="I254" s="2">
        <v>4.0</v>
      </c>
      <c r="J254" s="3">
        <f t="shared" si="2"/>
        <v>2.069444444</v>
      </c>
      <c r="K254" s="2">
        <v>85.0</v>
      </c>
      <c r="L254" s="2">
        <v>180.0</v>
      </c>
      <c r="N254" s="3">
        <f t="shared" si="3"/>
        <v>180</v>
      </c>
      <c r="P254" s="2">
        <f t="shared" si="4"/>
        <v>8.75</v>
      </c>
      <c r="Q254" s="2">
        <v>3.0</v>
      </c>
      <c r="R254" s="2">
        <v>5.0</v>
      </c>
      <c r="S254" s="2">
        <v>13.0</v>
      </c>
      <c r="T254" s="2">
        <v>0.0</v>
      </c>
      <c r="W254" s="2">
        <v>7.0</v>
      </c>
      <c r="X254" s="2">
        <v>25.62</v>
      </c>
      <c r="Z254" s="2">
        <v>27.0</v>
      </c>
      <c r="AA254" s="2">
        <v>27.0</v>
      </c>
      <c r="AB254" s="2">
        <f t="shared" si="5"/>
        <v>5.381</v>
      </c>
      <c r="AC254" s="2">
        <v>49.0</v>
      </c>
      <c r="AD254" s="2">
        <v>340.0</v>
      </c>
      <c r="AE254" s="3">
        <f t="shared" si="6"/>
        <v>9.725</v>
      </c>
      <c r="AF254" s="4">
        <f t="shared" si="7"/>
        <v>41.92544444</v>
      </c>
    </row>
    <row r="255">
      <c r="A255" s="1" t="s">
        <v>778</v>
      </c>
      <c r="B255" s="1" t="s">
        <v>779</v>
      </c>
      <c r="C255" s="2" t="s">
        <v>780</v>
      </c>
      <c r="D255" s="2">
        <f>VLOOKUP(B255, 'ME-Subhashree'!$B$2:$F$56,5)</f>
        <v>47</v>
      </c>
      <c r="E255" s="2">
        <v>35.0</v>
      </c>
      <c r="F255" s="2">
        <f t="shared" si="1"/>
        <v>41</v>
      </c>
      <c r="G255" s="2">
        <v>12.0</v>
      </c>
      <c r="H255" s="2">
        <v>9.5</v>
      </c>
      <c r="I255" s="2">
        <v>20.0</v>
      </c>
      <c r="J255" s="3">
        <f t="shared" si="2"/>
        <v>7.597222222</v>
      </c>
      <c r="K255" s="2">
        <v>100.0</v>
      </c>
      <c r="L255" s="2">
        <v>198.0</v>
      </c>
      <c r="N255" s="3">
        <f t="shared" si="3"/>
        <v>198</v>
      </c>
      <c r="O255" s="2">
        <v>94.0</v>
      </c>
      <c r="P255" s="2">
        <f t="shared" si="4"/>
        <v>14.65</v>
      </c>
      <c r="R255" s="2">
        <v>8.0</v>
      </c>
      <c r="S255" s="2">
        <v>12.0</v>
      </c>
      <c r="T255" s="2">
        <v>14.0</v>
      </c>
      <c r="U255" s="2">
        <v>14.0</v>
      </c>
      <c r="V255" s="2">
        <v>14.0</v>
      </c>
      <c r="W255" s="2">
        <v>17.0</v>
      </c>
      <c r="X255" s="2">
        <v>28.0</v>
      </c>
      <c r="Y255" s="2">
        <v>27.37</v>
      </c>
      <c r="AA255" s="2">
        <v>30.0</v>
      </c>
      <c r="AB255" s="2">
        <f t="shared" si="5"/>
        <v>8.2185</v>
      </c>
      <c r="AC255" s="2">
        <v>43.0</v>
      </c>
      <c r="AD255" s="2">
        <v>343.0</v>
      </c>
      <c r="AE255" s="3">
        <f t="shared" si="6"/>
        <v>9.65</v>
      </c>
      <c r="AF255" s="4">
        <f t="shared" si="7"/>
        <v>81.11572222</v>
      </c>
    </row>
    <row r="256">
      <c r="A256" s="1" t="s">
        <v>781</v>
      </c>
      <c r="B256" s="1" t="s">
        <v>782</v>
      </c>
      <c r="C256" s="2" t="s">
        <v>783</v>
      </c>
      <c r="D256" s="2">
        <f>VLOOKUP(B256, 'ME-Subhashree'!$B$2:$F$56,5)</f>
        <v>34</v>
      </c>
      <c r="E256" s="2">
        <v>22.0</v>
      </c>
      <c r="F256" s="2">
        <f t="shared" si="1"/>
        <v>28</v>
      </c>
      <c r="I256" s="2">
        <v>-1.0</v>
      </c>
      <c r="J256" s="3">
        <f t="shared" si="2"/>
        <v>-0.1111111111</v>
      </c>
      <c r="L256" s="2">
        <v>175.0</v>
      </c>
      <c r="N256" s="3">
        <f t="shared" si="3"/>
        <v>175</v>
      </c>
      <c r="P256" s="2">
        <f t="shared" si="4"/>
        <v>4.375</v>
      </c>
      <c r="Q256" s="2">
        <v>7.0</v>
      </c>
      <c r="R256" s="2">
        <v>9.0</v>
      </c>
      <c r="S256" s="2">
        <v>0.0</v>
      </c>
      <c r="T256" s="2">
        <v>12.0</v>
      </c>
      <c r="V256" s="2">
        <v>13.5</v>
      </c>
      <c r="W256" s="2">
        <v>17.0</v>
      </c>
      <c r="X256" s="2">
        <v>27.14</v>
      </c>
      <c r="AB256" s="2">
        <f t="shared" si="5"/>
        <v>4.282</v>
      </c>
      <c r="AE256" s="3">
        <f t="shared" si="6"/>
        <v>0</v>
      </c>
      <c r="AF256" s="4">
        <f t="shared" si="7"/>
        <v>36.54588889</v>
      </c>
    </row>
    <row r="257">
      <c r="A257" s="1" t="s">
        <v>784</v>
      </c>
      <c r="B257" s="1" t="s">
        <v>785</v>
      </c>
      <c r="C257" s="2" t="s">
        <v>786</v>
      </c>
      <c r="D257" s="2">
        <f>VLOOKUP(B257, 'ME-Subhashree'!$B$2:$F$56,5)</f>
        <v>50</v>
      </c>
      <c r="E257" s="2">
        <v>31.0</v>
      </c>
      <c r="F257" s="2">
        <f t="shared" si="1"/>
        <v>40.5</v>
      </c>
      <c r="G257" s="2">
        <v>12.0</v>
      </c>
      <c r="H257" s="2">
        <v>17.5</v>
      </c>
      <c r="I257" s="2">
        <v>35.0</v>
      </c>
      <c r="J257" s="3">
        <f t="shared" si="2"/>
        <v>11.26388889</v>
      </c>
      <c r="K257" s="2">
        <v>97.0</v>
      </c>
      <c r="L257" s="2">
        <v>197.0</v>
      </c>
      <c r="N257" s="3">
        <f t="shared" si="3"/>
        <v>197</v>
      </c>
      <c r="O257" s="2">
        <v>91.0</v>
      </c>
      <c r="P257" s="2">
        <f t="shared" si="4"/>
        <v>14.325</v>
      </c>
      <c r="Q257" s="2">
        <v>7.0</v>
      </c>
      <c r="R257" s="2">
        <v>7.0</v>
      </c>
      <c r="S257" s="2">
        <v>14.0</v>
      </c>
      <c r="T257" s="2">
        <v>10.0</v>
      </c>
      <c r="U257" s="2">
        <v>15.0</v>
      </c>
      <c r="V257" s="2">
        <v>13.5</v>
      </c>
      <c r="W257" s="2">
        <v>20.0</v>
      </c>
      <c r="X257" s="2">
        <v>25.0</v>
      </c>
      <c r="Y257" s="2">
        <v>30.0</v>
      </c>
      <c r="Z257" s="2">
        <v>30.0</v>
      </c>
      <c r="AA257" s="2">
        <v>30.0</v>
      </c>
      <c r="AB257" s="2">
        <f t="shared" si="5"/>
        <v>10.075</v>
      </c>
      <c r="AC257" s="2">
        <v>48.0</v>
      </c>
      <c r="AD257" s="2">
        <v>345.0</v>
      </c>
      <c r="AE257" s="3">
        <f t="shared" si="6"/>
        <v>9.825</v>
      </c>
      <c r="AF257" s="4">
        <f t="shared" si="7"/>
        <v>85.98888889</v>
      </c>
    </row>
    <row r="258">
      <c r="A258" s="1" t="s">
        <v>787</v>
      </c>
      <c r="B258" s="1" t="s">
        <v>788</v>
      </c>
      <c r="C258" s="2" t="s">
        <v>789</v>
      </c>
      <c r="D258" s="2">
        <f>VLOOKUP(B258, 'ME-Subhashree'!$B$2:$F$56,5)</f>
        <v>36</v>
      </c>
      <c r="E258" s="2">
        <v>30.0</v>
      </c>
      <c r="F258" s="2">
        <f t="shared" si="1"/>
        <v>33</v>
      </c>
      <c r="G258" s="2">
        <v>6.5</v>
      </c>
      <c r="H258" s="2">
        <v>7.0</v>
      </c>
      <c r="I258" s="2">
        <v>26.0</v>
      </c>
      <c r="J258" s="3">
        <f t="shared" si="2"/>
        <v>6.263888889</v>
      </c>
      <c r="K258" s="2">
        <v>95.0</v>
      </c>
      <c r="L258" s="2">
        <v>167.0</v>
      </c>
      <c r="N258" s="3">
        <f t="shared" si="3"/>
        <v>167</v>
      </c>
      <c r="O258" s="2">
        <v>93.0</v>
      </c>
      <c r="P258" s="2">
        <f t="shared" si="4"/>
        <v>13.575</v>
      </c>
      <c r="Q258" s="2">
        <v>6.0</v>
      </c>
      <c r="R258" s="2">
        <v>6.0</v>
      </c>
      <c r="S258" s="2">
        <v>7.0</v>
      </c>
      <c r="T258" s="2">
        <v>12.0</v>
      </c>
      <c r="U258" s="2">
        <v>13.5</v>
      </c>
      <c r="V258" s="2">
        <v>13.5</v>
      </c>
      <c r="W258" s="2">
        <v>20.0</v>
      </c>
      <c r="X258" s="2">
        <v>28.75</v>
      </c>
      <c r="Y258" s="2">
        <v>28.52</v>
      </c>
      <c r="Z258" s="2">
        <v>29.0</v>
      </c>
      <c r="AA258" s="2">
        <v>28.0</v>
      </c>
      <c r="AB258" s="2">
        <f t="shared" si="5"/>
        <v>9.6135</v>
      </c>
      <c r="AC258" s="2">
        <v>43.0</v>
      </c>
      <c r="AD258" s="2">
        <v>344.0</v>
      </c>
      <c r="AE258" s="3">
        <f t="shared" si="6"/>
        <v>9.675</v>
      </c>
      <c r="AF258" s="4">
        <f t="shared" si="7"/>
        <v>72.12738889</v>
      </c>
    </row>
    <row r="259">
      <c r="A259" s="1" t="s">
        <v>790</v>
      </c>
      <c r="B259" s="1" t="s">
        <v>791</v>
      </c>
      <c r="C259" s="2" t="s">
        <v>792</v>
      </c>
      <c r="D259" s="2">
        <f>VLOOKUP(B259, 'ME-Subhashree'!$B$2:$F$56,5)</f>
        <v>52</v>
      </c>
      <c r="E259" s="2">
        <v>36.0</v>
      </c>
      <c r="F259" s="2">
        <f t="shared" si="1"/>
        <v>44</v>
      </c>
      <c r="G259" s="2">
        <v>14.0</v>
      </c>
      <c r="H259" s="2">
        <v>16.0</v>
      </c>
      <c r="I259" s="2">
        <v>32.0</v>
      </c>
      <c r="J259" s="3">
        <f t="shared" si="2"/>
        <v>11.05555556</v>
      </c>
      <c r="K259" s="2">
        <v>95.0</v>
      </c>
      <c r="L259" s="2">
        <v>200.0</v>
      </c>
      <c r="N259" s="3">
        <f t="shared" si="3"/>
        <v>200</v>
      </c>
      <c r="O259" s="2">
        <v>94.0</v>
      </c>
      <c r="P259" s="2">
        <f t="shared" si="4"/>
        <v>14.45</v>
      </c>
      <c r="Q259" s="2">
        <v>7.0</v>
      </c>
      <c r="R259" s="2">
        <v>9.0</v>
      </c>
      <c r="S259" s="2">
        <v>15.0</v>
      </c>
      <c r="T259" s="2">
        <v>15.0</v>
      </c>
      <c r="U259" s="2">
        <v>15.0</v>
      </c>
      <c r="V259" s="2">
        <v>14.5</v>
      </c>
      <c r="W259" s="2">
        <v>20.0</v>
      </c>
      <c r="X259" s="2">
        <v>29.36</v>
      </c>
      <c r="Y259" s="2">
        <v>29.74</v>
      </c>
      <c r="Z259" s="2">
        <v>30.0</v>
      </c>
      <c r="AA259" s="2">
        <v>30.0</v>
      </c>
      <c r="AB259" s="2">
        <f t="shared" si="5"/>
        <v>10.73</v>
      </c>
      <c r="AC259" s="2">
        <v>43.0</v>
      </c>
      <c r="AD259" s="2">
        <v>345.0</v>
      </c>
      <c r="AE259" s="3">
        <f t="shared" si="6"/>
        <v>9.7</v>
      </c>
      <c r="AF259" s="4">
        <f t="shared" si="7"/>
        <v>89.93555556</v>
      </c>
    </row>
    <row r="260">
      <c r="A260" s="1" t="s">
        <v>793</v>
      </c>
      <c r="B260" s="1" t="s">
        <v>794</v>
      </c>
      <c r="C260" s="2" t="s">
        <v>795</v>
      </c>
      <c r="D260" s="2">
        <f>VLOOKUP(B260, 'ME-Subhashree'!$B$2:$F$56,5)</f>
        <v>51</v>
      </c>
      <c r="E260" s="2">
        <v>35.0</v>
      </c>
      <c r="F260" s="2">
        <f t="shared" si="1"/>
        <v>43</v>
      </c>
      <c r="G260" s="2">
        <v>16.0</v>
      </c>
      <c r="H260" s="2">
        <v>17.5</v>
      </c>
      <c r="I260" s="2">
        <v>35.0</v>
      </c>
      <c r="J260" s="3">
        <f t="shared" si="2"/>
        <v>12.26388889</v>
      </c>
      <c r="K260" s="2">
        <v>95.0</v>
      </c>
      <c r="L260" s="2">
        <v>200.0</v>
      </c>
      <c r="N260" s="3">
        <f t="shared" si="3"/>
        <v>200</v>
      </c>
      <c r="O260" s="2">
        <v>96.0</v>
      </c>
      <c r="P260" s="2">
        <f t="shared" si="4"/>
        <v>14.55</v>
      </c>
      <c r="Q260" s="2">
        <v>7.0</v>
      </c>
      <c r="R260" s="2">
        <v>7.0</v>
      </c>
      <c r="S260" s="2">
        <v>14.0</v>
      </c>
      <c r="T260" s="2">
        <v>10.0</v>
      </c>
      <c r="U260" s="2">
        <v>15.0</v>
      </c>
      <c r="V260" s="2">
        <v>14.0</v>
      </c>
      <c r="W260" s="2">
        <v>20.0</v>
      </c>
      <c r="X260" s="2">
        <v>30.0</v>
      </c>
      <c r="Y260" s="2">
        <v>28.66</v>
      </c>
      <c r="Z260" s="2">
        <v>30.0</v>
      </c>
      <c r="AA260" s="2">
        <v>30.0</v>
      </c>
      <c r="AB260" s="2">
        <f t="shared" si="5"/>
        <v>10.283</v>
      </c>
      <c r="AC260" s="2">
        <v>44.0</v>
      </c>
      <c r="AD260" s="2">
        <v>345.0</v>
      </c>
      <c r="AE260" s="3">
        <f t="shared" si="6"/>
        <v>9.725</v>
      </c>
      <c r="AF260" s="4">
        <f t="shared" si="7"/>
        <v>89.82188889</v>
      </c>
    </row>
    <row r="261">
      <c r="A261" s="1" t="s">
        <v>796</v>
      </c>
      <c r="B261" s="1" t="s">
        <v>797</v>
      </c>
      <c r="C261" s="2" t="s">
        <v>798</v>
      </c>
      <c r="D261" s="2">
        <f>VLOOKUP(B261, 'ME-Subhashree'!$B$2:$F$56,5)</f>
        <v>41</v>
      </c>
      <c r="E261" s="2">
        <v>31.0</v>
      </c>
      <c r="F261" s="2">
        <f t="shared" si="1"/>
        <v>36</v>
      </c>
      <c r="G261" s="2">
        <v>14.0</v>
      </c>
      <c r="H261" s="2">
        <v>16.0</v>
      </c>
      <c r="I261" s="2">
        <v>26.0</v>
      </c>
      <c r="J261" s="3">
        <f t="shared" si="2"/>
        <v>10.38888889</v>
      </c>
      <c r="K261" s="2">
        <v>95.0</v>
      </c>
      <c r="L261" s="2">
        <v>200.0</v>
      </c>
      <c r="N261" s="3">
        <f t="shared" si="3"/>
        <v>200</v>
      </c>
      <c r="O261" s="2">
        <v>94.0</v>
      </c>
      <c r="P261" s="2">
        <f t="shared" si="4"/>
        <v>14.45</v>
      </c>
      <c r="Q261" s="2">
        <v>6.0</v>
      </c>
      <c r="R261" s="2">
        <v>9.0</v>
      </c>
      <c r="S261" s="2">
        <v>15.0</v>
      </c>
      <c r="T261" s="2">
        <v>12.0</v>
      </c>
      <c r="U261" s="2">
        <v>15.0</v>
      </c>
      <c r="V261" s="2">
        <v>14.0</v>
      </c>
      <c r="W261" s="2">
        <v>20.0</v>
      </c>
      <c r="X261" s="2">
        <v>28.75</v>
      </c>
      <c r="Y261" s="2">
        <v>27.11</v>
      </c>
      <c r="Z261" s="2">
        <v>30.0</v>
      </c>
      <c r="AA261" s="2">
        <v>30.0</v>
      </c>
      <c r="AB261" s="2">
        <f t="shared" si="5"/>
        <v>10.343</v>
      </c>
      <c r="AC261" s="2">
        <v>42.0</v>
      </c>
      <c r="AD261" s="2">
        <v>342.0</v>
      </c>
      <c r="AE261" s="3">
        <f t="shared" si="6"/>
        <v>9.6</v>
      </c>
      <c r="AF261" s="4">
        <f t="shared" si="7"/>
        <v>80.78188889</v>
      </c>
    </row>
    <row r="262">
      <c r="A262" s="1" t="s">
        <v>799</v>
      </c>
      <c r="B262" s="1" t="s">
        <v>800</v>
      </c>
      <c r="C262" s="2" t="s">
        <v>801</v>
      </c>
      <c r="D262" s="2">
        <f>VLOOKUP(B262,'MM-Subhashree'!$B$2:F$26,5)</f>
        <v>35</v>
      </c>
      <c r="E262" s="2">
        <v>31.0</v>
      </c>
      <c r="F262" s="2">
        <f t="shared" si="1"/>
        <v>33</v>
      </c>
      <c r="G262" s="2">
        <v>8.0</v>
      </c>
      <c r="H262" s="2">
        <v>14.0</v>
      </c>
      <c r="I262" s="2">
        <v>40.0</v>
      </c>
      <c r="J262" s="3">
        <f t="shared" si="2"/>
        <v>9.944444444</v>
      </c>
      <c r="K262" s="2">
        <v>100.0</v>
      </c>
      <c r="L262" s="2">
        <v>196.0</v>
      </c>
      <c r="N262" s="3">
        <f t="shared" si="3"/>
        <v>196</v>
      </c>
      <c r="O262" s="2">
        <v>100.0</v>
      </c>
      <c r="P262" s="2">
        <f t="shared" si="4"/>
        <v>14.9</v>
      </c>
      <c r="Q262" s="2">
        <v>7.0</v>
      </c>
      <c r="R262" s="2">
        <v>9.0</v>
      </c>
      <c r="S262" s="2">
        <v>11.0</v>
      </c>
      <c r="T262" s="2">
        <v>14.0</v>
      </c>
      <c r="U262" s="2">
        <v>15.0</v>
      </c>
      <c r="V262" s="2">
        <v>12.5</v>
      </c>
      <c r="W262" s="2">
        <v>18.5</v>
      </c>
      <c r="X262" s="2">
        <v>27.0</v>
      </c>
      <c r="Y262" s="2">
        <v>26.0</v>
      </c>
      <c r="Z262" s="2">
        <v>30.0</v>
      </c>
      <c r="AA262" s="2">
        <v>30.0</v>
      </c>
      <c r="AB262" s="2">
        <f t="shared" si="5"/>
        <v>10</v>
      </c>
      <c r="AC262" s="2">
        <v>50.0</v>
      </c>
      <c r="AD262" s="2">
        <v>350.0</v>
      </c>
      <c r="AE262" s="3">
        <f t="shared" si="6"/>
        <v>10</v>
      </c>
      <c r="AF262" s="4">
        <f t="shared" si="7"/>
        <v>77.84444444</v>
      </c>
    </row>
    <row r="263">
      <c r="A263" s="1" t="s">
        <v>802</v>
      </c>
      <c r="B263" s="1" t="s">
        <v>803</v>
      </c>
      <c r="C263" s="2" t="s">
        <v>804</v>
      </c>
      <c r="D263" s="2">
        <f>VLOOKUP(B263,'MM-Subhashree'!$B$2:F$26,5)</f>
        <v>38</v>
      </c>
      <c r="E263" s="2">
        <v>12.0</v>
      </c>
      <c r="F263" s="2">
        <f t="shared" si="1"/>
        <v>25</v>
      </c>
      <c r="G263" s="2">
        <v>4.0</v>
      </c>
      <c r="H263" s="2">
        <v>13.5</v>
      </c>
      <c r="I263" s="2">
        <v>39.0</v>
      </c>
      <c r="J263" s="3">
        <f t="shared" si="2"/>
        <v>8.708333333</v>
      </c>
      <c r="K263" s="2">
        <v>98.0</v>
      </c>
      <c r="L263" s="2">
        <v>185.0</v>
      </c>
      <c r="N263" s="3">
        <f t="shared" si="3"/>
        <v>185</v>
      </c>
      <c r="O263" s="2">
        <v>99.0</v>
      </c>
      <c r="P263" s="2">
        <f t="shared" si="4"/>
        <v>14.475</v>
      </c>
      <c r="Q263" s="2">
        <v>7.0</v>
      </c>
      <c r="R263" s="2">
        <v>3.0</v>
      </c>
      <c r="S263" s="2">
        <v>12.0</v>
      </c>
      <c r="T263" s="2">
        <v>14.0</v>
      </c>
      <c r="U263" s="2">
        <v>15.0</v>
      </c>
      <c r="V263" s="2">
        <v>11.0</v>
      </c>
      <c r="W263" s="2">
        <v>18.5</v>
      </c>
      <c r="X263" s="2">
        <v>29.0</v>
      </c>
      <c r="Y263" s="2">
        <v>29.0</v>
      </c>
      <c r="Z263" s="2">
        <v>30.0</v>
      </c>
      <c r="AA263" s="2">
        <v>30.0</v>
      </c>
      <c r="AB263" s="2">
        <f t="shared" si="5"/>
        <v>9.925</v>
      </c>
      <c r="AC263" s="2">
        <v>48.0</v>
      </c>
      <c r="AD263" s="2">
        <v>350.0</v>
      </c>
      <c r="AE263" s="3">
        <f t="shared" si="6"/>
        <v>9.95</v>
      </c>
      <c r="AF263" s="4">
        <f t="shared" si="7"/>
        <v>68.05833333</v>
      </c>
    </row>
    <row r="264">
      <c r="A264" s="1" t="s">
        <v>805</v>
      </c>
      <c r="B264" s="1" t="s">
        <v>806</v>
      </c>
      <c r="C264" s="2" t="s">
        <v>807</v>
      </c>
      <c r="D264" s="2">
        <f>VLOOKUP(B264,'MM-Subhashree'!$B$2:F$26,5)</f>
        <v>33</v>
      </c>
      <c r="E264" s="2">
        <v>23.0</v>
      </c>
      <c r="F264" s="2">
        <f t="shared" si="1"/>
        <v>28</v>
      </c>
      <c r="G264" s="2">
        <v>9.5</v>
      </c>
      <c r="H264" s="2">
        <v>13.5</v>
      </c>
      <c r="I264" s="2">
        <v>38.0</v>
      </c>
      <c r="J264" s="3">
        <f t="shared" si="2"/>
        <v>9.972222222</v>
      </c>
      <c r="K264" s="2">
        <v>100.0</v>
      </c>
      <c r="L264" s="2">
        <v>193.0</v>
      </c>
      <c r="N264" s="3">
        <f t="shared" si="3"/>
        <v>193</v>
      </c>
      <c r="O264" s="2">
        <v>100.0</v>
      </c>
      <c r="P264" s="2">
        <f t="shared" si="4"/>
        <v>14.825</v>
      </c>
      <c r="Q264" s="2">
        <v>7.0</v>
      </c>
      <c r="R264" s="2">
        <v>6.0</v>
      </c>
      <c r="S264" s="2">
        <v>9.0</v>
      </c>
      <c r="T264" s="2">
        <v>14.0</v>
      </c>
      <c r="U264" s="2">
        <v>14.5</v>
      </c>
      <c r="V264" s="2">
        <v>14.0</v>
      </c>
      <c r="W264" s="2">
        <v>20.0</v>
      </c>
      <c r="X264" s="2">
        <v>28.5</v>
      </c>
      <c r="Y264" s="2">
        <v>28.0</v>
      </c>
      <c r="Z264" s="2">
        <v>29.0</v>
      </c>
      <c r="AA264" s="2">
        <v>30.0</v>
      </c>
      <c r="AB264" s="2">
        <f t="shared" si="5"/>
        <v>10</v>
      </c>
      <c r="AC264" s="2">
        <v>49.0</v>
      </c>
      <c r="AD264" s="2">
        <v>350.0</v>
      </c>
      <c r="AE264" s="3">
        <f t="shared" si="6"/>
        <v>9.975</v>
      </c>
      <c r="AF264" s="4">
        <f t="shared" si="7"/>
        <v>72.77222222</v>
      </c>
    </row>
    <row r="265">
      <c r="A265" s="1" t="s">
        <v>811</v>
      </c>
      <c r="B265" s="1" t="s">
        <v>812</v>
      </c>
      <c r="C265" s="2" t="s">
        <v>813</v>
      </c>
      <c r="D265" s="2">
        <f>VLOOKUP(B265,'MM-Subhashree'!$B$2:F$26,5)</f>
        <v>38</v>
      </c>
      <c r="E265" s="2">
        <v>38.0</v>
      </c>
      <c r="F265" s="2">
        <f t="shared" si="1"/>
        <v>38</v>
      </c>
      <c r="G265" s="2">
        <v>15.0</v>
      </c>
      <c r="H265" s="2">
        <v>20.0</v>
      </c>
      <c r="I265" s="2">
        <v>40.0</v>
      </c>
      <c r="J265" s="3">
        <f t="shared" si="2"/>
        <v>13.19444444</v>
      </c>
      <c r="K265" s="2">
        <v>98.0</v>
      </c>
      <c r="L265" s="2">
        <v>195.0</v>
      </c>
      <c r="N265" s="3">
        <f t="shared" si="3"/>
        <v>195</v>
      </c>
      <c r="O265" s="2">
        <v>100.0</v>
      </c>
      <c r="P265" s="2">
        <f t="shared" si="4"/>
        <v>14.775</v>
      </c>
      <c r="Q265" s="2">
        <v>7.0</v>
      </c>
      <c r="R265" s="2">
        <v>10.0</v>
      </c>
      <c r="S265" s="2">
        <v>9.0</v>
      </c>
      <c r="T265" s="2">
        <v>13.0</v>
      </c>
      <c r="U265" s="2">
        <v>15.0</v>
      </c>
      <c r="V265" s="2">
        <v>14.5</v>
      </c>
      <c r="W265" s="2">
        <v>20.0</v>
      </c>
      <c r="X265" s="2">
        <v>27.5</v>
      </c>
      <c r="Y265" s="2">
        <v>27.0</v>
      </c>
      <c r="Z265" s="2">
        <v>30.0</v>
      </c>
      <c r="AA265" s="2">
        <v>30.0</v>
      </c>
      <c r="AB265" s="2">
        <f t="shared" si="5"/>
        <v>10.15</v>
      </c>
      <c r="AC265" s="2">
        <v>50.0</v>
      </c>
      <c r="AD265" s="2">
        <v>350.0</v>
      </c>
      <c r="AE265" s="3">
        <f t="shared" si="6"/>
        <v>10</v>
      </c>
      <c r="AF265" s="4">
        <f t="shared" si="7"/>
        <v>86.11944444</v>
      </c>
    </row>
    <row r="266">
      <c r="A266" s="1" t="s">
        <v>814</v>
      </c>
      <c r="B266" s="1" t="s">
        <v>815</v>
      </c>
      <c r="C266" s="2" t="s">
        <v>816</v>
      </c>
      <c r="D266" s="2">
        <f>VLOOKUP(B266,'MM-Subhashree'!$B$2:F$26,5)</f>
        <v>30</v>
      </c>
      <c r="E266" s="2">
        <v>4.0</v>
      </c>
      <c r="F266" s="2">
        <f t="shared" si="1"/>
        <v>17</v>
      </c>
      <c r="G266" s="2">
        <v>7.0</v>
      </c>
      <c r="H266" s="2">
        <v>13.0</v>
      </c>
      <c r="I266" s="2">
        <v>38.0</v>
      </c>
      <c r="J266" s="3">
        <f t="shared" si="2"/>
        <v>9.222222222</v>
      </c>
      <c r="K266" s="2">
        <v>87.0</v>
      </c>
      <c r="L266" s="2">
        <v>191.0</v>
      </c>
      <c r="N266" s="3">
        <f t="shared" si="3"/>
        <v>191</v>
      </c>
      <c r="O266" s="2">
        <v>99.0</v>
      </c>
      <c r="P266" s="2">
        <f t="shared" si="4"/>
        <v>14.075</v>
      </c>
      <c r="Q266" s="2">
        <v>7.0</v>
      </c>
      <c r="R266" s="2">
        <v>6.0</v>
      </c>
      <c r="S266" s="2">
        <v>9.0</v>
      </c>
      <c r="U266" s="2">
        <v>15.0</v>
      </c>
      <c r="V266" s="2">
        <v>15.0</v>
      </c>
      <c r="W266" s="2">
        <v>20.0</v>
      </c>
      <c r="X266" s="2">
        <v>29.0</v>
      </c>
      <c r="Y266" s="2">
        <v>26.0</v>
      </c>
      <c r="Z266" s="2">
        <v>30.0</v>
      </c>
      <c r="AA266" s="2">
        <v>29.0</v>
      </c>
      <c r="AB266" s="2">
        <f t="shared" si="5"/>
        <v>9.3</v>
      </c>
      <c r="AC266" s="2">
        <v>49.0</v>
      </c>
      <c r="AD266" s="2">
        <v>350.0</v>
      </c>
      <c r="AE266" s="3">
        <f t="shared" si="6"/>
        <v>9.975</v>
      </c>
      <c r="AF266" s="4">
        <f t="shared" si="7"/>
        <v>59.57222222</v>
      </c>
    </row>
    <row r="267">
      <c r="A267" s="1" t="s">
        <v>817</v>
      </c>
      <c r="B267" s="1" t="s">
        <v>818</v>
      </c>
      <c r="C267" s="2" t="s">
        <v>819</v>
      </c>
      <c r="D267" s="2">
        <f>VLOOKUP(B267,'MM-Subhashree'!$B$2:F$26,5)</f>
        <v>37</v>
      </c>
      <c r="E267" s="2">
        <v>14.0</v>
      </c>
      <c r="F267" s="2">
        <f t="shared" si="1"/>
        <v>25.5</v>
      </c>
      <c r="G267" s="2">
        <v>9.0</v>
      </c>
      <c r="H267" s="2">
        <v>11.0</v>
      </c>
      <c r="I267" s="2">
        <v>16.0</v>
      </c>
      <c r="J267" s="3">
        <f t="shared" si="2"/>
        <v>6.777777778</v>
      </c>
      <c r="K267" s="2">
        <v>94.0</v>
      </c>
      <c r="L267" s="2">
        <v>170.0</v>
      </c>
      <c r="M267" s="2">
        <v>193.0</v>
      </c>
      <c r="N267" s="3">
        <f t="shared" si="3"/>
        <v>193</v>
      </c>
      <c r="O267" s="2">
        <v>100.0</v>
      </c>
      <c r="P267" s="2">
        <f t="shared" si="4"/>
        <v>14.525</v>
      </c>
      <c r="Q267" s="2">
        <v>7.0</v>
      </c>
      <c r="R267" s="2">
        <v>6.0</v>
      </c>
      <c r="S267" s="2">
        <v>12.0</v>
      </c>
      <c r="T267" s="2">
        <v>13.0</v>
      </c>
      <c r="U267" s="2">
        <v>15.0</v>
      </c>
      <c r="V267" s="2">
        <v>13.5</v>
      </c>
      <c r="W267" s="2">
        <v>18.5</v>
      </c>
      <c r="X267" s="2">
        <v>28.5</v>
      </c>
      <c r="Y267" s="2">
        <v>28.5</v>
      </c>
      <c r="Z267" s="2">
        <v>30.0</v>
      </c>
      <c r="AB267" s="2">
        <f t="shared" si="5"/>
        <v>8.6</v>
      </c>
      <c r="AC267" s="2">
        <v>50.0</v>
      </c>
      <c r="AD267" s="2">
        <v>350.0</v>
      </c>
      <c r="AE267" s="3">
        <f t="shared" si="6"/>
        <v>10</v>
      </c>
      <c r="AF267" s="4">
        <f t="shared" si="7"/>
        <v>65.40277778</v>
      </c>
    </row>
    <row r="268">
      <c r="A268" s="1" t="s">
        <v>820</v>
      </c>
      <c r="B268" s="1" t="s">
        <v>821</v>
      </c>
      <c r="C268" s="2" t="s">
        <v>822</v>
      </c>
      <c r="D268" s="2">
        <f>VLOOKUP(B268,'MM-Subhashree'!$B$2:F$26,5)</f>
        <v>36</v>
      </c>
      <c r="E268" s="2">
        <v>17.0</v>
      </c>
      <c r="F268" s="2">
        <f t="shared" si="1"/>
        <v>26.5</v>
      </c>
      <c r="G268" s="2">
        <v>6.0</v>
      </c>
      <c r="H268" s="2">
        <v>13.5</v>
      </c>
      <c r="I268" s="2">
        <v>26.0</v>
      </c>
      <c r="J268" s="3">
        <f t="shared" si="2"/>
        <v>7.763888889</v>
      </c>
      <c r="K268" s="2">
        <v>100.0</v>
      </c>
      <c r="L268" s="2">
        <v>195.0</v>
      </c>
      <c r="N268" s="3">
        <f t="shared" si="3"/>
        <v>195</v>
      </c>
      <c r="O268" s="2">
        <v>99.0</v>
      </c>
      <c r="P268" s="2">
        <f t="shared" si="4"/>
        <v>14.825</v>
      </c>
      <c r="Q268" s="2">
        <v>7.0</v>
      </c>
      <c r="R268" s="2">
        <v>5.0</v>
      </c>
      <c r="S268" s="2">
        <v>12.0</v>
      </c>
      <c r="T268" s="2">
        <v>11.0</v>
      </c>
      <c r="U268" s="2">
        <v>14.5</v>
      </c>
      <c r="V268" s="2">
        <v>13.5</v>
      </c>
      <c r="W268" s="2">
        <v>20.0</v>
      </c>
      <c r="X268" s="2">
        <v>28.0</v>
      </c>
      <c r="Y268" s="2">
        <v>25.0</v>
      </c>
      <c r="Z268" s="2">
        <v>30.0</v>
      </c>
      <c r="AA268" s="2">
        <v>30.0</v>
      </c>
      <c r="AB268" s="2">
        <f t="shared" si="5"/>
        <v>9.8</v>
      </c>
      <c r="AC268" s="2">
        <v>49.0</v>
      </c>
      <c r="AD268" s="2">
        <v>350.0</v>
      </c>
      <c r="AE268" s="3">
        <f t="shared" si="6"/>
        <v>9.975</v>
      </c>
      <c r="AF268" s="4">
        <f t="shared" si="7"/>
        <v>68.86388889</v>
      </c>
    </row>
    <row r="269">
      <c r="A269" s="1" t="s">
        <v>823</v>
      </c>
      <c r="B269" s="1" t="s">
        <v>824</v>
      </c>
      <c r="C269" s="2" t="s">
        <v>825</v>
      </c>
      <c r="D269" s="2">
        <f>VLOOKUP(B269,'MM-Subhashree'!$B$2:F$26,5)</f>
        <v>25</v>
      </c>
      <c r="E269" s="2">
        <v>27.0</v>
      </c>
      <c r="F269" s="2">
        <f t="shared" si="1"/>
        <v>26</v>
      </c>
      <c r="G269" s="2">
        <v>7.0</v>
      </c>
      <c r="H269" s="2">
        <v>11.0</v>
      </c>
      <c r="I269" s="2">
        <v>38.0</v>
      </c>
      <c r="J269" s="3">
        <f t="shared" si="2"/>
        <v>8.722222222</v>
      </c>
      <c r="K269" s="2">
        <v>90.0</v>
      </c>
      <c r="L269" s="2">
        <v>150.0</v>
      </c>
      <c r="M269" s="2">
        <v>195.0</v>
      </c>
      <c r="N269" s="3">
        <f t="shared" si="3"/>
        <v>195</v>
      </c>
      <c r="P269" s="2">
        <f t="shared" si="4"/>
        <v>9.375</v>
      </c>
      <c r="Q269" s="2">
        <v>7.0</v>
      </c>
      <c r="R269" s="2">
        <v>4.0</v>
      </c>
      <c r="T269" s="2">
        <v>13.0</v>
      </c>
      <c r="U269" s="2">
        <v>14.5</v>
      </c>
      <c r="V269" s="2">
        <v>11.0</v>
      </c>
      <c r="W269" s="2">
        <v>20.0</v>
      </c>
      <c r="X269" s="2">
        <v>27.0</v>
      </c>
      <c r="Z269" s="2">
        <v>30.0</v>
      </c>
      <c r="AB269" s="2">
        <f t="shared" si="5"/>
        <v>6.325</v>
      </c>
      <c r="AC269" s="2">
        <v>50.0</v>
      </c>
      <c r="AD269" s="2">
        <v>350.0</v>
      </c>
      <c r="AE269" s="3">
        <f t="shared" si="6"/>
        <v>10</v>
      </c>
      <c r="AF269" s="4">
        <f t="shared" si="7"/>
        <v>60.42222222</v>
      </c>
    </row>
    <row r="270">
      <c r="A270" s="1" t="s">
        <v>826</v>
      </c>
      <c r="B270" s="1" t="s">
        <v>827</v>
      </c>
      <c r="C270" s="2" t="s">
        <v>828</v>
      </c>
      <c r="D270" s="2">
        <f>VLOOKUP(B270,'MM-Subhashree'!$B$2:F$26,5)</f>
        <v>28</v>
      </c>
      <c r="E270" s="2">
        <v>21.0</v>
      </c>
      <c r="F270" s="2">
        <f t="shared" si="1"/>
        <v>24.5</v>
      </c>
      <c r="G270" s="2">
        <v>4.0</v>
      </c>
      <c r="H270" s="2">
        <v>14.5</v>
      </c>
      <c r="I270" s="2">
        <v>38.0</v>
      </c>
      <c r="J270" s="3">
        <f t="shared" si="2"/>
        <v>8.847222222</v>
      </c>
      <c r="K270" s="2">
        <v>95.0</v>
      </c>
      <c r="L270" s="2">
        <v>168.0</v>
      </c>
      <c r="N270" s="3">
        <f t="shared" si="3"/>
        <v>168</v>
      </c>
      <c r="O270" s="2">
        <v>98.0</v>
      </c>
      <c r="P270" s="2">
        <f t="shared" si="4"/>
        <v>13.85</v>
      </c>
      <c r="Q270" s="2">
        <v>4.0</v>
      </c>
      <c r="R270" s="2">
        <v>8.0</v>
      </c>
      <c r="U270" s="2">
        <v>15.0</v>
      </c>
      <c r="V270" s="2">
        <v>11.5</v>
      </c>
      <c r="W270" s="2">
        <v>19.0</v>
      </c>
      <c r="X270" s="2">
        <v>26.0</v>
      </c>
      <c r="Y270" s="2">
        <v>25.0</v>
      </c>
      <c r="Z270" s="2">
        <v>29.0</v>
      </c>
      <c r="AA270" s="2">
        <v>29.0</v>
      </c>
      <c r="AB270" s="2">
        <f t="shared" si="5"/>
        <v>8.325</v>
      </c>
      <c r="AC270" s="2">
        <v>49.0</v>
      </c>
      <c r="AD270" s="2">
        <v>350.0</v>
      </c>
      <c r="AE270" s="3">
        <f t="shared" si="6"/>
        <v>9.975</v>
      </c>
      <c r="AF270" s="4">
        <f t="shared" si="7"/>
        <v>65.49722222</v>
      </c>
    </row>
    <row r="271">
      <c r="A271" s="1" t="s">
        <v>835</v>
      </c>
      <c r="B271" s="1" t="s">
        <v>836</v>
      </c>
      <c r="C271" s="2" t="s">
        <v>837</v>
      </c>
      <c r="D271" s="2">
        <f>VLOOKUP(B271,'MM-Subhashree'!$B$2:F$26,5)</f>
        <v>42</v>
      </c>
      <c r="E271" s="2">
        <v>17.0</v>
      </c>
      <c r="F271" s="2">
        <f t="shared" si="1"/>
        <v>29.5</v>
      </c>
      <c r="G271" s="2">
        <v>13.0</v>
      </c>
      <c r="H271" s="2">
        <v>15.0</v>
      </c>
      <c r="I271" s="2">
        <v>40.0</v>
      </c>
      <c r="J271" s="3">
        <f t="shared" si="2"/>
        <v>11.44444444</v>
      </c>
      <c r="K271" s="2">
        <v>96.0</v>
      </c>
      <c r="L271" s="2">
        <v>197.0</v>
      </c>
      <c r="N271" s="3">
        <f t="shared" si="3"/>
        <v>197</v>
      </c>
      <c r="O271" s="2">
        <v>100.0</v>
      </c>
      <c r="P271" s="2">
        <f t="shared" si="4"/>
        <v>14.725</v>
      </c>
      <c r="Q271" s="2">
        <v>7.0</v>
      </c>
      <c r="R271" s="2">
        <v>6.0</v>
      </c>
      <c r="S271" s="2">
        <v>12.0</v>
      </c>
      <c r="T271" s="2">
        <v>13.0</v>
      </c>
      <c r="U271" s="2">
        <v>15.0</v>
      </c>
      <c r="V271" s="2">
        <v>14.0</v>
      </c>
      <c r="W271" s="2">
        <v>19.5</v>
      </c>
      <c r="X271" s="2">
        <v>28.0</v>
      </c>
      <c r="Y271" s="2">
        <v>27.0</v>
      </c>
      <c r="Z271" s="2">
        <v>29.0</v>
      </c>
      <c r="AA271" s="2">
        <v>30.0</v>
      </c>
      <c r="AB271" s="2">
        <f t="shared" si="5"/>
        <v>10.025</v>
      </c>
      <c r="AC271" s="2">
        <v>50.0</v>
      </c>
      <c r="AD271" s="2">
        <v>350.0</v>
      </c>
      <c r="AE271" s="3">
        <f t="shared" si="6"/>
        <v>10</v>
      </c>
      <c r="AF271" s="4">
        <f t="shared" si="7"/>
        <v>75.69444444</v>
      </c>
    </row>
    <row r="272">
      <c r="A272" s="1" t="s">
        <v>838</v>
      </c>
      <c r="B272" s="1" t="s">
        <v>839</v>
      </c>
      <c r="C272" s="2" t="s">
        <v>840</v>
      </c>
      <c r="D272" s="2">
        <f>VLOOKUP(B272,'MM-Subhashree'!$B$2:F$26,5)</f>
        <v>21</v>
      </c>
      <c r="E272" s="2">
        <v>16.0</v>
      </c>
      <c r="F272" s="2">
        <f t="shared" si="1"/>
        <v>18.5</v>
      </c>
      <c r="G272" s="2">
        <v>4.0</v>
      </c>
      <c r="H272" s="2">
        <v>1.0</v>
      </c>
      <c r="I272" s="2">
        <v>39.0</v>
      </c>
      <c r="J272" s="3">
        <f t="shared" si="2"/>
        <v>5.583333333</v>
      </c>
      <c r="K272" s="2">
        <v>100.0</v>
      </c>
      <c r="L272" s="2">
        <v>189.0</v>
      </c>
      <c r="N272" s="3">
        <f t="shared" si="3"/>
        <v>189</v>
      </c>
      <c r="O272" s="2">
        <v>98.0</v>
      </c>
      <c r="P272" s="2">
        <f t="shared" si="4"/>
        <v>14.625</v>
      </c>
      <c r="Q272" s="2">
        <v>7.0</v>
      </c>
      <c r="R272" s="2">
        <v>6.0</v>
      </c>
      <c r="S272" s="2">
        <v>14.0</v>
      </c>
      <c r="T272" s="2">
        <v>13.0</v>
      </c>
      <c r="U272" s="2">
        <v>14.5</v>
      </c>
      <c r="V272" s="2">
        <v>7.5</v>
      </c>
      <c r="W272" s="2">
        <v>19.5</v>
      </c>
      <c r="X272" s="2">
        <v>28.0</v>
      </c>
      <c r="Y272" s="2">
        <v>25.0</v>
      </c>
      <c r="Z272" s="2">
        <v>29.0</v>
      </c>
      <c r="AA272" s="2">
        <v>28.0</v>
      </c>
      <c r="AB272" s="2">
        <f t="shared" si="5"/>
        <v>9.575</v>
      </c>
      <c r="AC272" s="2">
        <v>48.0</v>
      </c>
      <c r="AD272" s="2">
        <v>350.0</v>
      </c>
      <c r="AE272" s="3">
        <f t="shared" si="6"/>
        <v>9.95</v>
      </c>
      <c r="AF272" s="4">
        <f t="shared" si="7"/>
        <v>58.23333333</v>
      </c>
    </row>
    <row r="273">
      <c r="A273" s="1" t="s">
        <v>841</v>
      </c>
      <c r="B273" s="1" t="s">
        <v>842</v>
      </c>
      <c r="C273" s="2" t="s">
        <v>843</v>
      </c>
      <c r="D273" s="2">
        <f>VLOOKUP(B273,'MM-Subhashree'!$B$2:F$26,5)</f>
        <v>33</v>
      </c>
      <c r="E273" s="2">
        <v>13.0</v>
      </c>
      <c r="F273" s="2">
        <f t="shared" si="1"/>
        <v>23</v>
      </c>
      <c r="G273" s="2">
        <v>6.0</v>
      </c>
      <c r="H273" s="2">
        <v>9.0</v>
      </c>
      <c r="I273" s="2">
        <v>39.0</v>
      </c>
      <c r="J273" s="3">
        <f t="shared" si="2"/>
        <v>8.083333333</v>
      </c>
      <c r="K273" s="2">
        <v>100.0</v>
      </c>
      <c r="L273" s="2">
        <v>183.0</v>
      </c>
      <c r="N273" s="3">
        <f t="shared" si="3"/>
        <v>183</v>
      </c>
      <c r="O273" s="2">
        <v>98.0</v>
      </c>
      <c r="P273" s="2">
        <f t="shared" si="4"/>
        <v>14.475</v>
      </c>
      <c r="Q273" s="2">
        <v>7.0</v>
      </c>
      <c r="R273" s="2">
        <v>4.0</v>
      </c>
      <c r="S273" s="2">
        <v>12.0</v>
      </c>
      <c r="T273" s="2">
        <v>14.5</v>
      </c>
      <c r="U273" s="2">
        <v>15.0</v>
      </c>
      <c r="V273" s="2">
        <v>14.5</v>
      </c>
      <c r="W273" s="2">
        <v>19.0</v>
      </c>
      <c r="X273" s="2">
        <v>27.0</v>
      </c>
      <c r="Y273" s="2">
        <v>28.0</v>
      </c>
      <c r="Z273" s="2">
        <v>29.0</v>
      </c>
      <c r="AA273" s="2">
        <v>30.0</v>
      </c>
      <c r="AB273" s="2">
        <f t="shared" si="5"/>
        <v>10</v>
      </c>
      <c r="AC273" s="2">
        <v>49.0</v>
      </c>
      <c r="AD273" s="2">
        <v>350.0</v>
      </c>
      <c r="AE273" s="3">
        <f t="shared" si="6"/>
        <v>9.975</v>
      </c>
      <c r="AF273" s="4">
        <f t="shared" si="7"/>
        <v>65.53333333</v>
      </c>
    </row>
    <row r="274">
      <c r="A274" s="1" t="s">
        <v>844</v>
      </c>
      <c r="B274" s="1" t="s">
        <v>845</v>
      </c>
      <c r="C274" s="2" t="s">
        <v>846</v>
      </c>
      <c r="D274" s="2">
        <f>VLOOKUP(B274,'MM-Subhashree'!$B$2:F$26,5)</f>
        <v>25</v>
      </c>
      <c r="E274" s="2">
        <v>10.0</v>
      </c>
      <c r="F274" s="2">
        <f t="shared" si="1"/>
        <v>17.5</v>
      </c>
      <c r="G274" s="2">
        <v>9.0</v>
      </c>
      <c r="H274" s="2">
        <v>13.0</v>
      </c>
      <c r="I274" s="2">
        <v>39.0</v>
      </c>
      <c r="J274" s="3">
        <f t="shared" si="2"/>
        <v>9.833333333</v>
      </c>
      <c r="K274" s="2">
        <v>82.0</v>
      </c>
      <c r="L274" s="2">
        <v>156.0</v>
      </c>
      <c r="N274" s="3">
        <f t="shared" si="3"/>
        <v>156</v>
      </c>
      <c r="O274" s="2">
        <v>98.0</v>
      </c>
      <c r="P274" s="2">
        <f t="shared" si="4"/>
        <v>12.9</v>
      </c>
      <c r="Q274" s="2">
        <v>7.0</v>
      </c>
      <c r="R274" s="2">
        <v>3.0</v>
      </c>
      <c r="S274" s="2">
        <v>6.0</v>
      </c>
      <c r="T274" s="2">
        <v>14.0</v>
      </c>
      <c r="U274" s="2">
        <v>15.0</v>
      </c>
      <c r="V274" s="2">
        <v>12.0</v>
      </c>
      <c r="W274" s="2">
        <v>19.0</v>
      </c>
      <c r="X274" s="2">
        <v>29.0</v>
      </c>
      <c r="Y274" s="2">
        <v>28.0</v>
      </c>
      <c r="Z274" s="2">
        <v>29.0</v>
      </c>
      <c r="AA274" s="2">
        <v>29.0</v>
      </c>
      <c r="AB274" s="2">
        <f t="shared" si="5"/>
        <v>9.55</v>
      </c>
      <c r="AC274" s="2">
        <v>49.0</v>
      </c>
      <c r="AD274" s="2">
        <v>350.0</v>
      </c>
      <c r="AE274" s="3">
        <f t="shared" si="6"/>
        <v>9.975</v>
      </c>
      <c r="AF274" s="4">
        <f t="shared" si="7"/>
        <v>59.75833333</v>
      </c>
    </row>
    <row r="275">
      <c r="A275" s="1" t="s">
        <v>847</v>
      </c>
      <c r="B275" s="1" t="s">
        <v>848</v>
      </c>
      <c r="C275" s="2" t="s">
        <v>849</v>
      </c>
      <c r="D275" s="2">
        <f>VLOOKUP(B275,'MM-Subhashree'!$B$2:F$26,5)</f>
        <v>38</v>
      </c>
      <c r="E275" s="2">
        <v>27.0</v>
      </c>
      <c r="F275" s="2">
        <f t="shared" si="1"/>
        <v>32.5</v>
      </c>
      <c r="H275" s="2">
        <v>12.0</v>
      </c>
      <c r="I275" s="2">
        <v>40.0</v>
      </c>
      <c r="J275" s="3">
        <f t="shared" si="2"/>
        <v>7.444444444</v>
      </c>
      <c r="L275" s="2">
        <v>196.0</v>
      </c>
      <c r="N275" s="3">
        <f t="shared" si="3"/>
        <v>196</v>
      </c>
      <c r="O275" s="2">
        <v>100.0</v>
      </c>
      <c r="P275" s="2">
        <f t="shared" si="4"/>
        <v>9.9</v>
      </c>
      <c r="Q275" s="2">
        <v>7.0</v>
      </c>
      <c r="R275" s="2">
        <v>9.0</v>
      </c>
      <c r="S275" s="2">
        <v>10.0</v>
      </c>
      <c r="T275" s="2">
        <v>13.0</v>
      </c>
      <c r="U275" s="2">
        <v>15.0</v>
      </c>
      <c r="V275" s="2">
        <v>14.5</v>
      </c>
      <c r="W275" s="2">
        <v>19.5</v>
      </c>
      <c r="Y275" s="2">
        <v>27.0</v>
      </c>
      <c r="Z275" s="2">
        <v>30.0</v>
      </c>
      <c r="AB275" s="2">
        <f t="shared" si="5"/>
        <v>7.25</v>
      </c>
      <c r="AC275" s="2">
        <v>50.0</v>
      </c>
      <c r="AD275" s="2">
        <v>350.0</v>
      </c>
      <c r="AE275" s="3">
        <f t="shared" si="6"/>
        <v>10</v>
      </c>
      <c r="AF275" s="4">
        <f t="shared" si="7"/>
        <v>67.09444444</v>
      </c>
    </row>
    <row r="276">
      <c r="A276" s="1" t="s">
        <v>850</v>
      </c>
      <c r="B276" s="1" t="s">
        <v>851</v>
      </c>
      <c r="C276" s="2" t="s">
        <v>852</v>
      </c>
      <c r="D276" s="2">
        <f>VLOOKUP(B276,'MM-Subhashree'!$B$2:F$26,5)</f>
        <v>36</v>
      </c>
      <c r="E276" s="2">
        <v>22.0</v>
      </c>
      <c r="F276" s="2">
        <f t="shared" si="1"/>
        <v>29</v>
      </c>
      <c r="G276" s="2">
        <v>7.0</v>
      </c>
      <c r="H276" s="2">
        <v>18.0</v>
      </c>
      <c r="I276" s="2">
        <v>40.0</v>
      </c>
      <c r="J276" s="3">
        <f t="shared" si="2"/>
        <v>10.69444444</v>
      </c>
      <c r="K276" s="2">
        <v>90.0</v>
      </c>
      <c r="L276" s="2">
        <v>196.0</v>
      </c>
      <c r="N276" s="3">
        <f t="shared" si="3"/>
        <v>196</v>
      </c>
      <c r="O276" s="2">
        <v>100.0</v>
      </c>
      <c r="P276" s="2">
        <f t="shared" si="4"/>
        <v>14.4</v>
      </c>
      <c r="Q276" s="2">
        <v>7.0</v>
      </c>
      <c r="R276" s="2">
        <v>8.0</v>
      </c>
      <c r="S276" s="2">
        <v>14.0</v>
      </c>
      <c r="U276" s="2">
        <v>15.0</v>
      </c>
      <c r="V276" s="2">
        <v>15.0</v>
      </c>
      <c r="W276" s="2">
        <v>19.5</v>
      </c>
      <c r="X276" s="2">
        <v>26.0</v>
      </c>
      <c r="Y276" s="2">
        <v>29.0</v>
      </c>
      <c r="Z276" s="2">
        <v>29.0</v>
      </c>
      <c r="AA276" s="2">
        <v>29.0</v>
      </c>
      <c r="AB276" s="2">
        <f t="shared" si="5"/>
        <v>9.575</v>
      </c>
      <c r="AC276" s="2">
        <v>50.0</v>
      </c>
      <c r="AD276" s="2">
        <v>350.0</v>
      </c>
      <c r="AE276" s="3">
        <f t="shared" si="6"/>
        <v>10</v>
      </c>
      <c r="AF276" s="4">
        <f t="shared" si="7"/>
        <v>73.66944444</v>
      </c>
    </row>
    <row r="277">
      <c r="A277" s="1" t="s">
        <v>853</v>
      </c>
      <c r="B277" s="1" t="s">
        <v>854</v>
      </c>
      <c r="C277" s="2" t="s">
        <v>855</v>
      </c>
      <c r="D277" s="2">
        <f>VLOOKUP(B277,'MM-Subhashree'!$B$2:F$26,5)</f>
        <v>35</v>
      </c>
      <c r="E277" s="2">
        <v>37.0</v>
      </c>
      <c r="F277" s="2">
        <f t="shared" si="1"/>
        <v>36</v>
      </c>
      <c r="G277" s="2">
        <v>15.0</v>
      </c>
      <c r="H277" s="2">
        <v>18.0</v>
      </c>
      <c r="I277" s="2">
        <v>44.0</v>
      </c>
      <c r="J277" s="3">
        <f t="shared" si="2"/>
        <v>13.13888889</v>
      </c>
      <c r="K277" s="2">
        <v>100.0</v>
      </c>
      <c r="L277" s="2">
        <v>200.0</v>
      </c>
      <c r="N277" s="3">
        <f t="shared" si="3"/>
        <v>200</v>
      </c>
      <c r="O277" s="2">
        <v>100.0</v>
      </c>
      <c r="P277" s="2">
        <f t="shared" si="4"/>
        <v>15</v>
      </c>
      <c r="Q277" s="2">
        <v>6.0</v>
      </c>
      <c r="R277" s="2">
        <v>10.0</v>
      </c>
      <c r="S277" s="2">
        <v>12.0</v>
      </c>
      <c r="T277" s="2">
        <v>14.5</v>
      </c>
      <c r="U277" s="2">
        <v>15.0</v>
      </c>
      <c r="V277" s="2">
        <v>14.5</v>
      </c>
      <c r="W277" s="2">
        <v>20.0</v>
      </c>
      <c r="X277" s="2">
        <v>27.0</v>
      </c>
      <c r="Y277" s="2">
        <v>27.0</v>
      </c>
      <c r="Z277" s="2">
        <v>30.0</v>
      </c>
      <c r="AA277" s="2">
        <v>30.0</v>
      </c>
      <c r="AB277" s="2">
        <f t="shared" si="5"/>
        <v>10.3</v>
      </c>
      <c r="AC277" s="2">
        <v>50.0</v>
      </c>
      <c r="AD277" s="2">
        <v>350.0</v>
      </c>
      <c r="AE277" s="3">
        <f t="shared" si="6"/>
        <v>10</v>
      </c>
      <c r="AF277" s="4">
        <f t="shared" si="7"/>
        <v>84.43888889</v>
      </c>
    </row>
    <row r="278">
      <c r="A278" s="1" t="s">
        <v>856</v>
      </c>
      <c r="B278" s="1" t="s">
        <v>857</v>
      </c>
      <c r="C278" s="2" t="s">
        <v>858</v>
      </c>
      <c r="D278" s="2">
        <f>VLOOKUP(B278,'MM-Subhashree'!$B$2:F$26,5)</f>
        <v>47</v>
      </c>
      <c r="E278" s="2">
        <v>30.0</v>
      </c>
      <c r="F278" s="2">
        <f t="shared" si="1"/>
        <v>38.5</v>
      </c>
      <c r="G278" s="2">
        <v>11.0</v>
      </c>
      <c r="H278" s="2">
        <v>17.0</v>
      </c>
      <c r="I278" s="2">
        <v>39.0</v>
      </c>
      <c r="J278" s="3">
        <f t="shared" si="2"/>
        <v>11.33333333</v>
      </c>
      <c r="K278" s="2">
        <v>100.0</v>
      </c>
      <c r="L278" s="2">
        <v>195.0</v>
      </c>
      <c r="N278" s="3">
        <f t="shared" si="3"/>
        <v>195</v>
      </c>
      <c r="O278" s="2">
        <v>100.0</v>
      </c>
      <c r="P278" s="2">
        <f t="shared" si="4"/>
        <v>14.875</v>
      </c>
      <c r="Q278" s="2">
        <v>7.0</v>
      </c>
      <c r="R278" s="2">
        <v>5.0</v>
      </c>
      <c r="S278" s="2">
        <v>13.0</v>
      </c>
      <c r="T278" s="2">
        <v>13.0</v>
      </c>
      <c r="U278" s="2">
        <v>15.0</v>
      </c>
      <c r="V278" s="2">
        <v>14.5</v>
      </c>
      <c r="W278" s="2">
        <v>19.0</v>
      </c>
      <c r="X278" s="2">
        <v>28.0</v>
      </c>
      <c r="Y278" s="2">
        <v>25.0</v>
      </c>
      <c r="Z278" s="2">
        <v>30.0</v>
      </c>
      <c r="AA278" s="2">
        <v>30.0</v>
      </c>
      <c r="AB278" s="2">
        <f t="shared" si="5"/>
        <v>9.975</v>
      </c>
      <c r="AC278" s="2">
        <v>49.0</v>
      </c>
      <c r="AD278" s="2">
        <v>350.0</v>
      </c>
      <c r="AE278" s="3">
        <f t="shared" si="6"/>
        <v>9.975</v>
      </c>
      <c r="AF278" s="4">
        <f t="shared" si="7"/>
        <v>84.65833333</v>
      </c>
    </row>
    <row r="279">
      <c r="A279" s="1" t="s">
        <v>859</v>
      </c>
      <c r="B279" s="1" t="s">
        <v>860</v>
      </c>
      <c r="C279" s="2" t="s">
        <v>861</v>
      </c>
      <c r="D279" s="2">
        <f>VLOOKUP(B279,'MM-Subhashree'!$B$2:F$26,5)</f>
        <v>46</v>
      </c>
      <c r="E279" s="2">
        <v>28.0</v>
      </c>
      <c r="F279" s="2">
        <f t="shared" si="1"/>
        <v>37</v>
      </c>
      <c r="G279" s="2">
        <v>13.0</v>
      </c>
      <c r="H279" s="2">
        <v>15.5</v>
      </c>
      <c r="I279" s="2">
        <v>40.0</v>
      </c>
      <c r="J279" s="3">
        <f t="shared" si="2"/>
        <v>11.56944444</v>
      </c>
      <c r="K279" s="2">
        <v>100.0</v>
      </c>
      <c r="L279" s="2">
        <v>196.0</v>
      </c>
      <c r="N279" s="3">
        <f t="shared" si="3"/>
        <v>196</v>
      </c>
      <c r="O279" s="2">
        <v>100.0</v>
      </c>
      <c r="P279" s="2">
        <f t="shared" si="4"/>
        <v>14.9</v>
      </c>
      <c r="Q279" s="2">
        <v>7.0</v>
      </c>
      <c r="R279" s="2">
        <v>9.0</v>
      </c>
      <c r="S279" s="2">
        <v>15.0</v>
      </c>
      <c r="T279" s="2">
        <v>15.0</v>
      </c>
      <c r="U279" s="2">
        <v>15.0</v>
      </c>
      <c r="V279" s="2">
        <v>14.5</v>
      </c>
      <c r="W279" s="2">
        <v>20.0</v>
      </c>
      <c r="X279" s="2">
        <v>27.5</v>
      </c>
      <c r="Y279" s="2">
        <v>27.5</v>
      </c>
      <c r="Z279" s="2">
        <v>30.0</v>
      </c>
      <c r="AA279" s="2">
        <v>27.0</v>
      </c>
      <c r="AB279" s="2">
        <f t="shared" si="5"/>
        <v>10.375</v>
      </c>
      <c r="AC279" s="2">
        <v>50.0</v>
      </c>
      <c r="AD279" s="2">
        <v>350.0</v>
      </c>
      <c r="AE279" s="3">
        <f t="shared" si="6"/>
        <v>10</v>
      </c>
      <c r="AF279" s="4">
        <f t="shared" si="7"/>
        <v>83.84444444</v>
      </c>
    </row>
    <row r="280">
      <c r="A280" s="1" t="s">
        <v>862</v>
      </c>
      <c r="B280" s="1" t="s">
        <v>863</v>
      </c>
      <c r="C280" s="2" t="s">
        <v>864</v>
      </c>
      <c r="D280" s="2">
        <f>VLOOKUP(B280,'MM-Subhashree'!$B$2:F$26,5)</f>
        <v>34</v>
      </c>
      <c r="E280" s="2">
        <v>28.0</v>
      </c>
      <c r="F280" s="2">
        <f t="shared" si="1"/>
        <v>31</v>
      </c>
      <c r="G280" s="2">
        <v>11.0</v>
      </c>
      <c r="H280" s="2">
        <v>15.0</v>
      </c>
      <c r="I280" s="2">
        <v>38.0</v>
      </c>
      <c r="J280" s="3">
        <f t="shared" si="2"/>
        <v>10.72222222</v>
      </c>
      <c r="K280" s="2">
        <v>96.0</v>
      </c>
      <c r="L280" s="2">
        <v>160.0</v>
      </c>
      <c r="M280" s="2">
        <v>190.0</v>
      </c>
      <c r="N280" s="3">
        <f t="shared" si="3"/>
        <v>190</v>
      </c>
      <c r="O280" s="2">
        <v>99.0</v>
      </c>
      <c r="P280" s="2">
        <f t="shared" si="4"/>
        <v>14.5</v>
      </c>
      <c r="Q280" s="2">
        <v>7.0</v>
      </c>
      <c r="R280" s="2">
        <v>9.0</v>
      </c>
      <c r="S280" s="2">
        <v>9.0</v>
      </c>
      <c r="T280" s="2">
        <v>14.0</v>
      </c>
      <c r="U280" s="2">
        <v>15.0</v>
      </c>
      <c r="V280" s="2">
        <v>13.0</v>
      </c>
      <c r="W280" s="2">
        <v>19.0</v>
      </c>
      <c r="X280" s="2">
        <v>27.5</v>
      </c>
      <c r="Y280" s="2">
        <v>27.0</v>
      </c>
      <c r="Z280" s="2">
        <v>30.0</v>
      </c>
      <c r="AA280" s="2">
        <v>30.0</v>
      </c>
      <c r="AB280" s="2">
        <f t="shared" si="5"/>
        <v>10.025</v>
      </c>
      <c r="AC280" s="2">
        <v>49.0</v>
      </c>
      <c r="AD280" s="2">
        <v>350.0</v>
      </c>
      <c r="AE280" s="3">
        <f t="shared" si="6"/>
        <v>9.975</v>
      </c>
      <c r="AF280" s="4">
        <f t="shared" si="7"/>
        <v>76.22222222</v>
      </c>
    </row>
    <row r="281">
      <c r="A281" s="1" t="s">
        <v>865</v>
      </c>
      <c r="B281" s="1" t="s">
        <v>866</v>
      </c>
      <c r="C281" s="2" t="s">
        <v>867</v>
      </c>
      <c r="D281" s="2">
        <f>VLOOKUP(B281,'MM-Subhashree'!$B$2:F$26,5)</f>
        <v>47</v>
      </c>
      <c r="E281" s="2">
        <v>33.0</v>
      </c>
      <c r="F281" s="2">
        <f t="shared" si="1"/>
        <v>40</v>
      </c>
      <c r="G281" s="2">
        <v>10.0</v>
      </c>
      <c r="H281" s="2">
        <v>14.5</v>
      </c>
      <c r="I281" s="2">
        <v>40.0</v>
      </c>
      <c r="J281" s="3">
        <f t="shared" si="2"/>
        <v>10.56944444</v>
      </c>
      <c r="K281" s="2">
        <v>100.0</v>
      </c>
      <c r="L281" s="2">
        <v>196.0</v>
      </c>
      <c r="N281" s="3">
        <f t="shared" si="3"/>
        <v>196</v>
      </c>
      <c r="O281" s="2">
        <v>100.0</v>
      </c>
      <c r="P281" s="2">
        <f t="shared" si="4"/>
        <v>14.9</v>
      </c>
      <c r="Q281" s="2">
        <v>7.0</v>
      </c>
      <c r="R281" s="2">
        <v>10.0</v>
      </c>
      <c r="S281" s="2">
        <v>12.0</v>
      </c>
      <c r="T281" s="2">
        <v>14.5</v>
      </c>
      <c r="U281" s="2">
        <v>15.0</v>
      </c>
      <c r="V281" s="2">
        <v>15.0</v>
      </c>
      <c r="W281" s="2">
        <v>19.5</v>
      </c>
      <c r="X281" s="2">
        <v>28.0</v>
      </c>
      <c r="Y281" s="2">
        <v>27.5</v>
      </c>
      <c r="Z281" s="2">
        <v>30.0</v>
      </c>
      <c r="AA281" s="2">
        <v>30.0</v>
      </c>
      <c r="AB281" s="2">
        <f t="shared" si="5"/>
        <v>10.425</v>
      </c>
      <c r="AC281" s="2">
        <v>50.0</v>
      </c>
      <c r="AD281" s="2">
        <v>350.0</v>
      </c>
      <c r="AE281" s="3">
        <f t="shared" si="6"/>
        <v>10</v>
      </c>
      <c r="AF281" s="4">
        <f t="shared" si="7"/>
        <v>85.89444444</v>
      </c>
    </row>
    <row r="282">
      <c r="A282" s="1" t="s">
        <v>868</v>
      </c>
      <c r="B282" s="1" t="s">
        <v>869</v>
      </c>
      <c r="C282" s="2" t="s">
        <v>870</v>
      </c>
      <c r="D282" s="2">
        <f>VLOOKUP(B282,'MM-Subhashree'!$B$2:F$26,5)</f>
        <v>45</v>
      </c>
      <c r="E282" s="2">
        <v>19.0</v>
      </c>
      <c r="F282" s="2">
        <f t="shared" si="1"/>
        <v>32</v>
      </c>
      <c r="G282" s="2">
        <v>9.0</v>
      </c>
      <c r="H282" s="2">
        <v>13.0</v>
      </c>
      <c r="I282" s="2">
        <v>40.0</v>
      </c>
      <c r="J282" s="3">
        <f t="shared" si="2"/>
        <v>9.944444444</v>
      </c>
      <c r="K282" s="2">
        <v>93.0</v>
      </c>
      <c r="L282" s="2">
        <v>190.0</v>
      </c>
      <c r="N282" s="3">
        <f t="shared" si="3"/>
        <v>190</v>
      </c>
      <c r="O282" s="2">
        <v>100.0</v>
      </c>
      <c r="P282" s="2">
        <f t="shared" si="4"/>
        <v>14.4</v>
      </c>
      <c r="Q282" s="2">
        <v>7.0</v>
      </c>
      <c r="R282" s="2">
        <v>3.0</v>
      </c>
      <c r="S282" s="2">
        <v>9.0</v>
      </c>
      <c r="T282" s="2">
        <v>14.0</v>
      </c>
      <c r="U282" s="2">
        <v>15.0</v>
      </c>
      <c r="W282" s="2">
        <v>18.5</v>
      </c>
      <c r="X282" s="2">
        <v>26.0</v>
      </c>
      <c r="Y282" s="2">
        <v>28.0</v>
      </c>
      <c r="Z282" s="2">
        <v>30.0</v>
      </c>
      <c r="AA282" s="2">
        <v>30.0</v>
      </c>
      <c r="AB282" s="2">
        <f t="shared" si="5"/>
        <v>9.025</v>
      </c>
      <c r="AC282" s="2">
        <v>49.0</v>
      </c>
      <c r="AD282" s="2">
        <v>350.0</v>
      </c>
      <c r="AE282" s="3">
        <f t="shared" si="6"/>
        <v>9.975</v>
      </c>
      <c r="AF282" s="4">
        <f t="shared" si="7"/>
        <v>75.34444444</v>
      </c>
    </row>
    <row r="283">
      <c r="A283" s="1" t="s">
        <v>871</v>
      </c>
      <c r="B283" s="1" t="s">
        <v>872</v>
      </c>
      <c r="C283" s="2" t="s">
        <v>873</v>
      </c>
      <c r="D283" s="2">
        <f>VLOOKUP(B283,'MM-Subhashree'!$B$2:F$26,5)</f>
        <v>34</v>
      </c>
      <c r="E283" s="2">
        <v>22.0</v>
      </c>
      <c r="F283" s="2">
        <f t="shared" si="1"/>
        <v>28</v>
      </c>
      <c r="G283" s="2">
        <v>2.0</v>
      </c>
      <c r="H283" s="2">
        <v>7.0</v>
      </c>
      <c r="I283" s="2">
        <v>38.0</v>
      </c>
      <c r="J283" s="3">
        <f t="shared" si="2"/>
        <v>6.472222222</v>
      </c>
      <c r="K283" s="2">
        <v>80.0</v>
      </c>
      <c r="L283" s="2">
        <v>170.0</v>
      </c>
      <c r="M283" s="2">
        <v>125.0</v>
      </c>
      <c r="N283" s="3">
        <f t="shared" si="3"/>
        <v>170</v>
      </c>
      <c r="O283" s="2">
        <v>98.0</v>
      </c>
      <c r="P283" s="2">
        <f t="shared" si="4"/>
        <v>13.15</v>
      </c>
      <c r="R283" s="2">
        <v>8.0</v>
      </c>
      <c r="S283" s="2">
        <v>9.0</v>
      </c>
      <c r="T283" s="2">
        <v>14.0</v>
      </c>
      <c r="U283" s="2">
        <v>15.0</v>
      </c>
      <c r="V283" s="2">
        <v>14.0</v>
      </c>
      <c r="W283" s="2">
        <v>15.0</v>
      </c>
      <c r="Z283" s="2">
        <v>28.0</v>
      </c>
      <c r="AB283" s="2">
        <f t="shared" si="5"/>
        <v>5.15</v>
      </c>
      <c r="AC283" s="2">
        <v>49.0</v>
      </c>
      <c r="AD283" s="2">
        <v>350.0</v>
      </c>
      <c r="AE283" s="3">
        <f t="shared" si="6"/>
        <v>9.975</v>
      </c>
      <c r="AF283" s="4">
        <f t="shared" si="7"/>
        <v>62.74722222</v>
      </c>
    </row>
    <row r="284">
      <c r="A284" s="1" t="s">
        <v>832</v>
      </c>
      <c r="B284" s="1" t="s">
        <v>833</v>
      </c>
      <c r="C284" s="2" t="s">
        <v>834</v>
      </c>
      <c r="D284" s="2">
        <f>VLOOKUP(B284,'MM-Subhashree'!$B$2:F$26,5)</f>
        <v>29</v>
      </c>
      <c r="E284" s="2">
        <v>8.0</v>
      </c>
      <c r="F284" s="2">
        <f t="shared" si="1"/>
        <v>18.5</v>
      </c>
      <c r="G284" s="2">
        <v>10.0</v>
      </c>
      <c r="H284" s="2">
        <v>13.5</v>
      </c>
      <c r="I284" s="2">
        <v>40.0</v>
      </c>
      <c r="J284" s="3">
        <f t="shared" si="2"/>
        <v>10.31944444</v>
      </c>
      <c r="K284" s="2">
        <v>85.0</v>
      </c>
      <c r="L284" s="2">
        <v>193.0</v>
      </c>
      <c r="N284" s="3">
        <f t="shared" si="3"/>
        <v>193</v>
      </c>
      <c r="O284" s="2">
        <v>98.0</v>
      </c>
      <c r="P284" s="2">
        <f t="shared" si="4"/>
        <v>13.975</v>
      </c>
      <c r="Q284" s="2">
        <v>5.0</v>
      </c>
      <c r="R284" s="2">
        <v>8.0</v>
      </c>
      <c r="S284" s="2">
        <v>9.0</v>
      </c>
      <c r="T284" s="2">
        <v>14.5</v>
      </c>
      <c r="U284" s="2">
        <v>15.0</v>
      </c>
      <c r="V284" s="2">
        <v>13.0</v>
      </c>
      <c r="W284" s="2">
        <v>19.5</v>
      </c>
      <c r="X284" s="2">
        <v>27.0</v>
      </c>
      <c r="Y284" s="2">
        <v>26.0</v>
      </c>
      <c r="Z284" s="2">
        <v>30.0</v>
      </c>
      <c r="AA284" s="2">
        <v>30.0</v>
      </c>
      <c r="AB284" s="2">
        <f t="shared" si="5"/>
        <v>9.85</v>
      </c>
      <c r="AC284" s="2">
        <v>50.0</v>
      </c>
      <c r="AD284" s="2">
        <v>350.0</v>
      </c>
      <c r="AE284" s="3">
        <f t="shared" si="6"/>
        <v>10</v>
      </c>
      <c r="AF284" s="4">
        <f t="shared" si="7"/>
        <v>62.64444444</v>
      </c>
    </row>
    <row r="285">
      <c r="A285" s="1" t="s">
        <v>874</v>
      </c>
      <c r="B285" s="1" t="s">
        <v>875</v>
      </c>
      <c r="C285" s="2" t="s">
        <v>876</v>
      </c>
      <c r="D285" s="2">
        <f>VLOOKUP(B285,MT!$B$2:$F$30,5)</f>
        <v>48</v>
      </c>
      <c r="E285" s="2">
        <v>31.0</v>
      </c>
      <c r="F285" s="2">
        <f t="shared" si="1"/>
        <v>39.5</v>
      </c>
      <c r="G285" s="2">
        <v>16.0</v>
      </c>
      <c r="H285" s="2">
        <v>16.0</v>
      </c>
      <c r="I285" s="2">
        <v>34.0</v>
      </c>
      <c r="J285" s="3">
        <f t="shared" si="2"/>
        <v>11.77777778</v>
      </c>
      <c r="K285" s="2">
        <v>95.0</v>
      </c>
      <c r="L285" s="2">
        <v>160.0</v>
      </c>
      <c r="N285" s="3">
        <f t="shared" si="3"/>
        <v>160</v>
      </c>
      <c r="O285" s="2">
        <v>98.0</v>
      </c>
      <c r="P285" s="2">
        <f t="shared" si="4"/>
        <v>13.65</v>
      </c>
      <c r="Q285" s="2">
        <v>7.0</v>
      </c>
      <c r="R285" s="2">
        <v>5.0</v>
      </c>
      <c r="S285" s="2">
        <v>14.0</v>
      </c>
      <c r="T285" s="2">
        <v>15.0</v>
      </c>
      <c r="U285" s="2">
        <v>13.0</v>
      </c>
      <c r="V285" s="2">
        <v>12.0</v>
      </c>
      <c r="W285" s="2">
        <v>18.0</v>
      </c>
      <c r="Y285" s="2">
        <v>0.0</v>
      </c>
      <c r="Z285" s="2">
        <v>29.0</v>
      </c>
      <c r="AA285" s="2">
        <v>28.0</v>
      </c>
      <c r="AB285" s="2">
        <f t="shared" si="5"/>
        <v>7.05</v>
      </c>
      <c r="AC285" s="2">
        <v>45.0</v>
      </c>
      <c r="AD285" s="2">
        <v>340.0</v>
      </c>
      <c r="AE285" s="3">
        <f t="shared" si="6"/>
        <v>9.625</v>
      </c>
      <c r="AF285" s="4">
        <f t="shared" si="7"/>
        <v>81.60277778</v>
      </c>
    </row>
    <row r="286">
      <c r="A286" s="1" t="s">
        <v>877</v>
      </c>
      <c r="B286" s="1" t="s">
        <v>878</v>
      </c>
      <c r="C286" s="2" t="s">
        <v>879</v>
      </c>
      <c r="D286" s="2">
        <f>VLOOKUP(B286,MT!$B$2:$F$30,5)</f>
        <v>49</v>
      </c>
      <c r="E286" s="2">
        <v>33.0</v>
      </c>
      <c r="F286" s="2">
        <f t="shared" si="1"/>
        <v>41</v>
      </c>
      <c r="G286" s="2">
        <v>11.0</v>
      </c>
      <c r="H286" s="2">
        <v>15.5</v>
      </c>
      <c r="I286" s="2">
        <v>33.0</v>
      </c>
      <c r="J286" s="3">
        <f t="shared" si="2"/>
        <v>10.29166667</v>
      </c>
      <c r="K286" s="2">
        <v>100.0</v>
      </c>
      <c r="L286" s="2">
        <v>200.0</v>
      </c>
      <c r="N286" s="3">
        <f t="shared" si="3"/>
        <v>200</v>
      </c>
      <c r="O286" s="2">
        <v>98.0</v>
      </c>
      <c r="P286" s="2">
        <f t="shared" si="4"/>
        <v>14.9</v>
      </c>
      <c r="Q286" s="2">
        <v>7.0</v>
      </c>
      <c r="R286" s="2">
        <v>10.0</v>
      </c>
      <c r="S286" s="2">
        <v>14.0</v>
      </c>
      <c r="T286" s="2">
        <v>13.5</v>
      </c>
      <c r="U286" s="2">
        <v>15.0</v>
      </c>
      <c r="V286" s="2">
        <v>15.0</v>
      </c>
      <c r="W286" s="2">
        <v>20.0</v>
      </c>
      <c r="X286" s="2">
        <v>26.0</v>
      </c>
      <c r="Y286" s="2">
        <v>29.0</v>
      </c>
      <c r="Z286" s="2">
        <v>30.0</v>
      </c>
      <c r="AA286" s="2">
        <v>30.0</v>
      </c>
      <c r="AB286" s="2">
        <f t="shared" si="5"/>
        <v>10.475</v>
      </c>
      <c r="AC286" s="2">
        <v>40.0</v>
      </c>
      <c r="AD286" s="2">
        <v>350.0</v>
      </c>
      <c r="AE286" s="3">
        <f t="shared" si="6"/>
        <v>9.75</v>
      </c>
      <c r="AF286" s="4">
        <f t="shared" si="7"/>
        <v>86.41666667</v>
      </c>
    </row>
    <row r="287">
      <c r="A287" s="1" t="s">
        <v>880</v>
      </c>
      <c r="B287" s="1" t="s">
        <v>881</v>
      </c>
      <c r="C287" s="2" t="s">
        <v>882</v>
      </c>
      <c r="D287" s="2">
        <f>VLOOKUP(B287,MT!$B$2:$F$30,5)</f>
        <v>45</v>
      </c>
      <c r="E287" s="2">
        <v>25.0</v>
      </c>
      <c r="F287" s="2">
        <f t="shared" si="1"/>
        <v>35</v>
      </c>
      <c r="G287" s="2">
        <v>9.0</v>
      </c>
      <c r="H287" s="2">
        <v>17.0</v>
      </c>
      <c r="I287" s="2">
        <v>27.5</v>
      </c>
      <c r="J287" s="3">
        <f t="shared" si="2"/>
        <v>9.555555556</v>
      </c>
      <c r="K287" s="2">
        <v>100.0</v>
      </c>
      <c r="L287" s="2">
        <v>160.0</v>
      </c>
      <c r="N287" s="3">
        <f t="shared" si="3"/>
        <v>160</v>
      </c>
      <c r="O287" s="2">
        <v>95.0</v>
      </c>
      <c r="P287" s="2">
        <f t="shared" si="4"/>
        <v>13.75</v>
      </c>
      <c r="Q287" s="2">
        <v>7.0</v>
      </c>
      <c r="R287" s="2">
        <v>9.0</v>
      </c>
      <c r="S287" s="2">
        <v>12.0</v>
      </c>
      <c r="T287" s="2">
        <v>9.0</v>
      </c>
      <c r="U287" s="2">
        <v>14.0</v>
      </c>
      <c r="V287" s="2">
        <v>11.0</v>
      </c>
      <c r="W287" s="2">
        <v>19.0</v>
      </c>
      <c r="X287" s="2">
        <v>28.0</v>
      </c>
      <c r="Y287" s="2">
        <v>30.0</v>
      </c>
      <c r="Z287" s="2">
        <v>28.0</v>
      </c>
      <c r="AB287" s="2">
        <f t="shared" si="5"/>
        <v>8.35</v>
      </c>
      <c r="AC287" s="2">
        <v>35.0</v>
      </c>
      <c r="AD287" s="2">
        <v>315.0</v>
      </c>
      <c r="AE287" s="3">
        <f t="shared" si="6"/>
        <v>8.75</v>
      </c>
      <c r="AF287" s="4">
        <f t="shared" si="7"/>
        <v>75.40555556</v>
      </c>
    </row>
    <row r="288">
      <c r="A288" s="1" t="s">
        <v>883</v>
      </c>
      <c r="B288" s="1" t="s">
        <v>884</v>
      </c>
      <c r="C288" s="2" t="s">
        <v>885</v>
      </c>
      <c r="D288" s="2">
        <f>VLOOKUP(B288,MT!$B$2:$F$30,5)</f>
        <v>47</v>
      </c>
      <c r="E288" s="2">
        <v>26.0</v>
      </c>
      <c r="F288" s="2">
        <f t="shared" si="1"/>
        <v>36.5</v>
      </c>
      <c r="G288" s="2">
        <v>9.0</v>
      </c>
      <c r="I288" s="2">
        <v>18.0</v>
      </c>
      <c r="J288" s="3">
        <f t="shared" si="2"/>
        <v>4.25</v>
      </c>
      <c r="K288" s="2">
        <v>80.0</v>
      </c>
      <c r="L288" s="2">
        <v>196.0</v>
      </c>
      <c r="N288" s="3">
        <f t="shared" si="3"/>
        <v>196</v>
      </c>
      <c r="O288" s="2">
        <v>100.0</v>
      </c>
      <c r="P288" s="2">
        <f t="shared" si="4"/>
        <v>13.9</v>
      </c>
      <c r="Q288" s="2">
        <v>6.0</v>
      </c>
      <c r="R288" s="2">
        <v>2.0</v>
      </c>
      <c r="S288" s="2">
        <v>14.5</v>
      </c>
      <c r="T288" s="2">
        <v>14.0</v>
      </c>
      <c r="U288" s="2">
        <v>10.0</v>
      </c>
      <c r="V288" s="2">
        <v>11.5</v>
      </c>
      <c r="W288" s="2">
        <v>18.0</v>
      </c>
      <c r="X288" s="2">
        <v>30.0</v>
      </c>
      <c r="Y288" s="2">
        <v>30.0</v>
      </c>
      <c r="Z288" s="2">
        <v>28.0</v>
      </c>
      <c r="AA288" s="2">
        <v>28.0</v>
      </c>
      <c r="AB288" s="2">
        <f t="shared" si="5"/>
        <v>9.6</v>
      </c>
      <c r="AC288" s="2">
        <v>30.0</v>
      </c>
      <c r="AD288" s="2">
        <v>330.0</v>
      </c>
      <c r="AE288" s="3">
        <f t="shared" si="6"/>
        <v>9</v>
      </c>
      <c r="AF288" s="4">
        <f t="shared" si="7"/>
        <v>73.25</v>
      </c>
    </row>
    <row r="289">
      <c r="A289" s="1" t="s">
        <v>886</v>
      </c>
      <c r="B289" s="1" t="s">
        <v>887</v>
      </c>
      <c r="C289" s="2" t="s">
        <v>888</v>
      </c>
      <c r="D289" s="2">
        <f>VLOOKUP(B289,MT!$B$2:$F$30,5)</f>
        <v>45</v>
      </c>
      <c r="E289" s="2">
        <v>27.0</v>
      </c>
      <c r="F289" s="2">
        <f t="shared" si="1"/>
        <v>36</v>
      </c>
      <c r="G289" s="2">
        <v>9.0</v>
      </c>
      <c r="H289" s="2">
        <v>13.0</v>
      </c>
      <c r="I289" s="2">
        <v>24.0</v>
      </c>
      <c r="J289" s="3">
        <f t="shared" si="2"/>
        <v>8.166666667</v>
      </c>
      <c r="K289" s="2">
        <v>95.0</v>
      </c>
      <c r="L289" s="2">
        <v>200.0</v>
      </c>
      <c r="N289" s="3">
        <f t="shared" si="3"/>
        <v>200</v>
      </c>
      <c r="O289" s="2">
        <v>98.0</v>
      </c>
      <c r="P289" s="2">
        <f t="shared" si="4"/>
        <v>14.65</v>
      </c>
      <c r="Q289" s="2">
        <v>7.0</v>
      </c>
      <c r="R289" s="2">
        <v>5.0</v>
      </c>
      <c r="S289" s="2">
        <v>12.0</v>
      </c>
      <c r="T289" s="2">
        <v>14.0</v>
      </c>
      <c r="U289" s="2">
        <v>14.0</v>
      </c>
      <c r="V289" s="2">
        <v>14.5</v>
      </c>
      <c r="W289" s="2">
        <v>20.0</v>
      </c>
      <c r="X289" s="2">
        <v>30.0</v>
      </c>
      <c r="Y289" s="2">
        <v>30.0</v>
      </c>
      <c r="Z289" s="2">
        <v>29.0</v>
      </c>
      <c r="AA289" s="2">
        <v>30.0</v>
      </c>
      <c r="AB289" s="2">
        <f t="shared" si="5"/>
        <v>10.275</v>
      </c>
      <c r="AC289" s="2">
        <v>48.0</v>
      </c>
      <c r="AD289" s="2">
        <v>350.0</v>
      </c>
      <c r="AE289" s="3">
        <f t="shared" si="6"/>
        <v>9.95</v>
      </c>
      <c r="AF289" s="4">
        <f t="shared" si="7"/>
        <v>79.04166667</v>
      </c>
    </row>
    <row r="290">
      <c r="A290" s="1" t="s">
        <v>889</v>
      </c>
      <c r="B290" s="1" t="s">
        <v>890</v>
      </c>
      <c r="C290" s="2" t="s">
        <v>891</v>
      </c>
      <c r="D290" s="2">
        <f>VLOOKUP(B290,MT!$B$2:$F$30,5)</f>
        <v>49</v>
      </c>
      <c r="E290" s="2">
        <v>31.0</v>
      </c>
      <c r="F290" s="2">
        <f t="shared" si="1"/>
        <v>40</v>
      </c>
      <c r="G290" s="2">
        <v>10.0</v>
      </c>
      <c r="H290" s="2">
        <v>5.0</v>
      </c>
      <c r="I290" s="2">
        <v>22.0</v>
      </c>
      <c r="J290" s="3">
        <f t="shared" si="2"/>
        <v>6.194444444</v>
      </c>
      <c r="K290" s="2">
        <v>0.0</v>
      </c>
      <c r="L290" s="2">
        <v>175.0</v>
      </c>
      <c r="N290" s="3">
        <f t="shared" si="3"/>
        <v>175</v>
      </c>
      <c r="O290" s="2">
        <v>100.0</v>
      </c>
      <c r="P290" s="2">
        <f t="shared" si="4"/>
        <v>9.375</v>
      </c>
      <c r="R290" s="2">
        <v>0.0</v>
      </c>
      <c r="S290" s="2">
        <v>9.5</v>
      </c>
      <c r="T290" s="2">
        <v>11.5</v>
      </c>
      <c r="U290" s="2">
        <v>0.0</v>
      </c>
      <c r="W290" s="2">
        <v>18.0</v>
      </c>
      <c r="X290" s="2">
        <v>27.0</v>
      </c>
      <c r="Y290" s="2">
        <v>25.0</v>
      </c>
      <c r="Z290" s="2">
        <v>30.0</v>
      </c>
      <c r="AA290" s="2">
        <v>29.0</v>
      </c>
      <c r="AB290" s="2">
        <f t="shared" si="5"/>
        <v>7.5</v>
      </c>
      <c r="AC290" s="2">
        <v>45.0</v>
      </c>
      <c r="AD290" s="2">
        <v>330.0</v>
      </c>
      <c r="AE290" s="3">
        <f t="shared" si="6"/>
        <v>9.375</v>
      </c>
      <c r="AF290" s="4">
        <f t="shared" si="7"/>
        <v>72.44444444</v>
      </c>
    </row>
    <row r="291">
      <c r="A291" s="1" t="s">
        <v>892</v>
      </c>
      <c r="B291" s="1" t="s">
        <v>893</v>
      </c>
      <c r="C291" s="2" t="s">
        <v>894</v>
      </c>
      <c r="D291" s="2">
        <f>VLOOKUP(B291,MT!$B$2:$F$30,5)</f>
        <v>41</v>
      </c>
      <c r="E291" s="2">
        <v>19.0</v>
      </c>
      <c r="F291" s="2">
        <f t="shared" si="1"/>
        <v>30</v>
      </c>
      <c r="G291" s="2">
        <v>8.0</v>
      </c>
      <c r="H291" s="2">
        <v>14.5</v>
      </c>
      <c r="I291" s="2">
        <v>12.0</v>
      </c>
      <c r="J291" s="3">
        <f t="shared" si="2"/>
        <v>6.958333333</v>
      </c>
      <c r="K291" s="2">
        <v>90.0</v>
      </c>
      <c r="L291" s="2">
        <v>196.0</v>
      </c>
      <c r="N291" s="3">
        <f t="shared" si="3"/>
        <v>196</v>
      </c>
      <c r="O291" s="2">
        <v>100.0</v>
      </c>
      <c r="P291" s="2">
        <f t="shared" si="4"/>
        <v>14.4</v>
      </c>
      <c r="Q291" s="2">
        <v>7.0</v>
      </c>
      <c r="R291" s="2">
        <v>9.0</v>
      </c>
      <c r="S291" s="2">
        <v>13.0</v>
      </c>
      <c r="T291" s="2">
        <v>14.0</v>
      </c>
      <c r="U291" s="2">
        <v>11.0</v>
      </c>
      <c r="V291" s="2">
        <v>14.5</v>
      </c>
      <c r="W291" s="2">
        <v>17.0</v>
      </c>
      <c r="X291" s="2">
        <v>29.0</v>
      </c>
      <c r="Y291" s="2">
        <v>30.0</v>
      </c>
      <c r="Z291" s="2">
        <v>28.0</v>
      </c>
      <c r="AA291" s="2">
        <v>28.0</v>
      </c>
      <c r="AB291" s="2">
        <f t="shared" si="5"/>
        <v>10.025</v>
      </c>
      <c r="AC291" s="2">
        <v>35.0</v>
      </c>
      <c r="AD291" s="2">
        <v>348.0</v>
      </c>
      <c r="AE291" s="3">
        <f t="shared" si="6"/>
        <v>9.575</v>
      </c>
      <c r="AF291" s="4">
        <f t="shared" si="7"/>
        <v>70.95833333</v>
      </c>
    </row>
    <row r="292">
      <c r="A292" s="1" t="s">
        <v>895</v>
      </c>
      <c r="B292" s="1" t="s">
        <v>896</v>
      </c>
      <c r="C292" s="2" t="s">
        <v>897</v>
      </c>
      <c r="D292" s="2">
        <f>VLOOKUP(B292,MT!$B$2:$F$30,5)</f>
        <v>47</v>
      </c>
      <c r="E292" s="2">
        <v>34.0</v>
      </c>
      <c r="F292" s="2">
        <f t="shared" si="1"/>
        <v>40.5</v>
      </c>
      <c r="G292" s="2">
        <v>18.0</v>
      </c>
      <c r="H292" s="2">
        <v>20.0</v>
      </c>
      <c r="I292" s="2">
        <v>33.0</v>
      </c>
      <c r="J292" s="3">
        <f t="shared" si="2"/>
        <v>13.16666667</v>
      </c>
      <c r="K292" s="2">
        <v>100.0</v>
      </c>
      <c r="L292" s="2">
        <v>200.0</v>
      </c>
      <c r="N292" s="3">
        <f t="shared" si="3"/>
        <v>200</v>
      </c>
      <c r="O292" s="2">
        <v>100.0</v>
      </c>
      <c r="P292" s="2">
        <f t="shared" si="4"/>
        <v>15</v>
      </c>
      <c r="Q292" s="2">
        <v>7.0</v>
      </c>
      <c r="R292" s="2">
        <v>7.0</v>
      </c>
      <c r="S292" s="2">
        <v>10.0</v>
      </c>
      <c r="T292" s="2">
        <v>15.0</v>
      </c>
      <c r="U292" s="2">
        <v>14.0</v>
      </c>
      <c r="V292" s="2">
        <v>14.0</v>
      </c>
      <c r="W292" s="2">
        <v>20.0</v>
      </c>
      <c r="X292" s="2">
        <v>30.0</v>
      </c>
      <c r="Y292" s="2">
        <v>30.0</v>
      </c>
      <c r="Z292" s="2">
        <v>30.0</v>
      </c>
      <c r="AA292" s="2">
        <v>30.0</v>
      </c>
      <c r="AB292" s="2">
        <f t="shared" si="5"/>
        <v>10.35</v>
      </c>
      <c r="AC292" s="2">
        <v>50.0</v>
      </c>
      <c r="AD292" s="2">
        <v>350.0</v>
      </c>
      <c r="AE292" s="3">
        <f t="shared" si="6"/>
        <v>10</v>
      </c>
      <c r="AF292" s="4">
        <f t="shared" si="7"/>
        <v>89.01666667</v>
      </c>
    </row>
    <row r="293">
      <c r="A293" s="1" t="s">
        <v>898</v>
      </c>
      <c r="B293" s="1" t="s">
        <v>899</v>
      </c>
      <c r="C293" s="2" t="s">
        <v>900</v>
      </c>
      <c r="D293" s="2">
        <f>VLOOKUP(B293,MT!$B$2:$F$30,5)</f>
        <v>48</v>
      </c>
      <c r="E293" s="2">
        <v>35.0</v>
      </c>
      <c r="F293" s="2">
        <f t="shared" si="1"/>
        <v>41.5</v>
      </c>
      <c r="G293" s="2">
        <v>13.0</v>
      </c>
      <c r="H293" s="2">
        <v>16.0</v>
      </c>
      <c r="I293" s="2">
        <v>29.0</v>
      </c>
      <c r="J293" s="3">
        <f t="shared" si="2"/>
        <v>10.47222222</v>
      </c>
      <c r="K293" s="2">
        <v>100.0</v>
      </c>
      <c r="L293" s="2">
        <v>200.0</v>
      </c>
      <c r="N293" s="3">
        <f t="shared" si="3"/>
        <v>200</v>
      </c>
      <c r="O293" s="2">
        <v>90.0</v>
      </c>
      <c r="P293" s="2">
        <f t="shared" si="4"/>
        <v>14.5</v>
      </c>
      <c r="Q293" s="2">
        <v>7.0</v>
      </c>
      <c r="R293" s="2">
        <v>8.0</v>
      </c>
      <c r="S293" s="2">
        <v>10.0</v>
      </c>
      <c r="T293" s="2">
        <v>12.0</v>
      </c>
      <c r="U293" s="2">
        <v>12.0</v>
      </c>
      <c r="V293" s="2">
        <v>14.5</v>
      </c>
      <c r="W293" s="2">
        <v>18.0</v>
      </c>
      <c r="X293" s="2">
        <v>26.0</v>
      </c>
      <c r="Y293" s="2">
        <v>29.0</v>
      </c>
      <c r="Z293" s="2">
        <v>30.0</v>
      </c>
      <c r="AA293" s="2">
        <v>30.0</v>
      </c>
      <c r="AB293" s="2">
        <f t="shared" si="5"/>
        <v>9.825</v>
      </c>
      <c r="AC293" s="2">
        <v>50.0</v>
      </c>
      <c r="AD293" s="2">
        <v>320.0</v>
      </c>
      <c r="AE293" s="3">
        <f t="shared" si="6"/>
        <v>9.25</v>
      </c>
      <c r="AF293" s="4">
        <f t="shared" si="7"/>
        <v>85.54722222</v>
      </c>
    </row>
    <row r="294">
      <c r="A294" s="1" t="s">
        <v>901</v>
      </c>
      <c r="B294" s="1" t="s">
        <v>902</v>
      </c>
      <c r="C294" s="2" t="s">
        <v>903</v>
      </c>
      <c r="D294" s="2">
        <f>VLOOKUP(B294,MT!$B$2:$F$30,5)</f>
        <v>48</v>
      </c>
      <c r="E294" s="2">
        <v>29.0</v>
      </c>
      <c r="F294" s="2">
        <f t="shared" si="1"/>
        <v>38.5</v>
      </c>
      <c r="G294" s="2">
        <v>14.0</v>
      </c>
      <c r="H294" s="2">
        <v>17.5</v>
      </c>
      <c r="I294" s="2">
        <v>38.0</v>
      </c>
      <c r="J294" s="3">
        <f t="shared" si="2"/>
        <v>12.09722222</v>
      </c>
      <c r="K294" s="2">
        <v>85.0</v>
      </c>
      <c r="L294" s="2">
        <v>200.0</v>
      </c>
      <c r="N294" s="3">
        <f t="shared" si="3"/>
        <v>200</v>
      </c>
      <c r="O294" s="2">
        <v>100.0</v>
      </c>
      <c r="P294" s="2">
        <f t="shared" si="4"/>
        <v>14.25</v>
      </c>
      <c r="Q294" s="2">
        <v>7.0</v>
      </c>
      <c r="R294" s="2">
        <v>9.0</v>
      </c>
      <c r="S294" s="2">
        <v>8.0</v>
      </c>
      <c r="T294" s="2">
        <v>11.0</v>
      </c>
      <c r="U294" s="2">
        <v>14.0</v>
      </c>
      <c r="V294" s="2">
        <v>15.0</v>
      </c>
      <c r="W294" s="2">
        <v>19.0</v>
      </c>
      <c r="X294" s="2">
        <v>28.0</v>
      </c>
      <c r="Y294" s="2">
        <v>30.0</v>
      </c>
      <c r="Z294" s="2">
        <v>30.0</v>
      </c>
      <c r="AA294" s="2">
        <v>30.0</v>
      </c>
      <c r="AB294" s="2">
        <f t="shared" si="5"/>
        <v>10.05</v>
      </c>
      <c r="AC294" s="2">
        <v>48.0</v>
      </c>
      <c r="AD294" s="2">
        <v>350.0</v>
      </c>
      <c r="AE294" s="3">
        <f t="shared" si="6"/>
        <v>9.95</v>
      </c>
      <c r="AF294" s="4">
        <f t="shared" si="7"/>
        <v>84.84722222</v>
      </c>
    </row>
    <row r="295">
      <c r="A295" s="1" t="s">
        <v>904</v>
      </c>
      <c r="B295" s="1" t="s">
        <v>905</v>
      </c>
      <c r="C295" s="2" t="s">
        <v>906</v>
      </c>
      <c r="D295" s="2">
        <f>VLOOKUP(B295,MT!$B$2:$F$30,5)</f>
        <v>48</v>
      </c>
      <c r="E295" s="2">
        <v>20.0</v>
      </c>
      <c r="F295" s="2">
        <f t="shared" si="1"/>
        <v>34</v>
      </c>
      <c r="H295" s="2">
        <v>12.5</v>
      </c>
      <c r="I295" s="2">
        <v>33.0</v>
      </c>
      <c r="J295" s="3">
        <f t="shared" si="2"/>
        <v>6.791666667</v>
      </c>
      <c r="K295" s="2">
        <v>95.0</v>
      </c>
      <c r="L295" s="2">
        <v>179.0</v>
      </c>
      <c r="N295" s="3">
        <f t="shared" si="3"/>
        <v>179</v>
      </c>
      <c r="O295" s="2">
        <v>98.0</v>
      </c>
      <c r="P295" s="2">
        <f t="shared" si="4"/>
        <v>14.125</v>
      </c>
      <c r="Q295" s="2">
        <v>7.0</v>
      </c>
      <c r="R295" s="2">
        <v>7.0</v>
      </c>
      <c r="S295" s="2">
        <v>13.0</v>
      </c>
      <c r="T295" s="2">
        <v>8.0</v>
      </c>
      <c r="U295" s="2">
        <v>8.0</v>
      </c>
      <c r="V295" s="2">
        <v>13.0</v>
      </c>
      <c r="W295" s="2">
        <v>18.0</v>
      </c>
      <c r="X295" s="2">
        <v>27.0</v>
      </c>
      <c r="Y295" s="2">
        <v>30.0</v>
      </c>
      <c r="Z295" s="2">
        <v>29.0</v>
      </c>
      <c r="AA295" s="2">
        <v>28.0</v>
      </c>
      <c r="AB295" s="2">
        <f t="shared" si="5"/>
        <v>9.4</v>
      </c>
      <c r="AC295" s="2">
        <v>40.0</v>
      </c>
      <c r="AD295" s="2">
        <v>335.0</v>
      </c>
      <c r="AE295" s="3">
        <f t="shared" si="6"/>
        <v>9.375</v>
      </c>
      <c r="AF295" s="4">
        <f t="shared" si="7"/>
        <v>73.69166667</v>
      </c>
    </row>
    <row r="296">
      <c r="A296" s="1" t="s">
        <v>907</v>
      </c>
      <c r="B296" s="1" t="s">
        <v>908</v>
      </c>
      <c r="C296" s="2" t="s">
        <v>909</v>
      </c>
      <c r="D296" s="2">
        <f>VLOOKUP(B296,MT!$B$2:$F$30,5)</f>
        <v>30</v>
      </c>
      <c r="E296" s="2">
        <v>6.0</v>
      </c>
      <c r="F296" s="2">
        <f t="shared" si="1"/>
        <v>18</v>
      </c>
      <c r="G296" s="2">
        <v>6.0</v>
      </c>
      <c r="H296" s="2">
        <v>6.0</v>
      </c>
      <c r="I296" s="2">
        <v>12.5</v>
      </c>
      <c r="J296" s="3">
        <f t="shared" si="2"/>
        <v>4.388888889</v>
      </c>
      <c r="K296" s="2">
        <v>75.0</v>
      </c>
      <c r="L296" s="2">
        <v>150.0</v>
      </c>
      <c r="N296" s="3">
        <f t="shared" si="3"/>
        <v>150</v>
      </c>
      <c r="O296" s="2">
        <v>100.0</v>
      </c>
      <c r="P296" s="2">
        <f t="shared" si="4"/>
        <v>12.5</v>
      </c>
      <c r="Q296" s="2">
        <v>5.0</v>
      </c>
      <c r="R296" s="2">
        <v>10.0</v>
      </c>
      <c r="T296" s="2">
        <v>13.0</v>
      </c>
      <c r="U296" s="2">
        <v>13.0</v>
      </c>
      <c r="V296" s="2">
        <v>13.5</v>
      </c>
      <c r="W296" s="2">
        <v>18.0</v>
      </c>
      <c r="X296" s="2">
        <v>29.0</v>
      </c>
      <c r="Y296" s="2">
        <v>29.0</v>
      </c>
      <c r="Z296" s="2">
        <v>28.0</v>
      </c>
      <c r="AA296" s="2">
        <v>28.0</v>
      </c>
      <c r="AB296" s="2">
        <f t="shared" si="5"/>
        <v>9.325</v>
      </c>
      <c r="AC296" s="2">
        <v>45.0</v>
      </c>
      <c r="AD296" s="2">
        <v>350.0</v>
      </c>
      <c r="AE296" s="3">
        <f t="shared" si="6"/>
        <v>9.875</v>
      </c>
      <c r="AF296" s="4">
        <f t="shared" si="7"/>
        <v>54.08888889</v>
      </c>
    </row>
    <row r="297">
      <c r="A297" s="1" t="s">
        <v>913</v>
      </c>
      <c r="B297" s="1" t="s">
        <v>914</v>
      </c>
      <c r="C297" s="2" t="s">
        <v>915</v>
      </c>
      <c r="D297" s="2">
        <f>VLOOKUP(B297,MT!$B$2:$F$30,5)</f>
        <v>37</v>
      </c>
      <c r="E297" s="2">
        <v>19.0</v>
      </c>
      <c r="F297" s="2">
        <f t="shared" si="1"/>
        <v>28</v>
      </c>
      <c r="G297" s="2">
        <v>5.5</v>
      </c>
      <c r="H297" s="2">
        <v>16.0</v>
      </c>
      <c r="I297" s="2">
        <v>23.5</v>
      </c>
      <c r="J297" s="3">
        <f t="shared" si="2"/>
        <v>7.986111111</v>
      </c>
      <c r="K297" s="2">
        <v>80.0</v>
      </c>
      <c r="L297" s="2">
        <v>190.0</v>
      </c>
      <c r="N297" s="3">
        <f t="shared" si="3"/>
        <v>190</v>
      </c>
      <c r="O297" s="2">
        <v>100.0</v>
      </c>
      <c r="P297" s="2">
        <f t="shared" si="4"/>
        <v>13.75</v>
      </c>
      <c r="Q297" s="2">
        <v>5.0</v>
      </c>
      <c r="R297" s="2">
        <v>4.0</v>
      </c>
      <c r="S297" s="2">
        <v>13.0</v>
      </c>
      <c r="T297" s="2">
        <v>9.0</v>
      </c>
      <c r="U297" s="2">
        <v>8.0</v>
      </c>
      <c r="V297" s="2">
        <v>12.0</v>
      </c>
      <c r="W297" s="2">
        <v>18.0</v>
      </c>
      <c r="X297" s="2">
        <v>0.0</v>
      </c>
      <c r="Y297" s="2">
        <v>29.0</v>
      </c>
      <c r="Z297" s="2">
        <v>28.0</v>
      </c>
      <c r="AB297" s="2">
        <f t="shared" si="5"/>
        <v>6.3</v>
      </c>
      <c r="AC297" s="2">
        <v>50.0</v>
      </c>
      <c r="AD297" s="2">
        <v>320.0</v>
      </c>
      <c r="AE297" s="3">
        <f t="shared" si="6"/>
        <v>9.25</v>
      </c>
      <c r="AF297" s="4">
        <f t="shared" si="7"/>
        <v>65.28611111</v>
      </c>
    </row>
    <row r="298">
      <c r="A298" s="1" t="s">
        <v>916</v>
      </c>
      <c r="B298" s="1" t="s">
        <v>917</v>
      </c>
      <c r="C298" s="2" t="s">
        <v>918</v>
      </c>
      <c r="D298" s="2">
        <f>VLOOKUP(B298,MT!$B$2:$F$30,5)</f>
        <v>45</v>
      </c>
      <c r="E298" s="2">
        <v>27.0</v>
      </c>
      <c r="F298" s="2">
        <f t="shared" si="1"/>
        <v>36</v>
      </c>
      <c r="G298" s="2">
        <v>8.0</v>
      </c>
      <c r="H298" s="2">
        <v>10.0</v>
      </c>
      <c r="I298" s="2">
        <v>11.0</v>
      </c>
      <c r="J298" s="3">
        <f t="shared" si="2"/>
        <v>5.722222222</v>
      </c>
      <c r="K298" s="2">
        <v>100.0</v>
      </c>
      <c r="L298" s="2">
        <v>178.0</v>
      </c>
      <c r="N298" s="3">
        <f t="shared" si="3"/>
        <v>178</v>
      </c>
      <c r="O298" s="2">
        <v>100.0</v>
      </c>
      <c r="P298" s="2">
        <f t="shared" si="4"/>
        <v>14.45</v>
      </c>
      <c r="Q298" s="2">
        <v>6.0</v>
      </c>
      <c r="R298" s="2">
        <v>3.0</v>
      </c>
      <c r="S298" s="2">
        <v>10.0</v>
      </c>
      <c r="T298" s="2">
        <v>8.0</v>
      </c>
      <c r="U298" s="2">
        <v>13.0</v>
      </c>
      <c r="V298" s="2">
        <v>14.0</v>
      </c>
      <c r="W298" s="2">
        <v>18.0</v>
      </c>
      <c r="X298" s="2">
        <v>24.0</v>
      </c>
      <c r="Y298" s="2">
        <v>30.0</v>
      </c>
      <c r="Z298" s="2">
        <v>28.0</v>
      </c>
      <c r="AA298" s="2">
        <v>29.0</v>
      </c>
      <c r="AB298" s="2">
        <f t="shared" si="5"/>
        <v>9.15</v>
      </c>
      <c r="AC298" s="2">
        <v>35.0</v>
      </c>
      <c r="AD298" s="2">
        <v>320.0</v>
      </c>
      <c r="AE298" s="3">
        <f t="shared" si="6"/>
        <v>8.875</v>
      </c>
      <c r="AF298" s="4">
        <f t="shared" si="7"/>
        <v>74.19722222</v>
      </c>
    </row>
    <row r="299">
      <c r="A299" s="1" t="s">
        <v>919</v>
      </c>
      <c r="B299" s="1" t="s">
        <v>920</v>
      </c>
      <c r="C299" s="2" t="s">
        <v>921</v>
      </c>
      <c r="D299" s="2">
        <f>VLOOKUP(B299,MT!$B$2:$F$30,5)</f>
        <v>47</v>
      </c>
      <c r="E299" s="2">
        <v>24.0</v>
      </c>
      <c r="F299" s="2">
        <f t="shared" si="1"/>
        <v>35.5</v>
      </c>
      <c r="G299" s="2">
        <v>8.0</v>
      </c>
      <c r="H299" s="2">
        <v>16.0</v>
      </c>
      <c r="I299" s="2">
        <v>35.0</v>
      </c>
      <c r="J299" s="3">
        <f t="shared" si="2"/>
        <v>9.888888889</v>
      </c>
      <c r="K299" s="2">
        <v>100.0</v>
      </c>
      <c r="L299" s="2">
        <v>200.0</v>
      </c>
      <c r="N299" s="3">
        <f t="shared" si="3"/>
        <v>200</v>
      </c>
      <c r="O299" s="2">
        <v>90.0</v>
      </c>
      <c r="P299" s="2">
        <f t="shared" si="4"/>
        <v>14.5</v>
      </c>
      <c r="Q299" s="2">
        <v>7.0</v>
      </c>
      <c r="R299" s="2">
        <v>5.0</v>
      </c>
      <c r="S299" s="2">
        <v>13.0</v>
      </c>
      <c r="T299" s="2">
        <v>14.0</v>
      </c>
      <c r="U299" s="2">
        <v>15.0</v>
      </c>
      <c r="V299" s="2">
        <v>14.0</v>
      </c>
      <c r="W299" s="2">
        <v>19.0</v>
      </c>
      <c r="X299" s="2">
        <v>28.0</v>
      </c>
      <c r="Y299" s="2">
        <v>30.0</v>
      </c>
      <c r="Z299" s="2">
        <v>29.0</v>
      </c>
      <c r="AA299" s="2">
        <v>30.0</v>
      </c>
      <c r="AB299" s="2">
        <f t="shared" si="5"/>
        <v>10.2</v>
      </c>
      <c r="AC299" s="2">
        <v>40.0</v>
      </c>
      <c r="AD299" s="2">
        <v>350.0</v>
      </c>
      <c r="AE299" s="3">
        <f t="shared" si="6"/>
        <v>9.75</v>
      </c>
      <c r="AF299" s="4">
        <f t="shared" si="7"/>
        <v>79.83888889</v>
      </c>
    </row>
    <row r="300">
      <c r="A300" s="1" t="s">
        <v>922</v>
      </c>
      <c r="B300" s="1" t="s">
        <v>923</v>
      </c>
      <c r="C300" s="2" t="s">
        <v>924</v>
      </c>
      <c r="D300" s="2">
        <f>VLOOKUP(B300,MT!$B$2:$F$30,5)</f>
        <v>47</v>
      </c>
      <c r="E300" s="2">
        <v>29.0</v>
      </c>
      <c r="F300" s="2">
        <f t="shared" si="1"/>
        <v>38</v>
      </c>
      <c r="G300" s="2">
        <v>14.0</v>
      </c>
      <c r="H300" s="2">
        <v>16.0</v>
      </c>
      <c r="I300" s="2">
        <v>41.0</v>
      </c>
      <c r="J300" s="3">
        <f t="shared" si="2"/>
        <v>12.05555556</v>
      </c>
      <c r="K300" s="2">
        <v>95.0</v>
      </c>
      <c r="L300" s="2">
        <v>178.0</v>
      </c>
      <c r="N300" s="3">
        <f t="shared" si="3"/>
        <v>178</v>
      </c>
      <c r="O300" s="2">
        <v>100.0</v>
      </c>
      <c r="P300" s="2">
        <f t="shared" si="4"/>
        <v>14.2</v>
      </c>
      <c r="Q300" s="2">
        <v>7.0</v>
      </c>
      <c r="R300" s="2">
        <v>8.0</v>
      </c>
      <c r="S300" s="2">
        <v>12.0</v>
      </c>
      <c r="T300" s="2">
        <v>15.0</v>
      </c>
      <c r="U300" s="2">
        <v>13.0</v>
      </c>
      <c r="V300" s="2">
        <v>14.0</v>
      </c>
      <c r="W300" s="2">
        <v>20.0</v>
      </c>
      <c r="X300" s="2">
        <v>30.0</v>
      </c>
      <c r="Y300" s="2">
        <v>30.0</v>
      </c>
      <c r="Z300" s="2">
        <v>30.0</v>
      </c>
      <c r="AA300" s="2">
        <v>30.0</v>
      </c>
      <c r="AB300" s="2">
        <f t="shared" si="5"/>
        <v>10.45</v>
      </c>
      <c r="AC300" s="2">
        <v>50.0</v>
      </c>
      <c r="AD300" s="2">
        <v>348.0</v>
      </c>
      <c r="AE300" s="3">
        <f t="shared" si="6"/>
        <v>9.95</v>
      </c>
      <c r="AF300" s="4">
        <f t="shared" si="7"/>
        <v>84.65555556</v>
      </c>
    </row>
    <row r="301">
      <c r="A301" s="1" t="s">
        <v>925</v>
      </c>
      <c r="B301" s="1" t="s">
        <v>926</v>
      </c>
      <c r="C301" s="2" t="s">
        <v>927</v>
      </c>
      <c r="D301" s="2">
        <f>VLOOKUP(B301,MT!$B$2:$F$30,5)</f>
        <v>30</v>
      </c>
      <c r="E301" s="2">
        <v>11.0</v>
      </c>
      <c r="F301" s="2">
        <f t="shared" si="1"/>
        <v>20.5</v>
      </c>
      <c r="G301" s="2">
        <v>5.0</v>
      </c>
      <c r="H301" s="2">
        <v>9.5</v>
      </c>
      <c r="I301" s="2">
        <v>20.0</v>
      </c>
      <c r="J301" s="3">
        <f t="shared" si="2"/>
        <v>5.847222222</v>
      </c>
      <c r="K301" s="2">
        <v>90.0</v>
      </c>
      <c r="L301" s="2">
        <v>200.0</v>
      </c>
      <c r="N301" s="3">
        <f t="shared" si="3"/>
        <v>200</v>
      </c>
      <c r="O301" s="2">
        <v>100.0</v>
      </c>
      <c r="P301" s="2">
        <f t="shared" si="4"/>
        <v>14.5</v>
      </c>
      <c r="Q301" s="2">
        <v>3.0</v>
      </c>
      <c r="R301" s="2">
        <v>3.0</v>
      </c>
      <c r="S301" s="2">
        <v>10.0</v>
      </c>
      <c r="T301" s="2">
        <v>14.0</v>
      </c>
      <c r="U301" s="2">
        <v>10.0</v>
      </c>
      <c r="W301" s="2">
        <v>19.0</v>
      </c>
      <c r="X301" s="2">
        <v>29.0</v>
      </c>
      <c r="Y301" s="2">
        <v>30.0</v>
      </c>
      <c r="Z301" s="2">
        <v>29.0</v>
      </c>
      <c r="AA301" s="2">
        <v>30.0</v>
      </c>
      <c r="AB301" s="2">
        <f t="shared" si="5"/>
        <v>8.85</v>
      </c>
      <c r="AC301" s="2">
        <v>45.0</v>
      </c>
      <c r="AD301" s="2">
        <v>340.0</v>
      </c>
      <c r="AE301" s="3">
        <f t="shared" si="6"/>
        <v>9.625</v>
      </c>
      <c r="AF301" s="4">
        <f t="shared" si="7"/>
        <v>59.32222222</v>
      </c>
    </row>
    <row r="302">
      <c r="A302" s="1" t="s">
        <v>928</v>
      </c>
      <c r="B302" s="1" t="s">
        <v>929</v>
      </c>
      <c r="C302" s="2" t="s">
        <v>930</v>
      </c>
      <c r="D302" s="2">
        <f>VLOOKUP(B302,MT!$B$2:$F$30,5)</f>
        <v>28</v>
      </c>
      <c r="F302" s="2">
        <f t="shared" si="1"/>
        <v>14</v>
      </c>
      <c r="G302" s="2">
        <v>0.0</v>
      </c>
      <c r="H302" s="2">
        <v>6.5</v>
      </c>
      <c r="I302" s="2">
        <v>17.0</v>
      </c>
      <c r="J302" s="3">
        <f t="shared" si="2"/>
        <v>3.513888889</v>
      </c>
      <c r="K302" s="2">
        <v>90.0</v>
      </c>
      <c r="L302" s="2">
        <v>192.0</v>
      </c>
      <c r="N302" s="3">
        <f t="shared" si="3"/>
        <v>192</v>
      </c>
      <c r="O302" s="2">
        <v>100.0</v>
      </c>
      <c r="P302" s="2">
        <f t="shared" si="4"/>
        <v>14.3</v>
      </c>
      <c r="Q302" s="2">
        <v>6.0</v>
      </c>
      <c r="R302" s="2">
        <v>6.0</v>
      </c>
      <c r="S302" s="2">
        <v>6.0</v>
      </c>
      <c r="U302" s="2">
        <v>15.0</v>
      </c>
      <c r="V302" s="2">
        <v>15.0</v>
      </c>
      <c r="W302" s="2">
        <v>20.0</v>
      </c>
      <c r="X302" s="2">
        <v>27.0</v>
      </c>
      <c r="Y302" s="2">
        <v>28.0</v>
      </c>
      <c r="Z302" s="2">
        <v>28.0</v>
      </c>
      <c r="AA302" s="2">
        <v>29.0</v>
      </c>
      <c r="AB302" s="2">
        <f t="shared" si="5"/>
        <v>9</v>
      </c>
      <c r="AC302" s="2">
        <v>28.0</v>
      </c>
      <c r="AD302" s="2">
        <v>325.0</v>
      </c>
      <c r="AE302" s="3">
        <f t="shared" si="6"/>
        <v>8.825</v>
      </c>
      <c r="AF302" s="4">
        <f t="shared" si="7"/>
        <v>49.63888889</v>
      </c>
    </row>
    <row r="303">
      <c r="A303" s="1" t="s">
        <v>931</v>
      </c>
      <c r="B303" s="1" t="s">
        <v>932</v>
      </c>
      <c r="C303" s="2" t="s">
        <v>933</v>
      </c>
      <c r="D303" s="2">
        <f>VLOOKUP(B303,MT!$B$2:$F$30,5)</f>
        <v>28</v>
      </c>
      <c r="E303" s="2">
        <v>23.0</v>
      </c>
      <c r="F303" s="2">
        <f t="shared" si="1"/>
        <v>25.5</v>
      </c>
      <c r="G303" s="2">
        <v>5.0</v>
      </c>
      <c r="H303" s="2">
        <v>19.0</v>
      </c>
      <c r="I303" s="2">
        <v>17.0</v>
      </c>
      <c r="J303" s="3">
        <f t="shared" si="2"/>
        <v>7.888888889</v>
      </c>
      <c r="K303" s="2">
        <v>90.0</v>
      </c>
      <c r="L303" s="2">
        <v>189.0</v>
      </c>
      <c r="N303" s="3">
        <f t="shared" si="3"/>
        <v>189</v>
      </c>
      <c r="O303" s="2">
        <v>80.0</v>
      </c>
      <c r="P303" s="2">
        <f t="shared" si="4"/>
        <v>13.225</v>
      </c>
      <c r="Q303" s="2">
        <v>7.0</v>
      </c>
      <c r="R303" s="2">
        <v>7.0</v>
      </c>
      <c r="S303" s="2">
        <v>10.0</v>
      </c>
      <c r="T303" s="2">
        <v>9.0</v>
      </c>
      <c r="U303" s="2">
        <v>10.0</v>
      </c>
      <c r="V303" s="2">
        <v>15.0</v>
      </c>
      <c r="W303" s="2">
        <v>18.0</v>
      </c>
      <c r="X303" s="2">
        <v>26.0</v>
      </c>
      <c r="Y303" s="2">
        <v>28.0</v>
      </c>
      <c r="Z303" s="2">
        <v>27.0</v>
      </c>
      <c r="AA303" s="2">
        <v>28.0</v>
      </c>
      <c r="AB303" s="2">
        <f t="shared" si="5"/>
        <v>9.25</v>
      </c>
      <c r="AC303" s="2">
        <v>20.0</v>
      </c>
      <c r="AD303" s="2">
        <v>315.0</v>
      </c>
      <c r="AE303" s="3">
        <f t="shared" si="6"/>
        <v>8.375</v>
      </c>
      <c r="AF303" s="4">
        <f t="shared" si="7"/>
        <v>64.23888889</v>
      </c>
    </row>
    <row r="304">
      <c r="A304" s="1" t="s">
        <v>934</v>
      </c>
      <c r="B304" s="1" t="s">
        <v>935</v>
      </c>
      <c r="C304" s="2" t="s">
        <v>936</v>
      </c>
      <c r="D304" s="2">
        <f>VLOOKUP(B304,MT!$B$2:$F$30,5)</f>
        <v>37</v>
      </c>
      <c r="E304" s="2">
        <v>12.0</v>
      </c>
      <c r="F304" s="2">
        <f t="shared" si="1"/>
        <v>24.5</v>
      </c>
      <c r="G304" s="2">
        <v>4.0</v>
      </c>
      <c r="H304" s="2">
        <v>9.5</v>
      </c>
      <c r="I304" s="2">
        <v>20.0</v>
      </c>
      <c r="J304" s="3">
        <f t="shared" si="2"/>
        <v>5.597222222</v>
      </c>
      <c r="K304" s="2">
        <v>95.0</v>
      </c>
      <c r="L304" s="2">
        <v>0.0</v>
      </c>
      <c r="M304" s="2">
        <v>180.0</v>
      </c>
      <c r="N304" s="3">
        <f t="shared" si="3"/>
        <v>180</v>
      </c>
      <c r="O304" s="2">
        <v>85.0</v>
      </c>
      <c r="P304" s="2">
        <f t="shared" si="4"/>
        <v>13.5</v>
      </c>
      <c r="Q304" s="2">
        <v>7.0</v>
      </c>
      <c r="R304" s="2">
        <v>2.0</v>
      </c>
      <c r="S304" s="2">
        <v>8.0</v>
      </c>
      <c r="T304" s="2">
        <v>11.0</v>
      </c>
      <c r="U304" s="2">
        <v>12.0</v>
      </c>
      <c r="V304" s="2">
        <v>15.0</v>
      </c>
      <c r="W304" s="2">
        <v>19.5</v>
      </c>
      <c r="X304" s="2">
        <v>29.0</v>
      </c>
      <c r="Y304" s="2">
        <v>26.0</v>
      </c>
      <c r="Z304" s="2">
        <v>28.0</v>
      </c>
      <c r="AA304" s="2">
        <v>28.0</v>
      </c>
      <c r="AB304" s="2">
        <f t="shared" si="5"/>
        <v>9.275</v>
      </c>
      <c r="AC304" s="2">
        <v>50.0</v>
      </c>
      <c r="AD304" s="2">
        <v>340.0</v>
      </c>
      <c r="AE304" s="3">
        <f t="shared" si="6"/>
        <v>9.75</v>
      </c>
      <c r="AF304" s="4">
        <f t="shared" si="7"/>
        <v>62.62222222</v>
      </c>
    </row>
    <row r="305">
      <c r="A305" s="1" t="s">
        <v>937</v>
      </c>
      <c r="B305" s="1" t="s">
        <v>938</v>
      </c>
      <c r="C305" s="2" t="s">
        <v>939</v>
      </c>
      <c r="D305" s="2">
        <f>VLOOKUP(B305,MT!$B$2:$F$30,5)</f>
        <v>49</v>
      </c>
      <c r="E305" s="2">
        <v>28.0</v>
      </c>
      <c r="F305" s="2">
        <f t="shared" si="1"/>
        <v>38.5</v>
      </c>
      <c r="G305" s="2">
        <v>14.0</v>
      </c>
      <c r="H305" s="2">
        <v>17.5</v>
      </c>
      <c r="I305" s="2">
        <v>26.0</v>
      </c>
      <c r="J305" s="3">
        <f t="shared" si="2"/>
        <v>10.76388889</v>
      </c>
      <c r="K305" s="2">
        <v>100.0</v>
      </c>
      <c r="L305" s="2">
        <v>199.0</v>
      </c>
      <c r="N305" s="3">
        <f t="shared" si="3"/>
        <v>199</v>
      </c>
      <c r="O305" s="2">
        <v>100.0</v>
      </c>
      <c r="P305" s="2">
        <f t="shared" si="4"/>
        <v>14.975</v>
      </c>
      <c r="Q305" s="2">
        <v>7.0</v>
      </c>
      <c r="R305" s="2">
        <v>9.0</v>
      </c>
      <c r="S305" s="2">
        <v>14.5</v>
      </c>
      <c r="T305" s="2">
        <v>12.0</v>
      </c>
      <c r="U305" s="2">
        <v>15.0</v>
      </c>
      <c r="V305" s="2">
        <v>15.0</v>
      </c>
      <c r="W305" s="2">
        <v>20.0</v>
      </c>
      <c r="X305" s="2">
        <v>30.0</v>
      </c>
      <c r="Y305" s="2">
        <v>29.5</v>
      </c>
      <c r="Z305" s="2">
        <v>29.0</v>
      </c>
      <c r="AA305" s="2">
        <v>30.0</v>
      </c>
      <c r="AB305" s="2">
        <f t="shared" si="5"/>
        <v>10.55</v>
      </c>
      <c r="AC305" s="2">
        <v>45.0</v>
      </c>
      <c r="AD305" s="2">
        <v>325.0</v>
      </c>
      <c r="AE305" s="3">
        <f t="shared" si="6"/>
        <v>9.25</v>
      </c>
      <c r="AF305" s="4">
        <f t="shared" si="7"/>
        <v>84.03888889</v>
      </c>
    </row>
    <row r="306">
      <c r="A306" s="1" t="s">
        <v>940</v>
      </c>
      <c r="B306" s="1" t="s">
        <v>941</v>
      </c>
      <c r="C306" s="2" t="s">
        <v>942</v>
      </c>
      <c r="D306" s="2">
        <f>VLOOKUP(B306,MT!$B$2:$F$30,5)</f>
        <v>43</v>
      </c>
      <c r="E306" s="2">
        <v>23.0</v>
      </c>
      <c r="F306" s="2">
        <f t="shared" si="1"/>
        <v>33</v>
      </c>
      <c r="G306" s="2">
        <v>11.0</v>
      </c>
      <c r="H306" s="2">
        <v>16.0</v>
      </c>
      <c r="I306" s="2">
        <v>25.0</v>
      </c>
      <c r="J306" s="3">
        <f t="shared" si="2"/>
        <v>9.527777778</v>
      </c>
      <c r="K306" s="2">
        <v>100.0</v>
      </c>
      <c r="L306" s="2">
        <v>200.0</v>
      </c>
      <c r="N306" s="3">
        <f t="shared" si="3"/>
        <v>200</v>
      </c>
      <c r="O306" s="2">
        <v>100.0</v>
      </c>
      <c r="P306" s="2">
        <f t="shared" si="4"/>
        <v>15</v>
      </c>
      <c r="Q306" s="2">
        <v>7.0</v>
      </c>
      <c r="R306" s="2">
        <v>7.0</v>
      </c>
      <c r="S306" s="2">
        <v>13.0</v>
      </c>
      <c r="T306" s="2">
        <v>12.0</v>
      </c>
      <c r="U306" s="2">
        <v>14.0</v>
      </c>
      <c r="V306" s="2">
        <v>14.5</v>
      </c>
      <c r="W306" s="2">
        <v>19.0</v>
      </c>
      <c r="X306" s="2">
        <v>30.0</v>
      </c>
      <c r="Y306" s="2">
        <v>0.0</v>
      </c>
      <c r="Z306" s="2">
        <v>29.0</v>
      </c>
      <c r="AA306" s="2">
        <v>29.0</v>
      </c>
      <c r="AB306" s="2">
        <f t="shared" si="5"/>
        <v>8.725</v>
      </c>
      <c r="AC306" s="2">
        <v>38.0</v>
      </c>
      <c r="AD306" s="2">
        <v>348.0</v>
      </c>
      <c r="AE306" s="3">
        <f t="shared" si="6"/>
        <v>9.65</v>
      </c>
      <c r="AF306" s="4">
        <f t="shared" si="7"/>
        <v>75.90277778</v>
      </c>
    </row>
    <row r="307">
      <c r="A307" s="1" t="s">
        <v>943</v>
      </c>
      <c r="B307" s="1" t="s">
        <v>944</v>
      </c>
      <c r="C307" s="2" t="s">
        <v>945</v>
      </c>
      <c r="D307" s="2">
        <f>VLOOKUP(B307,MT!$B$2:$F$30,5)</f>
        <v>32</v>
      </c>
      <c r="E307" s="2">
        <v>38.0</v>
      </c>
      <c r="F307" s="2">
        <f t="shared" si="1"/>
        <v>35</v>
      </c>
      <c r="G307" s="2">
        <v>14.0</v>
      </c>
      <c r="H307" s="2">
        <v>19.0</v>
      </c>
      <c r="I307" s="2">
        <v>32.0</v>
      </c>
      <c r="J307" s="3">
        <f t="shared" si="2"/>
        <v>11.80555556</v>
      </c>
      <c r="K307" s="2">
        <v>100.0</v>
      </c>
      <c r="L307" s="2">
        <v>200.0</v>
      </c>
      <c r="N307" s="3">
        <f t="shared" si="3"/>
        <v>200</v>
      </c>
      <c r="O307" s="2">
        <v>100.0</v>
      </c>
      <c r="P307" s="2">
        <f t="shared" si="4"/>
        <v>15</v>
      </c>
      <c r="Q307" s="2">
        <v>7.0</v>
      </c>
      <c r="R307" s="2">
        <v>8.0</v>
      </c>
      <c r="S307" s="2">
        <v>11.0</v>
      </c>
      <c r="T307" s="2">
        <v>15.0</v>
      </c>
      <c r="U307" s="2">
        <v>13.0</v>
      </c>
      <c r="V307" s="2">
        <v>15.0</v>
      </c>
      <c r="W307" s="2">
        <v>20.0</v>
      </c>
      <c r="X307" s="2">
        <v>30.0</v>
      </c>
      <c r="Y307" s="2">
        <v>30.0</v>
      </c>
      <c r="Z307" s="2">
        <v>30.0</v>
      </c>
      <c r="AA307" s="2">
        <v>29.0</v>
      </c>
      <c r="AB307" s="2">
        <f t="shared" si="5"/>
        <v>10.4</v>
      </c>
      <c r="AC307" s="2">
        <v>46.0</v>
      </c>
      <c r="AD307" s="2">
        <v>350.0</v>
      </c>
      <c r="AE307" s="3">
        <f t="shared" si="6"/>
        <v>9.9</v>
      </c>
      <c r="AF307" s="4">
        <f t="shared" si="7"/>
        <v>82.10555556</v>
      </c>
    </row>
    <row r="308">
      <c r="A308" s="1" t="s">
        <v>946</v>
      </c>
      <c r="B308" s="1" t="s">
        <v>947</v>
      </c>
      <c r="C308" s="2" t="s">
        <v>948</v>
      </c>
      <c r="D308" s="2">
        <f>VLOOKUP(B308,MT!$B$2:$F$30,5)</f>
        <v>45</v>
      </c>
      <c r="E308" s="2">
        <v>23.0</v>
      </c>
      <c r="F308" s="2">
        <f t="shared" si="1"/>
        <v>34</v>
      </c>
      <c r="G308" s="2">
        <v>11.0</v>
      </c>
      <c r="H308" s="2">
        <v>19.0</v>
      </c>
      <c r="I308" s="2">
        <v>25.0</v>
      </c>
      <c r="J308" s="3">
        <f t="shared" si="2"/>
        <v>10.27777778</v>
      </c>
      <c r="K308" s="2">
        <v>100.0</v>
      </c>
      <c r="L308" s="2">
        <v>196.0</v>
      </c>
      <c r="N308" s="3">
        <f t="shared" si="3"/>
        <v>196</v>
      </c>
      <c r="O308" s="2">
        <v>100.0</v>
      </c>
      <c r="P308" s="2">
        <f t="shared" si="4"/>
        <v>14.9</v>
      </c>
      <c r="Q308" s="2">
        <v>7.0</v>
      </c>
      <c r="R308" s="2">
        <v>7.0</v>
      </c>
      <c r="S308" s="2">
        <v>13.0</v>
      </c>
      <c r="T308" s="2">
        <v>12.0</v>
      </c>
      <c r="U308" s="2">
        <v>14.5</v>
      </c>
      <c r="V308" s="2">
        <v>15.0</v>
      </c>
      <c r="W308" s="2">
        <v>20.0</v>
      </c>
      <c r="X308" s="2">
        <v>30.0</v>
      </c>
      <c r="Y308" s="2">
        <v>29.0</v>
      </c>
      <c r="Z308" s="2">
        <v>30.0</v>
      </c>
      <c r="AA308" s="2">
        <v>30.0</v>
      </c>
      <c r="AB308" s="2">
        <f t="shared" si="5"/>
        <v>10.375</v>
      </c>
      <c r="AC308" s="2">
        <v>50.0</v>
      </c>
      <c r="AD308" s="2">
        <v>335.0</v>
      </c>
      <c r="AE308" s="3">
        <f t="shared" si="6"/>
        <v>9.625</v>
      </c>
      <c r="AF308" s="4">
        <f t="shared" si="7"/>
        <v>79.17777778</v>
      </c>
    </row>
    <row r="309">
      <c r="A309" s="1" t="s">
        <v>949</v>
      </c>
      <c r="B309" s="1" t="s">
        <v>950</v>
      </c>
      <c r="C309" s="2" t="s">
        <v>951</v>
      </c>
      <c r="D309" s="2">
        <f>VLOOKUP(B309,MT!$B$2:$F$30,5)</f>
        <v>34</v>
      </c>
      <c r="E309" s="2">
        <v>20.0</v>
      </c>
      <c r="F309" s="2">
        <f t="shared" si="1"/>
        <v>27</v>
      </c>
      <c r="G309" s="2">
        <v>10.0</v>
      </c>
      <c r="H309" s="2">
        <v>10.0</v>
      </c>
      <c r="I309" s="2">
        <v>25.0</v>
      </c>
      <c r="J309" s="3">
        <f t="shared" si="2"/>
        <v>7.777777778</v>
      </c>
      <c r="K309" s="2">
        <v>90.0</v>
      </c>
      <c r="L309" s="2">
        <v>180.0</v>
      </c>
      <c r="N309" s="3">
        <f t="shared" si="3"/>
        <v>180</v>
      </c>
      <c r="O309" s="2">
        <v>100.0</v>
      </c>
      <c r="P309" s="2">
        <f t="shared" si="4"/>
        <v>14</v>
      </c>
      <c r="Q309" s="2">
        <v>7.0</v>
      </c>
      <c r="R309" s="2">
        <v>9.0</v>
      </c>
      <c r="S309" s="2">
        <v>10.0</v>
      </c>
      <c r="T309" s="2">
        <v>11.5</v>
      </c>
      <c r="U309" s="2">
        <v>13.0</v>
      </c>
      <c r="V309" s="2">
        <v>15.0</v>
      </c>
      <c r="W309" s="2">
        <v>19.0</v>
      </c>
      <c r="X309" s="2">
        <v>30.0</v>
      </c>
      <c r="Y309" s="2">
        <v>26.0</v>
      </c>
      <c r="Z309" s="2">
        <v>29.0</v>
      </c>
      <c r="AA309" s="2">
        <v>28.0</v>
      </c>
      <c r="AB309" s="2">
        <f t="shared" si="5"/>
        <v>9.875</v>
      </c>
      <c r="AC309" s="2">
        <v>45.0</v>
      </c>
      <c r="AD309" s="2">
        <v>340.0</v>
      </c>
      <c r="AE309" s="3">
        <f t="shared" si="6"/>
        <v>9.625</v>
      </c>
      <c r="AF309" s="4">
        <f t="shared" si="7"/>
        <v>68.27777778</v>
      </c>
    </row>
    <row r="310">
      <c r="A310" s="1" t="s">
        <v>952</v>
      </c>
      <c r="B310" s="1" t="s">
        <v>953</v>
      </c>
      <c r="C310" s="2" t="s">
        <v>954</v>
      </c>
      <c r="D310" s="2">
        <f>VLOOKUP(B310,MT!$B$2:$F$30,5)</f>
        <v>46</v>
      </c>
      <c r="E310" s="2">
        <v>27.0</v>
      </c>
      <c r="F310" s="2">
        <f t="shared" si="1"/>
        <v>36.5</v>
      </c>
      <c r="G310" s="2">
        <v>7.0</v>
      </c>
      <c r="H310" s="2">
        <v>11.0</v>
      </c>
      <c r="I310" s="2">
        <v>21.0</v>
      </c>
      <c r="J310" s="3">
        <f t="shared" si="2"/>
        <v>6.833333333</v>
      </c>
      <c r="K310" s="2">
        <v>85.0</v>
      </c>
      <c r="L310" s="2">
        <v>180.0</v>
      </c>
      <c r="N310" s="3">
        <f t="shared" si="3"/>
        <v>180</v>
      </c>
      <c r="O310" s="2">
        <v>90.0</v>
      </c>
      <c r="P310" s="2">
        <f t="shared" si="4"/>
        <v>13.25</v>
      </c>
      <c r="Q310" s="2">
        <v>7.0</v>
      </c>
      <c r="R310" s="2">
        <v>6.0</v>
      </c>
      <c r="S310" s="2">
        <v>10.0</v>
      </c>
      <c r="T310" s="2">
        <v>12.0</v>
      </c>
      <c r="U310" s="2">
        <v>10.0</v>
      </c>
      <c r="V310" s="2">
        <v>14.5</v>
      </c>
      <c r="W310" s="2">
        <v>16.0</v>
      </c>
      <c r="X310" s="2">
        <v>30.0</v>
      </c>
      <c r="Y310" s="2">
        <v>25.0</v>
      </c>
      <c r="Z310" s="2">
        <v>29.0</v>
      </c>
      <c r="AA310" s="2">
        <v>28.0</v>
      </c>
      <c r="AB310" s="2">
        <f t="shared" si="5"/>
        <v>9.375</v>
      </c>
      <c r="AC310" s="2">
        <v>48.0</v>
      </c>
      <c r="AD310" s="2">
        <v>340.0</v>
      </c>
      <c r="AE310" s="3">
        <f t="shared" si="6"/>
        <v>9.7</v>
      </c>
      <c r="AF310" s="4">
        <f t="shared" si="7"/>
        <v>75.65833333</v>
      </c>
    </row>
    <row r="311">
      <c r="A311" s="1" t="s">
        <v>955</v>
      </c>
      <c r="B311" s="1" t="s">
        <v>956</v>
      </c>
      <c r="C311" s="2" t="s">
        <v>957</v>
      </c>
      <c r="D311" s="2">
        <f>VLOOKUP(B311,MT!$B$2:$F$30,5)</f>
        <v>30</v>
      </c>
      <c r="E311" s="2">
        <v>13.0</v>
      </c>
      <c r="F311" s="2">
        <f t="shared" si="1"/>
        <v>21.5</v>
      </c>
      <c r="G311" s="2">
        <v>6.0</v>
      </c>
      <c r="H311" s="2">
        <v>12.0</v>
      </c>
      <c r="I311" s="2">
        <v>-1.0</v>
      </c>
      <c r="J311" s="3">
        <f t="shared" si="2"/>
        <v>4.388888889</v>
      </c>
      <c r="K311" s="2">
        <v>85.0</v>
      </c>
      <c r="L311" s="2">
        <v>200.0</v>
      </c>
      <c r="N311" s="3">
        <f t="shared" si="3"/>
        <v>200</v>
      </c>
      <c r="O311" s="2">
        <v>100.0</v>
      </c>
      <c r="P311" s="2">
        <f t="shared" si="4"/>
        <v>14.25</v>
      </c>
      <c r="Q311" s="2">
        <v>7.0</v>
      </c>
      <c r="R311" s="2">
        <v>8.0</v>
      </c>
      <c r="S311" s="2">
        <v>12.0</v>
      </c>
      <c r="T311" s="2">
        <v>14.0</v>
      </c>
      <c r="U311" s="2">
        <v>12.0</v>
      </c>
      <c r="V311" s="2">
        <v>12.5</v>
      </c>
      <c r="W311" s="2">
        <v>18.0</v>
      </c>
      <c r="X311" s="2">
        <v>30.0</v>
      </c>
      <c r="Y311" s="2">
        <v>28.0</v>
      </c>
      <c r="Z311" s="2">
        <v>28.0</v>
      </c>
      <c r="AA311" s="2">
        <v>29.0</v>
      </c>
      <c r="AB311" s="2">
        <f t="shared" si="5"/>
        <v>9.925</v>
      </c>
      <c r="AC311" s="2">
        <v>50.0</v>
      </c>
      <c r="AD311" s="2">
        <v>345.0</v>
      </c>
      <c r="AE311" s="3">
        <f t="shared" si="6"/>
        <v>9.875</v>
      </c>
      <c r="AF311" s="4">
        <f t="shared" si="7"/>
        <v>59.93888889</v>
      </c>
    </row>
    <row r="312">
      <c r="A312" s="1" t="s">
        <v>958</v>
      </c>
      <c r="B312" s="1" t="s">
        <v>959</v>
      </c>
      <c r="C312" s="2" t="s">
        <v>960</v>
      </c>
      <c r="D312" s="2">
        <f>VLOOKUP(B312,MT!$B$2:$F$30,5)</f>
        <v>49</v>
      </c>
      <c r="E312" s="2">
        <v>32.0</v>
      </c>
      <c r="F312" s="2">
        <f t="shared" si="1"/>
        <v>40.5</v>
      </c>
      <c r="G312" s="2">
        <v>10.0</v>
      </c>
      <c r="H312" s="2">
        <v>16.5</v>
      </c>
      <c r="I312" s="2">
        <v>28.0</v>
      </c>
      <c r="J312" s="3">
        <f t="shared" si="2"/>
        <v>9.736111111</v>
      </c>
      <c r="K312" s="2">
        <v>100.0</v>
      </c>
      <c r="L312" s="2">
        <v>200.0</v>
      </c>
      <c r="N312" s="3">
        <f t="shared" si="3"/>
        <v>200</v>
      </c>
      <c r="O312" s="2">
        <v>100.0</v>
      </c>
      <c r="P312" s="2">
        <f t="shared" si="4"/>
        <v>15</v>
      </c>
      <c r="Q312" s="2">
        <v>7.0</v>
      </c>
      <c r="R312" s="2">
        <v>7.0</v>
      </c>
      <c r="S312" s="2">
        <v>10.0</v>
      </c>
      <c r="T312" s="2">
        <v>14.0</v>
      </c>
      <c r="U312" s="2">
        <v>14.0</v>
      </c>
      <c r="V312" s="2">
        <v>13.0</v>
      </c>
      <c r="W312" s="2">
        <v>20.0</v>
      </c>
      <c r="X312" s="2">
        <v>30.0</v>
      </c>
      <c r="Y312" s="2">
        <v>30.0</v>
      </c>
      <c r="Z312" s="2">
        <v>30.0</v>
      </c>
      <c r="AA312" s="2">
        <v>30.0</v>
      </c>
      <c r="AB312" s="2">
        <f t="shared" si="5"/>
        <v>10.25</v>
      </c>
      <c r="AC312" s="2">
        <v>50.0</v>
      </c>
      <c r="AD312" s="2">
        <v>350.0</v>
      </c>
      <c r="AE312" s="3">
        <f t="shared" si="6"/>
        <v>10</v>
      </c>
      <c r="AF312" s="4">
        <f t="shared" si="7"/>
        <v>85.48611111</v>
      </c>
    </row>
    <row r="313">
      <c r="A313" s="1" t="s">
        <v>995</v>
      </c>
      <c r="B313" s="1" t="s">
        <v>996</v>
      </c>
      <c r="C313" s="2" t="s">
        <v>997</v>
      </c>
      <c r="D313" s="2">
        <f>VLOOKUP(B313, 'MSC-Vikrant'!B2:F13,5)</f>
        <v>20</v>
      </c>
      <c r="E313" s="2">
        <v>11.0</v>
      </c>
      <c r="F313" s="2">
        <f t="shared" si="1"/>
        <v>15.5</v>
      </c>
      <c r="G313" s="2">
        <v>9.0</v>
      </c>
      <c r="H313" s="2">
        <v>10.0</v>
      </c>
      <c r="I313" s="2">
        <v>22.0</v>
      </c>
      <c r="J313" s="3">
        <f t="shared" si="2"/>
        <v>7.194444444</v>
      </c>
      <c r="K313" s="2">
        <v>50.0</v>
      </c>
      <c r="L313" s="2">
        <v>165.0</v>
      </c>
      <c r="M313" s="2">
        <v>160.0</v>
      </c>
      <c r="N313" s="3">
        <f t="shared" si="3"/>
        <v>165</v>
      </c>
      <c r="O313" s="2">
        <v>92.0</v>
      </c>
      <c r="P313" s="2">
        <f t="shared" si="4"/>
        <v>11.225</v>
      </c>
      <c r="Q313" s="2">
        <v>6.0</v>
      </c>
      <c r="S313" s="2">
        <v>10.0</v>
      </c>
      <c r="T313" s="2">
        <v>5.0</v>
      </c>
      <c r="U313" s="2">
        <v>10.0</v>
      </c>
      <c r="V313" s="2">
        <v>12.0</v>
      </c>
      <c r="W313" s="2">
        <v>15.0</v>
      </c>
      <c r="X313" s="2">
        <v>28.0</v>
      </c>
      <c r="Y313" s="2">
        <v>30.0</v>
      </c>
      <c r="Z313" s="2">
        <v>28.0</v>
      </c>
      <c r="AA313" s="2">
        <v>29.0</v>
      </c>
      <c r="AB313" s="2">
        <f t="shared" si="5"/>
        <v>8.65</v>
      </c>
      <c r="AC313" s="2">
        <v>50.0</v>
      </c>
      <c r="AD313" s="2">
        <v>290.0</v>
      </c>
      <c r="AE313" s="3">
        <f t="shared" si="6"/>
        <v>8.5</v>
      </c>
      <c r="AF313" s="4">
        <f t="shared" si="7"/>
        <v>51.06944444</v>
      </c>
    </row>
    <row r="314">
      <c r="A314" s="2" t="s">
        <v>998</v>
      </c>
      <c r="B314" s="2" t="s">
        <v>999</v>
      </c>
      <c r="C314" s="2" t="s">
        <v>1000</v>
      </c>
      <c r="D314" s="2">
        <f>VLOOKUP(B314, 'MSC-Vikrant'!B3:F14,5)</f>
        <v>29</v>
      </c>
      <c r="E314" s="2">
        <v>27.0</v>
      </c>
      <c r="F314" s="2">
        <f t="shared" si="1"/>
        <v>28</v>
      </c>
      <c r="G314" s="2">
        <v>9.0</v>
      </c>
      <c r="H314" s="2">
        <v>11.0</v>
      </c>
      <c r="I314" s="2">
        <v>8.0</v>
      </c>
      <c r="J314" s="3">
        <f t="shared" si="2"/>
        <v>5.888888889</v>
      </c>
      <c r="K314" s="2">
        <v>85.0</v>
      </c>
      <c r="L314" s="2">
        <v>174.0</v>
      </c>
      <c r="N314" s="3">
        <f t="shared" si="3"/>
        <v>174</v>
      </c>
      <c r="O314" s="2">
        <v>90.0</v>
      </c>
      <c r="P314" s="2">
        <f t="shared" si="4"/>
        <v>13.1</v>
      </c>
      <c r="Q314" s="2">
        <v>7.0</v>
      </c>
      <c r="S314" s="2">
        <v>9.0</v>
      </c>
      <c r="T314" s="2">
        <v>11.0</v>
      </c>
      <c r="U314" s="2">
        <v>14.0</v>
      </c>
      <c r="V314" s="2">
        <v>14.0</v>
      </c>
      <c r="W314" s="2">
        <v>16.0</v>
      </c>
      <c r="X314" s="2">
        <v>29.0</v>
      </c>
      <c r="Y314" s="2">
        <v>21.0</v>
      </c>
      <c r="Z314" s="2">
        <v>28.0</v>
      </c>
      <c r="AA314" s="2">
        <v>29.0</v>
      </c>
      <c r="AB314" s="2">
        <f t="shared" si="5"/>
        <v>8.9</v>
      </c>
      <c r="AC314" s="2">
        <v>50.0</v>
      </c>
      <c r="AD314" s="2">
        <v>340.0</v>
      </c>
      <c r="AE314" s="3">
        <f t="shared" si="6"/>
        <v>9.75</v>
      </c>
      <c r="AF314" s="4">
        <f t="shared" si="7"/>
        <v>65.63888889</v>
      </c>
    </row>
    <row r="315">
      <c r="A315" s="2" t="s">
        <v>1001</v>
      </c>
      <c r="B315" s="2" t="s">
        <v>1002</v>
      </c>
      <c r="C315" s="2" t="s">
        <v>1003</v>
      </c>
      <c r="D315" s="2">
        <f>VLOOKUP(B315, 'MSC-Vikrant'!B4:F15,5)</f>
        <v>28</v>
      </c>
      <c r="E315" s="2">
        <v>5.0</v>
      </c>
      <c r="F315" s="2">
        <f t="shared" si="1"/>
        <v>16.5</v>
      </c>
      <c r="G315" s="2">
        <v>9.0</v>
      </c>
      <c r="H315" s="2">
        <v>10.0</v>
      </c>
      <c r="I315" s="2">
        <v>12.0</v>
      </c>
      <c r="J315" s="3">
        <f t="shared" si="2"/>
        <v>6.083333333</v>
      </c>
      <c r="K315" s="2">
        <v>80.0</v>
      </c>
      <c r="L315" s="2">
        <v>158.0</v>
      </c>
      <c r="N315" s="3">
        <f t="shared" si="3"/>
        <v>158</v>
      </c>
      <c r="O315" s="2">
        <v>93.0</v>
      </c>
      <c r="P315" s="2">
        <f t="shared" si="4"/>
        <v>12.6</v>
      </c>
      <c r="Q315" s="2">
        <v>7.0</v>
      </c>
      <c r="R315" s="2">
        <v>7.0</v>
      </c>
      <c r="S315" s="2">
        <v>8.0</v>
      </c>
      <c r="T315" s="2">
        <v>0.0</v>
      </c>
      <c r="U315" s="2">
        <v>14.0</v>
      </c>
      <c r="V315" s="2">
        <v>15.0</v>
      </c>
      <c r="W315" s="2">
        <v>12.0</v>
      </c>
      <c r="X315" s="2">
        <v>29.0</v>
      </c>
      <c r="Y315" s="2">
        <v>27.0</v>
      </c>
      <c r="Z315" s="2">
        <v>28.0</v>
      </c>
      <c r="AB315" s="2">
        <f t="shared" si="5"/>
        <v>7.35</v>
      </c>
      <c r="AC315" s="2">
        <v>50.0</v>
      </c>
      <c r="AD315" s="2">
        <v>310.0</v>
      </c>
      <c r="AE315" s="3">
        <f t="shared" si="6"/>
        <v>9</v>
      </c>
      <c r="AF315" s="4">
        <f t="shared" si="7"/>
        <v>51.53333333</v>
      </c>
    </row>
    <row r="316">
      <c r="A316" s="1" t="s">
        <v>1004</v>
      </c>
      <c r="B316" s="1" t="s">
        <v>1005</v>
      </c>
      <c r="C316" s="2" t="s">
        <v>1006</v>
      </c>
      <c r="D316" s="2">
        <f>VLOOKUP(B316, 'MSC-Vikrant'!B5:F16,5)</f>
        <v>40</v>
      </c>
      <c r="E316" s="2">
        <v>26.0</v>
      </c>
      <c r="F316" s="2">
        <f t="shared" si="1"/>
        <v>33</v>
      </c>
      <c r="G316" s="2">
        <v>13.0</v>
      </c>
      <c r="H316" s="2">
        <v>12.0</v>
      </c>
      <c r="I316" s="2">
        <v>19.0</v>
      </c>
      <c r="J316" s="3">
        <f t="shared" si="2"/>
        <v>8.361111111</v>
      </c>
      <c r="K316" s="2">
        <v>95.0</v>
      </c>
      <c r="L316" s="2">
        <v>170.0</v>
      </c>
      <c r="N316" s="3">
        <f t="shared" si="3"/>
        <v>170</v>
      </c>
      <c r="O316" s="2">
        <v>88.0</v>
      </c>
      <c r="P316" s="2">
        <f t="shared" si="4"/>
        <v>13.4</v>
      </c>
      <c r="Q316" s="2">
        <v>7.0</v>
      </c>
      <c r="R316" s="2">
        <v>7.0</v>
      </c>
      <c r="S316" s="2">
        <v>9.0</v>
      </c>
      <c r="T316" s="2">
        <v>9.0</v>
      </c>
      <c r="U316" s="2">
        <v>15.0</v>
      </c>
      <c r="V316" s="2">
        <v>15.0</v>
      </c>
      <c r="W316" s="2">
        <v>17.0</v>
      </c>
      <c r="X316" s="2">
        <v>30.0</v>
      </c>
      <c r="Y316" s="2">
        <v>30.0</v>
      </c>
      <c r="Z316" s="2">
        <v>28.0</v>
      </c>
      <c r="AA316" s="2">
        <v>29.0</v>
      </c>
      <c r="AB316" s="2">
        <f t="shared" si="5"/>
        <v>9.8</v>
      </c>
      <c r="AC316" s="2">
        <v>50.0</v>
      </c>
      <c r="AD316" s="2">
        <v>320.0</v>
      </c>
      <c r="AE316" s="3">
        <f t="shared" si="6"/>
        <v>9.25</v>
      </c>
      <c r="AF316" s="4">
        <f t="shared" si="7"/>
        <v>73.81111111</v>
      </c>
    </row>
    <row r="317">
      <c r="A317" s="2" t="s">
        <v>1007</v>
      </c>
      <c r="B317" s="2" t="s">
        <v>1008</v>
      </c>
      <c r="C317" s="2" t="s">
        <v>1009</v>
      </c>
      <c r="D317" s="2">
        <f>VLOOKUP(B317, 'MSC-Vikrant'!B6:F17,5)</f>
        <v>30</v>
      </c>
      <c r="E317" s="2">
        <v>25.0</v>
      </c>
      <c r="F317" s="2">
        <f t="shared" si="1"/>
        <v>27.5</v>
      </c>
      <c r="G317" s="2">
        <v>7.0</v>
      </c>
      <c r="H317" s="2">
        <v>9.0</v>
      </c>
      <c r="I317" s="2">
        <v>8.0</v>
      </c>
      <c r="J317" s="3">
        <f t="shared" si="2"/>
        <v>4.888888889</v>
      </c>
      <c r="K317" s="2">
        <v>90.0</v>
      </c>
      <c r="L317" s="2">
        <v>170.0</v>
      </c>
      <c r="M317" s="2">
        <v>165.0</v>
      </c>
      <c r="N317" s="3">
        <f t="shared" si="3"/>
        <v>170</v>
      </c>
      <c r="O317" s="2">
        <v>94.0</v>
      </c>
      <c r="P317" s="2">
        <f t="shared" si="4"/>
        <v>13.45</v>
      </c>
      <c r="Q317" s="2">
        <v>7.0</v>
      </c>
      <c r="S317" s="2">
        <v>8.0</v>
      </c>
      <c r="T317" s="2">
        <v>6.0</v>
      </c>
      <c r="U317" s="2">
        <v>14.0</v>
      </c>
      <c r="V317" s="2">
        <v>12.0</v>
      </c>
      <c r="W317" s="2">
        <v>14.0</v>
      </c>
      <c r="X317" s="2">
        <v>29.0</v>
      </c>
      <c r="Z317" s="2">
        <v>27.0</v>
      </c>
      <c r="AA317" s="2">
        <v>28.0</v>
      </c>
      <c r="AB317" s="2">
        <f t="shared" si="5"/>
        <v>7.25</v>
      </c>
      <c r="AC317" s="2">
        <v>50.0</v>
      </c>
      <c r="AD317" s="2">
        <v>320.0</v>
      </c>
      <c r="AE317" s="3">
        <f t="shared" si="6"/>
        <v>9.25</v>
      </c>
      <c r="AF317" s="4">
        <f t="shared" si="7"/>
        <v>62.33888889</v>
      </c>
    </row>
    <row r="318">
      <c r="A318" s="2" t="s">
        <v>1010</v>
      </c>
      <c r="B318" s="2" t="s">
        <v>1011</v>
      </c>
      <c r="C318" s="2" t="s">
        <v>1012</v>
      </c>
      <c r="D318" s="2">
        <f>VLOOKUP(B318, 'MSC-Vikrant'!B7:F18,5)</f>
        <v>11</v>
      </c>
      <c r="E318" s="2">
        <v>11.0</v>
      </c>
      <c r="F318" s="2">
        <f t="shared" si="1"/>
        <v>11</v>
      </c>
      <c r="G318" s="2">
        <v>11.0</v>
      </c>
      <c r="H318" s="2">
        <v>4.0</v>
      </c>
      <c r="I318" s="2">
        <v>3.5</v>
      </c>
      <c r="J318" s="3">
        <f t="shared" si="2"/>
        <v>4.138888889</v>
      </c>
      <c r="K318" s="2">
        <v>70.0</v>
      </c>
      <c r="L318" s="2">
        <v>162.0</v>
      </c>
      <c r="M318" s="2">
        <v>165.0</v>
      </c>
      <c r="N318" s="3">
        <f t="shared" si="3"/>
        <v>165</v>
      </c>
      <c r="O318" s="2">
        <v>92.0</v>
      </c>
      <c r="P318" s="2">
        <f t="shared" si="4"/>
        <v>12.225</v>
      </c>
      <c r="Q318" s="2">
        <v>5.0</v>
      </c>
      <c r="S318" s="2">
        <v>4.0</v>
      </c>
      <c r="T318" s="2">
        <v>5.0</v>
      </c>
      <c r="U318" s="2">
        <v>15.0</v>
      </c>
      <c r="V318" s="2">
        <v>12.0</v>
      </c>
      <c r="W318" s="2">
        <v>15.0</v>
      </c>
      <c r="X318" s="2">
        <v>28.0</v>
      </c>
      <c r="Y318" s="2">
        <v>18.0</v>
      </c>
      <c r="Z318" s="2">
        <v>29.0</v>
      </c>
      <c r="AB318" s="2">
        <f t="shared" si="5"/>
        <v>6.55</v>
      </c>
      <c r="AC318" s="2">
        <v>50.0</v>
      </c>
      <c r="AD318" s="2">
        <v>280.0</v>
      </c>
      <c r="AE318" s="3">
        <f t="shared" si="6"/>
        <v>8.25</v>
      </c>
      <c r="AF318" s="4">
        <f t="shared" si="7"/>
        <v>42.16388889</v>
      </c>
    </row>
    <row r="319">
      <c r="A319" s="2" t="s">
        <v>1013</v>
      </c>
      <c r="B319" s="2" t="s">
        <v>1014</v>
      </c>
      <c r="C319" s="2" t="s">
        <v>1015</v>
      </c>
      <c r="D319" s="2">
        <f>VLOOKUP(B319, 'MSC-Vikrant'!B8:F19,5)</f>
        <v>30</v>
      </c>
      <c r="E319" s="2">
        <v>17.0</v>
      </c>
      <c r="F319" s="2">
        <f t="shared" si="1"/>
        <v>23.5</v>
      </c>
      <c r="G319" s="2">
        <v>7.0</v>
      </c>
      <c r="H319" s="2">
        <v>13.0</v>
      </c>
      <c r="I319" s="2">
        <v>8.5</v>
      </c>
      <c r="J319" s="3">
        <f t="shared" si="2"/>
        <v>5.944444444</v>
      </c>
      <c r="K319" s="2">
        <v>90.0</v>
      </c>
      <c r="M319" s="2">
        <v>165.0</v>
      </c>
      <c r="N319" s="3">
        <f t="shared" si="3"/>
        <v>165</v>
      </c>
      <c r="O319" s="2">
        <v>90.0</v>
      </c>
      <c r="P319" s="2">
        <f t="shared" si="4"/>
        <v>13.125</v>
      </c>
      <c r="Q319" s="2">
        <v>6.0</v>
      </c>
      <c r="S319" s="2">
        <v>8.0</v>
      </c>
      <c r="T319" s="2">
        <v>5.0</v>
      </c>
      <c r="U319" s="2">
        <v>15.0</v>
      </c>
      <c r="W319" s="2">
        <v>13.0</v>
      </c>
      <c r="Z319" s="2">
        <v>30.0</v>
      </c>
      <c r="AA319" s="2">
        <v>28.0</v>
      </c>
      <c r="AB319" s="2">
        <f t="shared" si="5"/>
        <v>5.25</v>
      </c>
      <c r="AC319" s="2">
        <v>50.0</v>
      </c>
      <c r="AD319" s="2">
        <v>310.0</v>
      </c>
      <c r="AE319" s="3">
        <f t="shared" si="6"/>
        <v>9</v>
      </c>
      <c r="AF319" s="4">
        <f t="shared" si="7"/>
        <v>56.81944444</v>
      </c>
    </row>
    <row r="320">
      <c r="A320" s="1" t="s">
        <v>1016</v>
      </c>
      <c r="B320" s="1" t="s">
        <v>1017</v>
      </c>
      <c r="C320" s="2" t="s">
        <v>1018</v>
      </c>
      <c r="D320" s="2">
        <f>VLOOKUP(B320, 'MSC-Vikrant'!B9:F20,5)</f>
        <v>21</v>
      </c>
      <c r="E320" s="2">
        <v>13.0</v>
      </c>
      <c r="F320" s="2">
        <f t="shared" si="1"/>
        <v>17</v>
      </c>
      <c r="G320" s="2">
        <v>9.0</v>
      </c>
      <c r="H320" s="2">
        <v>1.0</v>
      </c>
      <c r="I320" s="2">
        <v>6.5</v>
      </c>
      <c r="J320" s="3">
        <f t="shared" si="2"/>
        <v>3.222222222</v>
      </c>
      <c r="K320" s="2">
        <v>80.0</v>
      </c>
      <c r="L320" s="2">
        <v>154.0</v>
      </c>
      <c r="N320" s="3">
        <f t="shared" si="3"/>
        <v>154</v>
      </c>
      <c r="O320" s="2">
        <v>91.0</v>
      </c>
      <c r="P320" s="2">
        <f t="shared" si="4"/>
        <v>12.4</v>
      </c>
      <c r="R320" s="2">
        <v>7.0</v>
      </c>
      <c r="T320" s="2">
        <v>0.0</v>
      </c>
      <c r="U320" s="2">
        <v>15.0</v>
      </c>
      <c r="V320" s="2">
        <v>10.0</v>
      </c>
      <c r="W320" s="2">
        <v>12.0</v>
      </c>
      <c r="X320" s="2">
        <v>29.0</v>
      </c>
      <c r="Y320" s="2">
        <v>27.0</v>
      </c>
      <c r="Z320" s="2">
        <v>28.0</v>
      </c>
      <c r="AB320" s="2">
        <f t="shared" si="5"/>
        <v>6.4</v>
      </c>
      <c r="AC320" s="2">
        <v>50.0</v>
      </c>
      <c r="AD320" s="2">
        <v>300.0</v>
      </c>
      <c r="AE320" s="3">
        <f t="shared" si="6"/>
        <v>8.75</v>
      </c>
      <c r="AF320" s="4">
        <f t="shared" si="7"/>
        <v>47.77222222</v>
      </c>
    </row>
    <row r="321">
      <c r="A321" s="2" t="s">
        <v>1019</v>
      </c>
      <c r="B321" s="2" t="s">
        <v>1020</v>
      </c>
      <c r="C321" s="2" t="s">
        <v>1021</v>
      </c>
      <c r="D321" s="2">
        <f>VLOOKUP(B321, 'MSC-Vikrant'!B10:F21,5)</f>
        <v>25</v>
      </c>
      <c r="E321" s="2">
        <v>10.0</v>
      </c>
      <c r="F321" s="2">
        <f t="shared" si="1"/>
        <v>17.5</v>
      </c>
      <c r="G321" s="2">
        <v>11.0</v>
      </c>
      <c r="H321" s="2">
        <v>6.0</v>
      </c>
      <c r="I321" s="2">
        <v>20.0</v>
      </c>
      <c r="J321" s="3">
        <f t="shared" si="2"/>
        <v>6.472222222</v>
      </c>
      <c r="K321" s="2">
        <v>95.0</v>
      </c>
      <c r="L321" s="2">
        <v>160.0</v>
      </c>
      <c r="N321" s="3">
        <f t="shared" si="3"/>
        <v>160</v>
      </c>
      <c r="O321" s="2">
        <v>93.0</v>
      </c>
      <c r="P321" s="2">
        <f t="shared" si="4"/>
        <v>13.4</v>
      </c>
      <c r="Q321" s="2">
        <v>7.0</v>
      </c>
      <c r="R321" s="2">
        <v>8.0</v>
      </c>
      <c r="S321" s="2">
        <v>7.0</v>
      </c>
      <c r="T321" s="2">
        <v>0.0</v>
      </c>
      <c r="U321" s="2">
        <v>13.0</v>
      </c>
      <c r="V321" s="2">
        <v>15.0</v>
      </c>
      <c r="W321" s="2">
        <v>13.0</v>
      </c>
      <c r="X321" s="2">
        <v>30.0</v>
      </c>
      <c r="Y321" s="2">
        <v>27.0</v>
      </c>
      <c r="Z321" s="2">
        <v>30.0</v>
      </c>
      <c r="AB321" s="2">
        <f t="shared" si="5"/>
        <v>7.5</v>
      </c>
      <c r="AC321" s="2">
        <v>50.0</v>
      </c>
      <c r="AD321" s="2">
        <v>300.0</v>
      </c>
      <c r="AE321" s="3">
        <f t="shared" si="6"/>
        <v>8.75</v>
      </c>
      <c r="AF321" s="4">
        <f t="shared" si="7"/>
        <v>53.62222222</v>
      </c>
    </row>
    <row r="322">
      <c r="A322" s="2" t="s">
        <v>1022</v>
      </c>
      <c r="B322" s="2" t="s">
        <v>1023</v>
      </c>
      <c r="C322" s="2" t="s">
        <v>1024</v>
      </c>
      <c r="D322" s="2">
        <f>VLOOKUP(B322, 'MSC-Vikrant'!B11:F22,5)</f>
        <v>45</v>
      </c>
      <c r="E322" s="2">
        <v>23.0</v>
      </c>
      <c r="F322" s="2">
        <f t="shared" si="1"/>
        <v>34</v>
      </c>
      <c r="G322" s="2">
        <v>11.0</v>
      </c>
      <c r="H322" s="2">
        <v>12.0</v>
      </c>
      <c r="I322" s="2">
        <v>26.0</v>
      </c>
      <c r="J322" s="3">
        <f t="shared" si="2"/>
        <v>8.638888889</v>
      </c>
      <c r="K322" s="2">
        <v>75.0</v>
      </c>
      <c r="L322" s="2">
        <v>160.0</v>
      </c>
      <c r="N322" s="3">
        <f t="shared" si="3"/>
        <v>160</v>
      </c>
      <c r="O322" s="2">
        <v>90.0</v>
      </c>
      <c r="P322" s="2">
        <f t="shared" si="4"/>
        <v>12.25</v>
      </c>
      <c r="Q322" s="2">
        <v>7.0</v>
      </c>
      <c r="R322" s="2">
        <v>6.0</v>
      </c>
      <c r="S322" s="2">
        <v>11.0</v>
      </c>
      <c r="T322" s="2">
        <v>0.0</v>
      </c>
      <c r="V322" s="2">
        <v>15.0</v>
      </c>
      <c r="W322" s="2">
        <v>16.0</v>
      </c>
      <c r="X322" s="2">
        <v>29.0</v>
      </c>
      <c r="Z322" s="2">
        <v>29.0</v>
      </c>
      <c r="AB322" s="2">
        <f t="shared" si="5"/>
        <v>5.65</v>
      </c>
      <c r="AC322" s="2">
        <v>50.0</v>
      </c>
      <c r="AD322" s="2">
        <v>300.0</v>
      </c>
      <c r="AE322" s="3">
        <f t="shared" si="6"/>
        <v>8.75</v>
      </c>
      <c r="AF322" s="4">
        <f t="shared" si="7"/>
        <v>69.28888889</v>
      </c>
    </row>
    <row r="323">
      <c r="A323" s="2" t="s">
        <v>1025</v>
      </c>
      <c r="B323" s="2" t="s">
        <v>1026</v>
      </c>
      <c r="C323" s="2" t="s">
        <v>1027</v>
      </c>
      <c r="D323" s="2">
        <f>VLOOKUP(B323, 'MSC-Vikrant'!B12:F23,5)</f>
        <v>15</v>
      </c>
      <c r="E323" s="2">
        <v>18.0</v>
      </c>
      <c r="F323" s="2">
        <f t="shared" si="1"/>
        <v>16.5</v>
      </c>
      <c r="G323" s="2">
        <v>6.0</v>
      </c>
      <c r="H323" s="2">
        <v>10.0</v>
      </c>
      <c r="I323" s="2">
        <v>23.0</v>
      </c>
      <c r="J323" s="3">
        <f t="shared" si="2"/>
        <v>6.555555556</v>
      </c>
      <c r="K323" s="2">
        <v>85.0</v>
      </c>
      <c r="L323" s="2">
        <v>160.0</v>
      </c>
      <c r="N323" s="3">
        <f t="shared" si="3"/>
        <v>160</v>
      </c>
      <c r="O323" s="2">
        <v>92.0</v>
      </c>
      <c r="P323" s="2">
        <f t="shared" si="4"/>
        <v>12.85</v>
      </c>
      <c r="Q323" s="2">
        <v>6.0</v>
      </c>
      <c r="R323" s="2">
        <v>6.0</v>
      </c>
      <c r="S323" s="2">
        <v>8.0</v>
      </c>
      <c r="T323" s="2">
        <v>0.0</v>
      </c>
      <c r="U323" s="2">
        <v>14.0</v>
      </c>
      <c r="V323" s="2">
        <v>15.0</v>
      </c>
      <c r="W323" s="2">
        <v>12.0</v>
      </c>
      <c r="X323" s="2">
        <v>28.0</v>
      </c>
      <c r="Y323" s="2">
        <v>27.0</v>
      </c>
      <c r="Z323" s="2">
        <v>30.0</v>
      </c>
      <c r="AB323" s="2">
        <f t="shared" si="5"/>
        <v>7.3</v>
      </c>
      <c r="AC323" s="2">
        <v>50.0</v>
      </c>
      <c r="AD323" s="2">
        <v>300.0</v>
      </c>
      <c r="AE323" s="3">
        <f t="shared" si="6"/>
        <v>8.75</v>
      </c>
      <c r="AF323" s="4">
        <f t="shared" si="7"/>
        <v>51.95555556</v>
      </c>
    </row>
    <row r="324">
      <c r="A324" s="1" t="s">
        <v>808</v>
      </c>
      <c r="B324" s="1" t="s">
        <v>809</v>
      </c>
      <c r="C324" s="2" t="s">
        <v>810</v>
      </c>
      <c r="D324" s="2">
        <f>VLOOKUP(B324,'MM-Subhashree'!$B$2:F$26,5)</f>
        <v>20</v>
      </c>
      <c r="E324" s="2">
        <v>11.0</v>
      </c>
      <c r="F324" s="2">
        <f t="shared" si="1"/>
        <v>15.5</v>
      </c>
      <c r="H324" s="2">
        <v>5.0</v>
      </c>
      <c r="I324" s="2">
        <v>16.0</v>
      </c>
      <c r="J324" s="3">
        <f t="shared" si="2"/>
        <v>3.027777778</v>
      </c>
      <c r="M324" s="2">
        <v>165.0</v>
      </c>
      <c r="N324" s="3">
        <f t="shared" si="3"/>
        <v>165</v>
      </c>
      <c r="P324" s="2">
        <f t="shared" si="4"/>
        <v>4.125</v>
      </c>
      <c r="Q324" s="2">
        <v>6.0</v>
      </c>
      <c r="R324" s="2">
        <v>5.0</v>
      </c>
      <c r="S324" s="2">
        <v>6.0</v>
      </c>
      <c r="V324" s="2">
        <v>10.0</v>
      </c>
      <c r="W324" s="2">
        <v>18.0</v>
      </c>
      <c r="Z324" s="2">
        <v>28.0</v>
      </c>
      <c r="AB324" s="2">
        <f t="shared" si="5"/>
        <v>3.65</v>
      </c>
      <c r="AD324" s="2">
        <v>340.0</v>
      </c>
      <c r="AE324" s="3">
        <f t="shared" si="6"/>
        <v>8.5</v>
      </c>
      <c r="AF324" s="4">
        <f t="shared" si="7"/>
        <v>34.80277778</v>
      </c>
    </row>
    <row r="325">
      <c r="A325" s="1" t="s">
        <v>910</v>
      </c>
      <c r="B325" s="1" t="s">
        <v>911</v>
      </c>
      <c r="C325" s="2" t="s">
        <v>912</v>
      </c>
      <c r="D325" s="2" t="str">
        <f>VLOOKUP(B325, 'CSE-Sandeep'!B322:G381,5)</f>
        <v>#N/A</v>
      </c>
      <c r="E325" s="2">
        <v>21.0</v>
      </c>
      <c r="F325" s="2" t="str">
        <f t="shared" si="1"/>
        <v>#N/A</v>
      </c>
      <c r="G325" s="2">
        <v>7.0</v>
      </c>
      <c r="H325" s="2">
        <v>6.0</v>
      </c>
      <c r="I325" s="2">
        <v>-1.0</v>
      </c>
      <c r="J325" s="3">
        <f t="shared" si="2"/>
        <v>3.138888889</v>
      </c>
      <c r="K325" s="2">
        <v>95.0</v>
      </c>
      <c r="L325" s="2">
        <v>190.0</v>
      </c>
      <c r="N325" s="3">
        <f t="shared" si="3"/>
        <v>190</v>
      </c>
      <c r="O325" s="2">
        <v>85.0</v>
      </c>
      <c r="P325" s="2">
        <f t="shared" si="4"/>
        <v>13.75</v>
      </c>
      <c r="Q325" s="2">
        <v>7.0</v>
      </c>
      <c r="R325" s="2">
        <v>5.0</v>
      </c>
      <c r="S325" s="2">
        <v>8.0</v>
      </c>
      <c r="T325" s="2">
        <v>14.0</v>
      </c>
      <c r="U325" s="2">
        <v>12.0</v>
      </c>
      <c r="V325" s="2">
        <v>13.0</v>
      </c>
      <c r="W325" s="2">
        <v>17.0</v>
      </c>
      <c r="X325" s="2">
        <v>29.0</v>
      </c>
      <c r="Y325" s="2">
        <v>28.0</v>
      </c>
      <c r="Z325" s="2">
        <v>28.0</v>
      </c>
      <c r="AA325" s="2">
        <v>29.0</v>
      </c>
      <c r="AB325" s="2">
        <f t="shared" si="5"/>
        <v>9.5</v>
      </c>
      <c r="AC325" s="2">
        <v>0.0</v>
      </c>
      <c r="AD325" s="2">
        <v>325.0</v>
      </c>
      <c r="AE325" s="3">
        <f t="shared" si="6"/>
        <v>8.125</v>
      </c>
      <c r="AF325" s="4" t="str">
        <f t="shared" si="7"/>
        <v>#N/A</v>
      </c>
    </row>
    <row r="326">
      <c r="A326" s="1" t="s">
        <v>1028</v>
      </c>
      <c r="B326" s="1" t="s">
        <v>1029</v>
      </c>
      <c r="C326" s="2" t="s">
        <v>1030</v>
      </c>
      <c r="D326" s="20">
        <v>46.0</v>
      </c>
      <c r="E326" s="2">
        <v>28.0</v>
      </c>
      <c r="F326" s="2">
        <f t="shared" si="1"/>
        <v>37</v>
      </c>
      <c r="G326" s="2">
        <v>17.0</v>
      </c>
      <c r="H326" s="2">
        <v>14.0</v>
      </c>
      <c r="I326" s="2">
        <v>31.0</v>
      </c>
      <c r="J326" s="3">
        <f t="shared" si="2"/>
        <v>11.19444444</v>
      </c>
      <c r="K326" s="2">
        <v>95.0</v>
      </c>
      <c r="L326" s="2">
        <v>176.0</v>
      </c>
      <c r="N326" s="3">
        <f t="shared" si="3"/>
        <v>176</v>
      </c>
      <c r="O326" s="2">
        <v>94.0</v>
      </c>
      <c r="P326" s="2">
        <f t="shared" si="4"/>
        <v>13.85</v>
      </c>
      <c r="R326" s="2">
        <v>4.0</v>
      </c>
      <c r="S326" s="2">
        <v>9.0</v>
      </c>
      <c r="T326" s="2">
        <v>12.0</v>
      </c>
      <c r="W326" s="2">
        <v>17.0</v>
      </c>
      <c r="X326" s="2">
        <v>30.0</v>
      </c>
      <c r="Y326" s="2">
        <v>24.0</v>
      </c>
      <c r="Z326" s="2">
        <v>28.0</v>
      </c>
      <c r="AB326" s="2">
        <f t="shared" si="5"/>
        <v>6.2</v>
      </c>
      <c r="AC326" s="2">
        <v>50.0</v>
      </c>
      <c r="AD326" s="2">
        <v>310.0</v>
      </c>
      <c r="AE326" s="3">
        <f t="shared" si="6"/>
        <v>9</v>
      </c>
      <c r="AF326" s="4">
        <f t="shared" si="7"/>
        <v>77.24444444</v>
      </c>
    </row>
    <row r="327">
      <c r="A327" s="1" t="s">
        <v>829</v>
      </c>
      <c r="B327" s="1" t="s">
        <v>830</v>
      </c>
      <c r="C327" s="2" t="s">
        <v>831</v>
      </c>
      <c r="D327" s="2">
        <f>VLOOKUP(B327,'MM-Subhashree'!$B$2:F$26,5)</f>
        <v>53</v>
      </c>
      <c r="E327" s="2">
        <v>31.0</v>
      </c>
      <c r="F327" s="2">
        <f t="shared" si="1"/>
        <v>42</v>
      </c>
      <c r="G327" s="2">
        <v>16.0</v>
      </c>
      <c r="H327" s="2">
        <v>18.0</v>
      </c>
      <c r="I327" s="2">
        <v>39.0</v>
      </c>
      <c r="J327" s="3">
        <f t="shared" si="2"/>
        <v>12.83333333</v>
      </c>
      <c r="K327" s="2">
        <v>98.0</v>
      </c>
      <c r="L327" s="2">
        <v>160.0</v>
      </c>
      <c r="M327" s="2">
        <v>195.0</v>
      </c>
      <c r="N327" s="3">
        <f t="shared" si="3"/>
        <v>195</v>
      </c>
      <c r="O327" s="2">
        <v>100.0</v>
      </c>
      <c r="P327" s="2">
        <f t="shared" si="4"/>
        <v>14.775</v>
      </c>
      <c r="Q327" s="2">
        <v>7.0</v>
      </c>
      <c r="R327" s="2">
        <v>9.0</v>
      </c>
      <c r="S327" s="2">
        <v>15.0</v>
      </c>
      <c r="T327" s="2">
        <v>14.5</v>
      </c>
      <c r="U327" s="2">
        <v>15.0</v>
      </c>
      <c r="V327" s="2">
        <v>14.0</v>
      </c>
      <c r="W327" s="2">
        <v>20.0</v>
      </c>
      <c r="X327" s="2">
        <v>29.0</v>
      </c>
      <c r="Y327" s="2">
        <v>27.0</v>
      </c>
      <c r="Z327" s="2">
        <v>30.0</v>
      </c>
      <c r="AB327" s="2">
        <f t="shared" si="5"/>
        <v>9.025</v>
      </c>
      <c r="AC327" s="2">
        <v>50.0</v>
      </c>
      <c r="AD327" s="2">
        <v>350.0</v>
      </c>
      <c r="AE327" s="3">
        <f t="shared" si="6"/>
        <v>10</v>
      </c>
      <c r="AF327" s="4">
        <f t="shared" si="7"/>
        <v>88.63333333</v>
      </c>
    </row>
    <row r="328">
      <c r="A328" s="1" t="s">
        <v>375</v>
      </c>
      <c r="B328" s="1" t="s">
        <v>376</v>
      </c>
      <c r="C328" s="2" t="s">
        <v>377</v>
      </c>
      <c r="D328" s="2">
        <f>VLOOKUP(B328,'EC-Nitin'!$B$2:$F$46,5)</f>
        <v>0</v>
      </c>
      <c r="F328" s="2">
        <f t="shared" si="1"/>
        <v>0</v>
      </c>
      <c r="I328" s="2">
        <v>-1.0</v>
      </c>
      <c r="J328" s="3">
        <f t="shared" si="2"/>
        <v>-0.1111111111</v>
      </c>
      <c r="N328" s="3">
        <f t="shared" si="3"/>
        <v>0</v>
      </c>
      <c r="P328" s="2">
        <f t="shared" si="4"/>
        <v>0</v>
      </c>
      <c r="V328" s="2">
        <v>14.0</v>
      </c>
      <c r="Z328" s="2">
        <v>30.0</v>
      </c>
      <c r="AB328" s="2">
        <f t="shared" si="5"/>
        <v>2.2</v>
      </c>
      <c r="AE328" s="3">
        <f t="shared" si="6"/>
        <v>0</v>
      </c>
      <c r="AF328" s="4">
        <f t="shared" si="7"/>
        <v>2.088888889</v>
      </c>
    </row>
    <row r="329">
      <c r="A329" s="1" t="s">
        <v>1032</v>
      </c>
      <c r="B329" s="1" t="s">
        <v>9</v>
      </c>
      <c r="C329" s="2" t="s">
        <v>10</v>
      </c>
      <c r="D329" s="2">
        <v>47.0</v>
      </c>
      <c r="E329" s="2">
        <v>34.0</v>
      </c>
      <c r="F329" s="2">
        <f t="shared" si="1"/>
        <v>40.5</v>
      </c>
      <c r="G329" s="2">
        <v>15.0</v>
      </c>
      <c r="H329" s="2">
        <v>19.0</v>
      </c>
      <c r="I329" s="2">
        <v>26.0</v>
      </c>
      <c r="J329" s="3">
        <f t="shared" si="2"/>
        <v>11.38888889</v>
      </c>
      <c r="K329" s="2">
        <v>95.0</v>
      </c>
      <c r="L329" s="2">
        <v>190.0</v>
      </c>
      <c r="M329" s="2">
        <v>200.0</v>
      </c>
      <c r="N329" s="3">
        <f t="shared" si="3"/>
        <v>200</v>
      </c>
      <c r="O329" s="2">
        <v>95.0</v>
      </c>
      <c r="P329" s="2">
        <f t="shared" si="4"/>
        <v>14.5</v>
      </c>
      <c r="Q329" s="2">
        <v>7.0</v>
      </c>
      <c r="R329" s="2">
        <v>7.0</v>
      </c>
      <c r="S329" s="2">
        <v>9.0</v>
      </c>
      <c r="T329" s="2">
        <v>13.0</v>
      </c>
      <c r="U329" s="2">
        <v>15.0</v>
      </c>
      <c r="V329" s="2">
        <v>15.0</v>
      </c>
      <c r="W329" s="2">
        <v>20.0</v>
      </c>
      <c r="Z329" s="2">
        <v>30.0</v>
      </c>
      <c r="AB329" s="2">
        <f t="shared" si="5"/>
        <v>5.8</v>
      </c>
      <c r="AC329" s="2">
        <v>50.0</v>
      </c>
      <c r="AD329" s="2">
        <v>330.0</v>
      </c>
      <c r="AE329" s="3">
        <f t="shared" si="6"/>
        <v>9.5</v>
      </c>
      <c r="AF329" s="4">
        <f t="shared" si="7"/>
        <v>81.68888889</v>
      </c>
    </row>
    <row r="330">
      <c r="A330" s="1" t="s">
        <v>277</v>
      </c>
      <c r="B330" s="1" t="s">
        <v>278</v>
      </c>
      <c r="C330" s="2" t="s">
        <v>279</v>
      </c>
      <c r="D330" s="2">
        <f>VLOOKUP(B330,'DSAI-Vikrant'!$B$2:$F$44,5)</f>
        <v>31</v>
      </c>
      <c r="E330" s="2">
        <v>21.0</v>
      </c>
      <c r="F330" s="2">
        <f t="shared" si="1"/>
        <v>26</v>
      </c>
      <c r="G330" s="2">
        <v>5.0</v>
      </c>
      <c r="H330" s="2">
        <v>3.5</v>
      </c>
      <c r="I330" s="2">
        <v>22.5</v>
      </c>
      <c r="J330" s="3">
        <f t="shared" si="2"/>
        <v>4.625</v>
      </c>
      <c r="K330" s="2">
        <v>70.0</v>
      </c>
      <c r="L330" s="2">
        <v>185.0</v>
      </c>
      <c r="N330" s="3">
        <f t="shared" si="3"/>
        <v>185</v>
      </c>
      <c r="O330" s="2">
        <v>92.0</v>
      </c>
      <c r="P330" s="2">
        <f t="shared" si="4"/>
        <v>12.725</v>
      </c>
      <c r="Q330" s="2">
        <v>3.0</v>
      </c>
      <c r="R330" s="2">
        <v>5.0</v>
      </c>
      <c r="S330" s="2">
        <v>0.0</v>
      </c>
      <c r="T330" s="2">
        <v>3.0</v>
      </c>
      <c r="U330" s="2">
        <v>11.0</v>
      </c>
      <c r="V330" s="2">
        <v>15.0</v>
      </c>
      <c r="W330" s="2">
        <v>8.5</v>
      </c>
      <c r="X330" s="2">
        <v>28.0</v>
      </c>
      <c r="Y330" s="2">
        <v>30.0</v>
      </c>
      <c r="Z330" s="2">
        <v>28.0</v>
      </c>
      <c r="AA330" s="2">
        <v>27.0</v>
      </c>
      <c r="AB330" s="2">
        <f t="shared" si="5"/>
        <v>7.925</v>
      </c>
      <c r="AC330" s="2">
        <v>50.0</v>
      </c>
      <c r="AD330" s="2">
        <v>330.0</v>
      </c>
      <c r="AE330" s="3">
        <f t="shared" si="6"/>
        <v>9.5</v>
      </c>
      <c r="AF330" s="4">
        <f t="shared" si="7"/>
        <v>60.775</v>
      </c>
    </row>
    <row r="331">
      <c r="A331" s="1" t="s">
        <v>292</v>
      </c>
      <c r="B331" s="1" t="s">
        <v>293</v>
      </c>
      <c r="C331" s="2" t="s">
        <v>292</v>
      </c>
      <c r="D331" s="2">
        <f>VLOOKUP(B331,'DSAI-Vikrant'!$B$2:$F$44,5)</f>
        <v>35</v>
      </c>
      <c r="E331" s="2">
        <v>19.0</v>
      </c>
      <c r="F331" s="2">
        <f t="shared" si="1"/>
        <v>27</v>
      </c>
      <c r="G331" s="2">
        <v>10.0</v>
      </c>
      <c r="H331" s="2">
        <v>11.5</v>
      </c>
      <c r="I331" s="2">
        <v>29.0</v>
      </c>
      <c r="J331" s="3">
        <f t="shared" si="2"/>
        <v>8.597222222</v>
      </c>
      <c r="K331" s="2">
        <v>85.0</v>
      </c>
      <c r="L331" s="2">
        <v>180.0</v>
      </c>
      <c r="N331" s="3">
        <f t="shared" si="3"/>
        <v>180</v>
      </c>
      <c r="O331" s="2">
        <v>87.0</v>
      </c>
      <c r="P331" s="2">
        <f t="shared" si="4"/>
        <v>13.1</v>
      </c>
      <c r="Q331" s="2">
        <v>7.0</v>
      </c>
      <c r="R331" s="2">
        <v>2.0</v>
      </c>
      <c r="S331" s="2">
        <v>13.0</v>
      </c>
      <c r="T331" s="2">
        <v>8.0</v>
      </c>
      <c r="U331" s="2">
        <v>15.0</v>
      </c>
      <c r="V331" s="2">
        <v>15.0</v>
      </c>
      <c r="W331" s="2">
        <v>18.0</v>
      </c>
      <c r="X331" s="2">
        <v>21.0</v>
      </c>
      <c r="Y331" s="2">
        <v>24.0</v>
      </c>
      <c r="Z331" s="2">
        <v>28.0</v>
      </c>
      <c r="AA331" s="2">
        <v>28.0</v>
      </c>
      <c r="AB331" s="2">
        <f t="shared" si="5"/>
        <v>8.95</v>
      </c>
      <c r="AC331" s="2">
        <v>30.0</v>
      </c>
      <c r="AD331" s="2">
        <v>300.0</v>
      </c>
      <c r="AE331" s="3">
        <f t="shared" si="6"/>
        <v>8.25</v>
      </c>
      <c r="AF331" s="4">
        <f t="shared" si="7"/>
        <v>65.89722222</v>
      </c>
    </row>
    <row r="332">
      <c r="AF332" s="4"/>
    </row>
    <row r="333">
      <c r="AF333" s="4"/>
    </row>
    <row r="334">
      <c r="AF33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9.0"/>
    <col customWidth="1" min="3" max="5" width="8.63"/>
    <col customWidth="1" min="6" max="6" width="4.88"/>
    <col customWidth="1" min="7" max="7" width="8.63"/>
    <col customWidth="1" min="8" max="8" width="74.13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18" t="s">
        <v>1039</v>
      </c>
    </row>
    <row r="2">
      <c r="A2" s="23" t="s">
        <v>14</v>
      </c>
      <c r="B2" s="23" t="s">
        <v>15</v>
      </c>
      <c r="C2" s="24">
        <v>24.0</v>
      </c>
      <c r="D2" s="24">
        <v>10.0</v>
      </c>
      <c r="E2" s="24">
        <v>11.0</v>
      </c>
      <c r="F2" s="25">
        <f t="shared" ref="F2:F65" si="1">SUM(C2:E2)</f>
        <v>45</v>
      </c>
      <c r="G2" s="20" t="s">
        <v>55</v>
      </c>
    </row>
    <row r="3">
      <c r="A3" s="23" t="s">
        <v>1040</v>
      </c>
      <c r="B3" s="23" t="s">
        <v>18</v>
      </c>
      <c r="C3" s="24">
        <v>20.0</v>
      </c>
      <c r="D3" s="24">
        <v>12.0</v>
      </c>
      <c r="E3" s="24">
        <v>4.0</v>
      </c>
      <c r="F3" s="25">
        <f t="shared" si="1"/>
        <v>36</v>
      </c>
      <c r="G3" s="20" t="s">
        <v>25</v>
      </c>
    </row>
    <row r="4">
      <c r="A4" s="23" t="s">
        <v>1041</v>
      </c>
      <c r="B4" s="23" t="s">
        <v>21</v>
      </c>
      <c r="C4" s="24">
        <v>24.0</v>
      </c>
      <c r="D4" s="24">
        <v>15.0</v>
      </c>
      <c r="E4" s="24">
        <v>11.0</v>
      </c>
      <c r="F4" s="25">
        <f t="shared" si="1"/>
        <v>50</v>
      </c>
      <c r="G4" s="20" t="s">
        <v>55</v>
      </c>
    </row>
    <row r="5">
      <c r="A5" s="23" t="s">
        <v>1042</v>
      </c>
      <c r="B5" s="23" t="s">
        <v>24</v>
      </c>
      <c r="C5" s="26">
        <v>14.0</v>
      </c>
      <c r="D5" s="26">
        <v>13.0</v>
      </c>
      <c r="E5" s="26">
        <v>10.0</v>
      </c>
      <c r="F5" s="25">
        <f t="shared" si="1"/>
        <v>37</v>
      </c>
      <c r="G5" s="20" t="s">
        <v>55</v>
      </c>
    </row>
    <row r="6">
      <c r="A6" s="23" t="s">
        <v>1043</v>
      </c>
      <c r="B6" s="23" t="s">
        <v>28</v>
      </c>
      <c r="C6" s="24">
        <v>22.0</v>
      </c>
      <c r="D6" s="26">
        <v>14.0</v>
      </c>
      <c r="E6" s="24">
        <v>10.0</v>
      </c>
      <c r="F6" s="25">
        <f t="shared" si="1"/>
        <v>46</v>
      </c>
      <c r="G6" s="20">
        <v>0.0</v>
      </c>
    </row>
    <row r="7">
      <c r="A7" s="23" t="s">
        <v>1044</v>
      </c>
      <c r="B7" s="23" t="s">
        <v>31</v>
      </c>
      <c r="C7" s="24">
        <v>13.0</v>
      </c>
      <c r="D7" s="24">
        <v>7.0</v>
      </c>
      <c r="E7" s="24">
        <v>4.0</v>
      </c>
      <c r="F7" s="25">
        <f t="shared" si="1"/>
        <v>24</v>
      </c>
      <c r="G7" s="20" t="s">
        <v>55</v>
      </c>
    </row>
    <row r="8">
      <c r="A8" s="23" t="s">
        <v>1045</v>
      </c>
      <c r="B8" s="23" t="s">
        <v>35</v>
      </c>
      <c r="C8" s="24">
        <v>20.0</v>
      </c>
      <c r="D8" s="24">
        <v>13.0</v>
      </c>
      <c r="E8" s="24">
        <v>14.0</v>
      </c>
      <c r="F8" s="25">
        <f t="shared" si="1"/>
        <v>47</v>
      </c>
      <c r="G8" s="20" t="s">
        <v>55</v>
      </c>
    </row>
    <row r="9">
      <c r="A9" s="23" t="s">
        <v>1046</v>
      </c>
      <c r="B9" s="23" t="s">
        <v>38</v>
      </c>
      <c r="C9" s="24">
        <v>17.0</v>
      </c>
      <c r="D9" s="24">
        <v>13.0</v>
      </c>
      <c r="E9" s="24">
        <v>10.0</v>
      </c>
      <c r="F9" s="25">
        <f t="shared" si="1"/>
        <v>40</v>
      </c>
      <c r="G9" s="20" t="s">
        <v>6</v>
      </c>
    </row>
    <row r="10">
      <c r="A10" s="23" t="s">
        <v>1047</v>
      </c>
      <c r="B10" s="23" t="s">
        <v>41</v>
      </c>
      <c r="C10" s="24">
        <v>20.0</v>
      </c>
      <c r="D10" s="24">
        <v>14.0</v>
      </c>
      <c r="E10" s="24">
        <v>17.0</v>
      </c>
      <c r="F10" s="25">
        <f t="shared" si="1"/>
        <v>51</v>
      </c>
      <c r="G10" s="20" t="s">
        <v>25</v>
      </c>
    </row>
    <row r="11">
      <c r="A11" s="23" t="s">
        <v>1048</v>
      </c>
      <c r="B11" s="23" t="s">
        <v>45</v>
      </c>
      <c r="C11" s="24">
        <v>20.0</v>
      </c>
      <c r="D11" s="24">
        <v>13.0</v>
      </c>
      <c r="E11" s="24">
        <v>13.0</v>
      </c>
      <c r="F11" s="25">
        <f t="shared" si="1"/>
        <v>46</v>
      </c>
      <c r="G11" s="20" t="s">
        <v>25</v>
      </c>
    </row>
    <row r="12">
      <c r="A12" s="23" t="s">
        <v>1049</v>
      </c>
      <c r="B12" s="23" t="s">
        <v>48</v>
      </c>
      <c r="C12" s="24">
        <v>24.0</v>
      </c>
      <c r="D12" s="24">
        <v>12.0</v>
      </c>
      <c r="E12" s="24">
        <v>14.0</v>
      </c>
      <c r="F12" s="25">
        <f t="shared" si="1"/>
        <v>50</v>
      </c>
      <c r="G12" s="20" t="s">
        <v>55</v>
      </c>
    </row>
    <row r="13">
      <c r="A13" s="23" t="s">
        <v>1050</v>
      </c>
      <c r="B13" s="23" t="s">
        <v>51</v>
      </c>
      <c r="C13" s="24">
        <v>23.0</v>
      </c>
      <c r="D13" s="24">
        <v>9.0</v>
      </c>
      <c r="E13" s="24">
        <v>6.0</v>
      </c>
      <c r="F13" s="25">
        <f t="shared" si="1"/>
        <v>38</v>
      </c>
      <c r="G13" s="20" t="s">
        <v>55</v>
      </c>
    </row>
    <row r="14">
      <c r="A14" s="23" t="s">
        <v>1051</v>
      </c>
      <c r="B14" s="23" t="s">
        <v>54</v>
      </c>
      <c r="C14" s="27">
        <v>10.0</v>
      </c>
      <c r="D14" s="27">
        <v>8.0</v>
      </c>
      <c r="E14" s="27">
        <v>5.0</v>
      </c>
      <c r="F14" s="25">
        <f t="shared" si="1"/>
        <v>23</v>
      </c>
      <c r="G14" s="20" t="s">
        <v>55</v>
      </c>
      <c r="H14" s="28"/>
    </row>
    <row r="15">
      <c r="A15" s="23" t="s">
        <v>1052</v>
      </c>
      <c r="B15" s="23" t="s">
        <v>58</v>
      </c>
      <c r="C15" s="27">
        <v>15.0</v>
      </c>
      <c r="D15" s="27">
        <v>5.0</v>
      </c>
      <c r="E15" s="27">
        <v>1.0</v>
      </c>
      <c r="F15" s="25">
        <f t="shared" si="1"/>
        <v>21</v>
      </c>
      <c r="G15" s="20" t="s">
        <v>55</v>
      </c>
    </row>
    <row r="16">
      <c r="A16" s="23" t="s">
        <v>1053</v>
      </c>
      <c r="B16" s="23" t="s">
        <v>62</v>
      </c>
      <c r="C16" s="24">
        <v>24.0</v>
      </c>
      <c r="D16" s="24">
        <v>13.0</v>
      </c>
      <c r="E16" s="24">
        <v>17.0</v>
      </c>
      <c r="F16" s="25">
        <f t="shared" si="1"/>
        <v>54</v>
      </c>
      <c r="G16" s="20" t="s">
        <v>55</v>
      </c>
    </row>
    <row r="17">
      <c r="A17" s="27" t="s">
        <v>1054</v>
      </c>
      <c r="B17" s="23" t="s">
        <v>65</v>
      </c>
      <c r="C17" s="24">
        <v>21.0</v>
      </c>
      <c r="D17" s="24">
        <v>10.0</v>
      </c>
      <c r="E17" s="24">
        <v>10.0</v>
      </c>
      <c r="F17" s="25">
        <f t="shared" si="1"/>
        <v>41</v>
      </c>
      <c r="G17" s="20" t="s">
        <v>55</v>
      </c>
    </row>
    <row r="18">
      <c r="A18" s="23" t="s">
        <v>1055</v>
      </c>
      <c r="B18" s="23" t="s">
        <v>68</v>
      </c>
      <c r="C18" s="24">
        <v>24.0</v>
      </c>
      <c r="D18" s="24">
        <v>10.0</v>
      </c>
      <c r="E18" s="24">
        <v>9.0</v>
      </c>
      <c r="F18" s="25">
        <f t="shared" si="1"/>
        <v>43</v>
      </c>
      <c r="G18" s="20" t="s">
        <v>55</v>
      </c>
    </row>
    <row r="19">
      <c r="A19" s="23" t="s">
        <v>1056</v>
      </c>
      <c r="B19" s="23" t="s">
        <v>71</v>
      </c>
      <c r="C19" s="26">
        <v>21.0</v>
      </c>
      <c r="D19" s="24">
        <v>10.0</v>
      </c>
      <c r="E19" s="24">
        <v>12.0</v>
      </c>
      <c r="F19" s="25">
        <f t="shared" si="1"/>
        <v>43</v>
      </c>
      <c r="G19" s="20" t="s">
        <v>6</v>
      </c>
    </row>
    <row r="20">
      <c r="A20" s="23" t="s">
        <v>1057</v>
      </c>
      <c r="B20" s="23" t="s">
        <v>74</v>
      </c>
      <c r="C20" s="24">
        <v>16.0</v>
      </c>
      <c r="D20" s="24">
        <v>13.0</v>
      </c>
      <c r="E20" s="24">
        <v>8.0</v>
      </c>
      <c r="F20" s="25">
        <f t="shared" si="1"/>
        <v>37</v>
      </c>
      <c r="G20" s="20" t="s">
        <v>25</v>
      </c>
    </row>
    <row r="21">
      <c r="A21" s="23" t="s">
        <v>1058</v>
      </c>
      <c r="B21" s="23" t="s">
        <v>77</v>
      </c>
      <c r="C21" s="24">
        <v>20.0</v>
      </c>
      <c r="D21" s="24">
        <v>15.0</v>
      </c>
      <c r="E21" s="24">
        <v>10.0</v>
      </c>
      <c r="F21" s="25">
        <f t="shared" si="1"/>
        <v>45</v>
      </c>
      <c r="G21" s="20" t="s">
        <v>25</v>
      </c>
    </row>
    <row r="22">
      <c r="A22" s="23" t="s">
        <v>1059</v>
      </c>
      <c r="B22" s="23" t="s">
        <v>80</v>
      </c>
      <c r="C22" s="24">
        <v>21.0</v>
      </c>
      <c r="D22" s="24">
        <v>12.0</v>
      </c>
      <c r="E22" s="24">
        <v>8.0</v>
      </c>
      <c r="F22" s="25">
        <f t="shared" si="1"/>
        <v>41</v>
      </c>
      <c r="G22" s="20" t="s">
        <v>25</v>
      </c>
    </row>
    <row r="23">
      <c r="A23" s="23" t="s">
        <v>1060</v>
      </c>
      <c r="B23" s="23" t="s">
        <v>83</v>
      </c>
      <c r="C23" s="24">
        <v>24.0</v>
      </c>
      <c r="D23" s="24">
        <v>14.0</v>
      </c>
      <c r="E23" s="24">
        <v>12.0</v>
      </c>
      <c r="F23" s="25">
        <f t="shared" si="1"/>
        <v>50</v>
      </c>
      <c r="G23" s="20" t="s">
        <v>6</v>
      </c>
    </row>
    <row r="24">
      <c r="A24" s="23" t="s">
        <v>1061</v>
      </c>
      <c r="B24" s="23" t="s">
        <v>86</v>
      </c>
      <c r="C24" s="24">
        <v>22.0</v>
      </c>
      <c r="D24" s="24">
        <v>13.0</v>
      </c>
      <c r="E24" s="24">
        <v>12.0</v>
      </c>
      <c r="F24" s="25">
        <f t="shared" si="1"/>
        <v>47</v>
      </c>
      <c r="G24" s="20" t="s">
        <v>55</v>
      </c>
    </row>
    <row r="25">
      <c r="A25" s="23" t="s">
        <v>1062</v>
      </c>
      <c r="B25" s="23" t="s">
        <v>89</v>
      </c>
      <c r="C25" s="24">
        <v>18.0</v>
      </c>
      <c r="D25" s="24">
        <v>4.0</v>
      </c>
      <c r="E25" s="24">
        <v>14.0</v>
      </c>
      <c r="F25" s="25">
        <f t="shared" si="1"/>
        <v>36</v>
      </c>
      <c r="G25" s="20" t="s">
        <v>6</v>
      </c>
    </row>
    <row r="26">
      <c r="A26" s="23" t="s">
        <v>1063</v>
      </c>
      <c r="B26" s="23" t="s">
        <v>92</v>
      </c>
      <c r="C26" s="24">
        <v>19.0</v>
      </c>
      <c r="D26" s="24">
        <v>14.0</v>
      </c>
      <c r="E26" s="24">
        <v>14.0</v>
      </c>
      <c r="F26" s="25">
        <f t="shared" si="1"/>
        <v>47</v>
      </c>
      <c r="G26" s="20" t="s">
        <v>55</v>
      </c>
    </row>
    <row r="27">
      <c r="A27" s="23" t="s">
        <v>1064</v>
      </c>
      <c r="B27" s="23" t="s">
        <v>95</v>
      </c>
      <c r="C27" s="27">
        <v>10.0</v>
      </c>
      <c r="D27" s="27">
        <v>4.0</v>
      </c>
      <c r="E27" s="27">
        <v>4.0</v>
      </c>
      <c r="F27" s="25">
        <f t="shared" si="1"/>
        <v>18</v>
      </c>
      <c r="G27" s="20" t="s">
        <v>55</v>
      </c>
    </row>
    <row r="28">
      <c r="A28" s="23" t="s">
        <v>1065</v>
      </c>
      <c r="B28" s="23" t="s">
        <v>99</v>
      </c>
      <c r="C28" s="24">
        <v>24.0</v>
      </c>
      <c r="D28" s="24">
        <v>14.0</v>
      </c>
      <c r="E28" s="24">
        <v>15.0</v>
      </c>
      <c r="F28" s="25">
        <f t="shared" si="1"/>
        <v>53</v>
      </c>
      <c r="G28" s="20" t="s">
        <v>25</v>
      </c>
    </row>
    <row r="29">
      <c r="A29" s="23" t="s">
        <v>1066</v>
      </c>
      <c r="B29" s="23" t="s">
        <v>102</v>
      </c>
      <c r="C29" s="24">
        <v>19.0</v>
      </c>
      <c r="D29" s="24">
        <v>14.0</v>
      </c>
      <c r="E29" s="24">
        <v>14.0</v>
      </c>
      <c r="F29" s="25">
        <f t="shared" si="1"/>
        <v>47</v>
      </c>
      <c r="G29" s="20" t="s">
        <v>25</v>
      </c>
    </row>
    <row r="30">
      <c r="A30" s="23" t="s">
        <v>1067</v>
      </c>
      <c r="B30" s="23" t="s">
        <v>105</v>
      </c>
      <c r="C30" s="24">
        <v>21.0</v>
      </c>
      <c r="D30" s="24">
        <v>13.0</v>
      </c>
      <c r="E30" s="24">
        <v>10.0</v>
      </c>
      <c r="F30" s="25">
        <f t="shared" si="1"/>
        <v>44</v>
      </c>
      <c r="G30" s="20" t="s">
        <v>25</v>
      </c>
    </row>
    <row r="31">
      <c r="A31" s="23" t="s">
        <v>1068</v>
      </c>
      <c r="B31" s="23" t="s">
        <v>108</v>
      </c>
      <c r="C31" s="24">
        <v>16.0</v>
      </c>
      <c r="D31" s="24">
        <v>12.0</v>
      </c>
      <c r="E31" s="24">
        <v>7.0</v>
      </c>
      <c r="F31" s="25">
        <f t="shared" si="1"/>
        <v>35</v>
      </c>
      <c r="G31" s="20" t="s">
        <v>25</v>
      </c>
    </row>
    <row r="32">
      <c r="A32" s="23" t="s">
        <v>1069</v>
      </c>
      <c r="B32" s="23" t="s">
        <v>111</v>
      </c>
      <c r="C32" s="24">
        <v>17.0</v>
      </c>
      <c r="D32" s="24">
        <v>12.0</v>
      </c>
      <c r="E32" s="24">
        <v>6.0</v>
      </c>
      <c r="F32" s="25">
        <f t="shared" si="1"/>
        <v>35</v>
      </c>
      <c r="G32" s="20" t="s">
        <v>25</v>
      </c>
    </row>
    <row r="33">
      <c r="A33" s="23" t="s">
        <v>1070</v>
      </c>
      <c r="B33" s="23" t="s">
        <v>114</v>
      </c>
      <c r="C33" s="27">
        <v>23.0</v>
      </c>
      <c r="D33" s="27">
        <v>14.0</v>
      </c>
      <c r="E33" s="27">
        <v>15.0</v>
      </c>
      <c r="F33" s="25">
        <f t="shared" si="1"/>
        <v>52</v>
      </c>
      <c r="G33" s="20" t="s">
        <v>6</v>
      </c>
    </row>
    <row r="34">
      <c r="A34" s="23" t="s">
        <v>1071</v>
      </c>
      <c r="B34" s="23" t="s">
        <v>117</v>
      </c>
      <c r="C34" s="27">
        <v>22.0</v>
      </c>
      <c r="D34" s="27">
        <v>14.0</v>
      </c>
      <c r="E34" s="27">
        <v>8.0</v>
      </c>
      <c r="F34" s="25">
        <f t="shared" si="1"/>
        <v>44</v>
      </c>
      <c r="G34" s="20" t="s">
        <v>25</v>
      </c>
      <c r="H34" s="2" t="s">
        <v>1072</v>
      </c>
    </row>
    <row r="35">
      <c r="A35" s="23" t="s">
        <v>1073</v>
      </c>
      <c r="B35" s="23" t="s">
        <v>120</v>
      </c>
      <c r="C35" s="27">
        <v>21.0</v>
      </c>
      <c r="D35" s="27">
        <v>14.0</v>
      </c>
      <c r="E35" s="27">
        <v>9.0</v>
      </c>
      <c r="F35" s="25">
        <f t="shared" si="1"/>
        <v>44</v>
      </c>
      <c r="G35" s="20" t="s">
        <v>6</v>
      </c>
      <c r="H35" s="2" t="s">
        <v>1074</v>
      </c>
    </row>
    <row r="36">
      <c r="A36" s="23" t="s">
        <v>1075</v>
      </c>
      <c r="B36" s="23" t="s">
        <v>123</v>
      </c>
      <c r="C36" s="27">
        <v>24.0</v>
      </c>
      <c r="D36" s="27">
        <v>13.0</v>
      </c>
      <c r="E36" s="27">
        <v>13.0</v>
      </c>
      <c r="F36" s="25">
        <f t="shared" si="1"/>
        <v>50</v>
      </c>
      <c r="G36" s="20" t="s">
        <v>25</v>
      </c>
      <c r="H36" s="2" t="s">
        <v>1076</v>
      </c>
    </row>
    <row r="37">
      <c r="A37" s="23" t="s">
        <v>1077</v>
      </c>
      <c r="B37" s="23" t="s">
        <v>126</v>
      </c>
      <c r="C37" s="27">
        <v>24.0</v>
      </c>
      <c r="D37" s="27">
        <v>15.0</v>
      </c>
      <c r="E37" s="27">
        <v>14.0</v>
      </c>
      <c r="F37" s="25">
        <f t="shared" si="1"/>
        <v>53</v>
      </c>
      <c r="G37" s="20" t="s">
        <v>25</v>
      </c>
      <c r="H37" s="2" t="s">
        <v>1076</v>
      </c>
    </row>
    <row r="38">
      <c r="A38" s="23" t="s">
        <v>1078</v>
      </c>
      <c r="B38" s="23" t="s">
        <v>129</v>
      </c>
      <c r="C38" s="27">
        <v>17.0</v>
      </c>
      <c r="D38" s="27">
        <v>5.0</v>
      </c>
      <c r="E38" s="27">
        <v>5.0</v>
      </c>
      <c r="F38" s="25">
        <f t="shared" si="1"/>
        <v>27</v>
      </c>
      <c r="G38" s="20" t="s">
        <v>25</v>
      </c>
    </row>
    <row r="39">
      <c r="A39" s="23" t="s">
        <v>1079</v>
      </c>
      <c r="B39" s="23" t="s">
        <v>132</v>
      </c>
      <c r="C39" s="27">
        <v>24.0</v>
      </c>
      <c r="D39" s="27">
        <v>15.0</v>
      </c>
      <c r="E39" s="27">
        <v>18.0</v>
      </c>
      <c r="F39" s="25">
        <f t="shared" si="1"/>
        <v>57</v>
      </c>
      <c r="G39" s="20" t="s">
        <v>6</v>
      </c>
      <c r="H39" s="2" t="s">
        <v>1080</v>
      </c>
    </row>
    <row r="40">
      <c r="A40" s="23" t="s">
        <v>1081</v>
      </c>
      <c r="B40" s="23" t="s">
        <v>135</v>
      </c>
      <c r="C40" s="27">
        <v>16.0</v>
      </c>
      <c r="D40" s="27">
        <v>8.0</v>
      </c>
      <c r="E40" s="27">
        <v>3.0</v>
      </c>
      <c r="F40" s="25">
        <f t="shared" si="1"/>
        <v>27</v>
      </c>
      <c r="G40" s="20" t="s">
        <v>55</v>
      </c>
      <c r="H40" s="2" t="s">
        <v>1082</v>
      </c>
    </row>
    <row r="41">
      <c r="A41" s="23" t="s">
        <v>1083</v>
      </c>
      <c r="B41" s="23" t="s">
        <v>138</v>
      </c>
      <c r="C41" s="27">
        <v>23.0</v>
      </c>
      <c r="D41" s="27">
        <v>14.0</v>
      </c>
      <c r="E41" s="27">
        <v>15.0</v>
      </c>
      <c r="F41" s="25">
        <f t="shared" si="1"/>
        <v>52</v>
      </c>
      <c r="G41" s="20" t="s">
        <v>1084</v>
      </c>
      <c r="H41" s="2" t="s">
        <v>1085</v>
      </c>
    </row>
    <row r="42">
      <c r="A42" s="23" t="s">
        <v>1086</v>
      </c>
      <c r="B42" s="23" t="s">
        <v>141</v>
      </c>
      <c r="C42" s="27">
        <v>22.0</v>
      </c>
      <c r="D42" s="27">
        <v>12.0</v>
      </c>
      <c r="E42" s="27">
        <v>14.0</v>
      </c>
      <c r="F42" s="25">
        <f t="shared" si="1"/>
        <v>48</v>
      </c>
      <c r="G42" s="20" t="s">
        <v>25</v>
      </c>
    </row>
    <row r="43">
      <c r="A43" s="23" t="s">
        <v>1087</v>
      </c>
      <c r="B43" s="23" t="s">
        <v>144</v>
      </c>
      <c r="C43" s="27">
        <v>11.0</v>
      </c>
      <c r="D43" s="27">
        <v>2.0</v>
      </c>
      <c r="E43" s="27">
        <v>2.0</v>
      </c>
      <c r="F43" s="25">
        <f t="shared" si="1"/>
        <v>15</v>
      </c>
      <c r="G43" s="20" t="s">
        <v>25</v>
      </c>
    </row>
    <row r="44">
      <c r="A44" s="23" t="s">
        <v>1088</v>
      </c>
      <c r="B44" s="23" t="s">
        <v>147</v>
      </c>
      <c r="C44" s="27">
        <v>22.0</v>
      </c>
      <c r="D44" s="27">
        <v>15.0</v>
      </c>
      <c r="E44" s="27">
        <v>13.0</v>
      </c>
      <c r="F44" s="25">
        <f t="shared" si="1"/>
        <v>50</v>
      </c>
      <c r="G44" s="20" t="s">
        <v>25</v>
      </c>
    </row>
    <row r="45">
      <c r="A45" s="23" t="s">
        <v>1089</v>
      </c>
      <c r="B45" s="23" t="s">
        <v>150</v>
      </c>
      <c r="C45" s="27">
        <v>17.0</v>
      </c>
      <c r="D45" s="27">
        <v>13.0</v>
      </c>
      <c r="E45" s="27">
        <v>13.0</v>
      </c>
      <c r="F45" s="25">
        <f t="shared" si="1"/>
        <v>43</v>
      </c>
      <c r="G45" s="20" t="s">
        <v>55</v>
      </c>
    </row>
    <row r="46">
      <c r="A46" s="23" t="s">
        <v>1090</v>
      </c>
      <c r="B46" s="23" t="s">
        <v>153</v>
      </c>
      <c r="C46" s="27">
        <v>22.0</v>
      </c>
      <c r="D46" s="27">
        <v>12.0</v>
      </c>
      <c r="E46" s="27">
        <v>12.0</v>
      </c>
      <c r="F46" s="25">
        <f t="shared" si="1"/>
        <v>46</v>
      </c>
      <c r="G46" s="20" t="s">
        <v>25</v>
      </c>
    </row>
    <row r="47">
      <c r="A47" s="23" t="s">
        <v>1091</v>
      </c>
      <c r="B47" s="23" t="s">
        <v>156</v>
      </c>
      <c r="C47" s="27">
        <v>22.0</v>
      </c>
      <c r="D47" s="27">
        <v>12.0</v>
      </c>
      <c r="E47" s="27">
        <v>14.0</v>
      </c>
      <c r="F47" s="25">
        <f t="shared" si="1"/>
        <v>48</v>
      </c>
      <c r="G47" s="20" t="s">
        <v>25</v>
      </c>
    </row>
    <row r="48">
      <c r="A48" s="23" t="s">
        <v>1092</v>
      </c>
      <c r="B48" s="23" t="s">
        <v>159</v>
      </c>
      <c r="C48" s="27">
        <v>23.0</v>
      </c>
      <c r="D48" s="27">
        <v>10.0</v>
      </c>
      <c r="E48" s="27">
        <v>13.0</v>
      </c>
      <c r="F48" s="25">
        <f t="shared" si="1"/>
        <v>46</v>
      </c>
      <c r="G48" s="20" t="s">
        <v>55</v>
      </c>
    </row>
    <row r="49">
      <c r="A49" s="23" t="s">
        <v>1093</v>
      </c>
      <c r="B49" s="23" t="s">
        <v>162</v>
      </c>
      <c r="C49" s="27">
        <v>20.0</v>
      </c>
      <c r="D49" s="27">
        <v>8.0</v>
      </c>
      <c r="E49" s="27">
        <v>10.0</v>
      </c>
      <c r="F49" s="25">
        <f t="shared" si="1"/>
        <v>38</v>
      </c>
      <c r="G49" s="20" t="s">
        <v>25</v>
      </c>
    </row>
    <row r="50">
      <c r="A50" s="23" t="s">
        <v>1094</v>
      </c>
      <c r="B50" s="23" t="s">
        <v>165</v>
      </c>
      <c r="C50" s="27">
        <v>21.0</v>
      </c>
      <c r="D50" s="27">
        <v>13.0</v>
      </c>
      <c r="E50" s="27">
        <v>12.0</v>
      </c>
      <c r="F50" s="25">
        <f t="shared" si="1"/>
        <v>46</v>
      </c>
      <c r="G50" s="20" t="s">
        <v>55</v>
      </c>
    </row>
    <row r="51">
      <c r="A51" s="23" t="s">
        <v>1095</v>
      </c>
      <c r="B51" s="23" t="s">
        <v>168</v>
      </c>
      <c r="C51" s="27">
        <v>23.0</v>
      </c>
      <c r="D51" s="27">
        <v>10.0</v>
      </c>
      <c r="E51" s="27">
        <v>13.0</v>
      </c>
      <c r="F51" s="25">
        <f t="shared" si="1"/>
        <v>46</v>
      </c>
      <c r="G51" s="20" t="s">
        <v>55</v>
      </c>
    </row>
    <row r="52">
      <c r="A52" s="23" t="s">
        <v>1096</v>
      </c>
      <c r="B52" s="23" t="s">
        <v>171</v>
      </c>
      <c r="C52" s="27">
        <v>24.0</v>
      </c>
      <c r="D52" s="27">
        <v>10.0</v>
      </c>
      <c r="E52" s="27">
        <v>7.0</v>
      </c>
      <c r="F52" s="25">
        <f t="shared" si="1"/>
        <v>41</v>
      </c>
      <c r="G52" s="20" t="s">
        <v>55</v>
      </c>
    </row>
    <row r="53">
      <c r="A53" s="23" t="s">
        <v>1097</v>
      </c>
      <c r="B53" s="23" t="s">
        <v>174</v>
      </c>
      <c r="C53" s="27">
        <v>19.0</v>
      </c>
      <c r="D53" s="27">
        <v>13.0</v>
      </c>
      <c r="E53" s="27">
        <v>8.0</v>
      </c>
      <c r="F53" s="25">
        <f t="shared" si="1"/>
        <v>40</v>
      </c>
      <c r="G53" s="20" t="s">
        <v>55</v>
      </c>
    </row>
    <row r="54">
      <c r="A54" s="23" t="s">
        <v>1098</v>
      </c>
      <c r="B54" s="23" t="s">
        <v>177</v>
      </c>
      <c r="C54" s="27">
        <v>22.0</v>
      </c>
      <c r="D54" s="27">
        <v>15.0</v>
      </c>
      <c r="E54" s="27">
        <v>16.0</v>
      </c>
      <c r="F54" s="25">
        <f t="shared" si="1"/>
        <v>53</v>
      </c>
      <c r="G54" s="20" t="s">
        <v>55</v>
      </c>
    </row>
    <row r="55">
      <c r="A55" s="23" t="s">
        <v>1099</v>
      </c>
      <c r="B55" s="23" t="s">
        <v>180</v>
      </c>
      <c r="C55" s="27">
        <v>23.0</v>
      </c>
      <c r="D55" s="27">
        <v>15.0</v>
      </c>
      <c r="E55" s="27">
        <v>16.0</v>
      </c>
      <c r="F55" s="25">
        <f t="shared" si="1"/>
        <v>54</v>
      </c>
      <c r="G55" s="20" t="s">
        <v>25</v>
      </c>
    </row>
    <row r="56">
      <c r="A56" s="23" t="s">
        <v>1100</v>
      </c>
      <c r="B56" s="23" t="s">
        <v>183</v>
      </c>
      <c r="C56" s="27">
        <v>21.0</v>
      </c>
      <c r="D56" s="27">
        <v>14.0</v>
      </c>
      <c r="E56" s="27">
        <v>11.0</v>
      </c>
      <c r="F56" s="25">
        <f t="shared" si="1"/>
        <v>46</v>
      </c>
      <c r="G56" s="20" t="s">
        <v>25</v>
      </c>
    </row>
    <row r="57">
      <c r="A57" s="29" t="s">
        <v>1101</v>
      </c>
      <c r="B57" s="29" t="s">
        <v>186</v>
      </c>
      <c r="C57" s="30"/>
      <c r="D57" s="30"/>
      <c r="E57" s="30"/>
      <c r="F57" s="31">
        <f t="shared" si="1"/>
        <v>0</v>
      </c>
      <c r="G57" s="31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3" t="s">
        <v>1102</v>
      </c>
      <c r="B58" s="23" t="s">
        <v>190</v>
      </c>
      <c r="C58" s="24">
        <v>23.0</v>
      </c>
      <c r="D58" s="24">
        <v>14.0</v>
      </c>
      <c r="E58" s="24">
        <v>12.0</v>
      </c>
      <c r="F58" s="25">
        <f t="shared" si="1"/>
        <v>49</v>
      </c>
      <c r="G58" s="20" t="s">
        <v>55</v>
      </c>
    </row>
    <row r="59">
      <c r="A59" s="23" t="s">
        <v>1103</v>
      </c>
      <c r="B59" s="23" t="s">
        <v>193</v>
      </c>
      <c r="C59" s="27">
        <v>23.0</v>
      </c>
      <c r="D59" s="27">
        <v>10.0</v>
      </c>
      <c r="E59" s="27">
        <v>14.0</v>
      </c>
      <c r="F59" s="25">
        <f t="shared" si="1"/>
        <v>47</v>
      </c>
      <c r="G59" s="20" t="s">
        <v>25</v>
      </c>
    </row>
    <row r="60">
      <c r="A60" s="23" t="s">
        <v>1104</v>
      </c>
      <c r="B60" s="23" t="s">
        <v>196</v>
      </c>
      <c r="C60" s="27">
        <v>18.0</v>
      </c>
      <c r="D60" s="27">
        <v>13.0</v>
      </c>
      <c r="E60" s="27">
        <v>6.0</v>
      </c>
      <c r="F60" s="25">
        <f t="shared" si="1"/>
        <v>37</v>
      </c>
      <c r="G60" s="20" t="s">
        <v>55</v>
      </c>
    </row>
    <row r="61">
      <c r="A61" s="23" t="s">
        <v>1105</v>
      </c>
      <c r="B61" s="23" t="s">
        <v>199</v>
      </c>
      <c r="C61" s="27">
        <v>23.0</v>
      </c>
      <c r="D61" s="27">
        <v>10.0</v>
      </c>
      <c r="E61" s="27">
        <v>8.0</v>
      </c>
      <c r="F61" s="25">
        <f t="shared" si="1"/>
        <v>41</v>
      </c>
      <c r="G61" s="20" t="s">
        <v>55</v>
      </c>
    </row>
    <row r="62">
      <c r="A62" s="25"/>
      <c r="B62" s="25"/>
      <c r="C62" s="25"/>
      <c r="D62" s="25"/>
      <c r="E62" s="25"/>
      <c r="F62" s="25">
        <f t="shared" si="1"/>
        <v>0</v>
      </c>
      <c r="G62" s="25"/>
    </row>
    <row r="63">
      <c r="A63" s="25"/>
      <c r="B63" s="25"/>
      <c r="C63" s="25"/>
      <c r="D63" s="25"/>
      <c r="E63" s="25"/>
      <c r="F63" s="25">
        <f t="shared" si="1"/>
        <v>0</v>
      </c>
      <c r="G63" s="25"/>
    </row>
    <row r="64">
      <c r="A64" s="25"/>
      <c r="B64" s="25"/>
      <c r="C64" s="25"/>
      <c r="D64" s="25"/>
      <c r="E64" s="25"/>
      <c r="F64" s="25">
        <f t="shared" si="1"/>
        <v>0</v>
      </c>
      <c r="G64" s="25"/>
    </row>
    <row r="65">
      <c r="A65" s="25"/>
      <c r="B65" s="25"/>
      <c r="C65" s="25"/>
      <c r="D65" s="25"/>
      <c r="E65" s="25"/>
      <c r="F65" s="25">
        <f t="shared" si="1"/>
        <v>0</v>
      </c>
      <c r="G65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9.0"/>
    <col customWidth="1" min="3" max="5" width="8.63"/>
    <col customWidth="1" min="6" max="6" width="4.88"/>
    <col customWidth="1" min="7" max="7" width="8.63"/>
    <col customWidth="1" min="8" max="8" width="78.38"/>
  </cols>
  <sheetData>
    <row r="1">
      <c r="A1" s="32" t="s">
        <v>1033</v>
      </c>
      <c r="B1" s="32" t="s">
        <v>962</v>
      </c>
      <c r="C1" s="32" t="s">
        <v>1034</v>
      </c>
      <c r="D1" s="32" t="s">
        <v>1035</v>
      </c>
      <c r="E1" s="32" t="s">
        <v>1036</v>
      </c>
      <c r="F1" s="32" t="s">
        <v>1037</v>
      </c>
      <c r="G1" s="32" t="s">
        <v>1038</v>
      </c>
      <c r="H1" s="18" t="s">
        <v>1039</v>
      </c>
    </row>
    <row r="2">
      <c r="A2" s="33" t="s">
        <v>1106</v>
      </c>
      <c r="B2" s="34" t="s">
        <v>202</v>
      </c>
      <c r="C2" s="35">
        <v>21.0</v>
      </c>
      <c r="D2" s="35">
        <v>11.0</v>
      </c>
      <c r="E2" s="35">
        <v>15.0</v>
      </c>
      <c r="F2" s="36">
        <f t="shared" ref="F2:F65" si="1">SUM(C2:E2)</f>
        <v>47</v>
      </c>
      <c r="G2" s="35" t="s">
        <v>25</v>
      </c>
    </row>
    <row r="3">
      <c r="A3" s="33" t="s">
        <v>204</v>
      </c>
      <c r="B3" s="34" t="s">
        <v>205</v>
      </c>
      <c r="C3" s="35">
        <v>10.0</v>
      </c>
      <c r="D3" s="35">
        <v>11.0</v>
      </c>
      <c r="E3" s="35">
        <v>9.0</v>
      </c>
      <c r="F3" s="36">
        <f t="shared" si="1"/>
        <v>30</v>
      </c>
      <c r="G3" s="35" t="s">
        <v>55</v>
      </c>
    </row>
    <row r="4">
      <c r="A4" s="33" t="s">
        <v>207</v>
      </c>
      <c r="B4" s="34" t="s">
        <v>208</v>
      </c>
      <c r="C4" s="35">
        <v>21.0</v>
      </c>
      <c r="D4" s="35">
        <v>8.0</v>
      </c>
      <c r="E4" s="35">
        <v>13.0</v>
      </c>
      <c r="F4" s="36">
        <f t="shared" si="1"/>
        <v>42</v>
      </c>
      <c r="G4" s="35" t="s">
        <v>6</v>
      </c>
    </row>
    <row r="5">
      <c r="A5" s="33" t="s">
        <v>1107</v>
      </c>
      <c r="B5" s="34" t="s">
        <v>211</v>
      </c>
      <c r="C5" s="35">
        <v>19.0</v>
      </c>
      <c r="D5" s="35">
        <v>10.0</v>
      </c>
      <c r="E5" s="35">
        <v>8.0</v>
      </c>
      <c r="F5" s="36">
        <f t="shared" si="1"/>
        <v>37</v>
      </c>
      <c r="G5" s="35" t="s">
        <v>55</v>
      </c>
    </row>
    <row r="6">
      <c r="A6" s="33" t="s">
        <v>1108</v>
      </c>
      <c r="B6" s="34" t="s">
        <v>214</v>
      </c>
      <c r="C6" s="35">
        <v>20.0</v>
      </c>
      <c r="D6" s="35">
        <v>11.0</v>
      </c>
      <c r="E6" s="35">
        <v>16.0</v>
      </c>
      <c r="F6" s="36">
        <f t="shared" si="1"/>
        <v>47</v>
      </c>
      <c r="G6" s="35" t="s">
        <v>25</v>
      </c>
    </row>
    <row r="7">
      <c r="A7" s="33" t="s">
        <v>216</v>
      </c>
      <c r="B7" s="34" t="s">
        <v>217</v>
      </c>
      <c r="C7" s="35">
        <v>24.0</v>
      </c>
      <c r="D7" s="35">
        <v>14.0</v>
      </c>
      <c r="E7" s="35">
        <v>17.0</v>
      </c>
      <c r="F7" s="36">
        <f t="shared" si="1"/>
        <v>55</v>
      </c>
      <c r="G7" s="35" t="s">
        <v>25</v>
      </c>
    </row>
    <row r="8">
      <c r="A8" s="33" t="s">
        <v>219</v>
      </c>
      <c r="B8" s="34" t="s">
        <v>220</v>
      </c>
      <c r="C8" s="35">
        <v>2.0</v>
      </c>
      <c r="D8" s="35">
        <v>0.0</v>
      </c>
      <c r="E8" s="35">
        <v>2.0</v>
      </c>
      <c r="F8" s="36">
        <f t="shared" si="1"/>
        <v>4</v>
      </c>
      <c r="G8" s="35" t="s">
        <v>25</v>
      </c>
    </row>
    <row r="9">
      <c r="A9" s="33" t="s">
        <v>1109</v>
      </c>
      <c r="B9" s="34" t="s">
        <v>224</v>
      </c>
      <c r="C9" s="35">
        <v>20.0</v>
      </c>
      <c r="D9" s="35">
        <v>13.0</v>
      </c>
      <c r="E9" s="35">
        <v>12.0</v>
      </c>
      <c r="F9" s="36">
        <f t="shared" si="1"/>
        <v>45</v>
      </c>
      <c r="G9" s="35" t="s">
        <v>6</v>
      </c>
    </row>
    <row r="10">
      <c r="A10" s="33" t="s">
        <v>226</v>
      </c>
      <c r="B10" s="34" t="s">
        <v>227</v>
      </c>
      <c r="C10" s="35">
        <v>12.0</v>
      </c>
      <c r="D10" s="35">
        <v>4.0</v>
      </c>
      <c r="E10" s="35">
        <v>4.0</v>
      </c>
      <c r="F10" s="36">
        <f t="shared" si="1"/>
        <v>20</v>
      </c>
      <c r="G10" s="35" t="s">
        <v>55</v>
      </c>
      <c r="H10" s="2" t="s">
        <v>1110</v>
      </c>
    </row>
    <row r="11">
      <c r="A11" s="33" t="s">
        <v>1111</v>
      </c>
      <c r="B11" s="34" t="s">
        <v>230</v>
      </c>
      <c r="C11" s="35">
        <v>17.0</v>
      </c>
      <c r="D11" s="35">
        <v>11.0</v>
      </c>
      <c r="E11" s="35">
        <v>12.0</v>
      </c>
      <c r="F11" s="36">
        <f t="shared" si="1"/>
        <v>40</v>
      </c>
      <c r="G11" s="35" t="s">
        <v>55</v>
      </c>
      <c r="H11" s="2" t="s">
        <v>1112</v>
      </c>
    </row>
    <row r="12">
      <c r="A12" s="33" t="s">
        <v>232</v>
      </c>
      <c r="B12" s="34" t="s">
        <v>233</v>
      </c>
      <c r="C12" s="35">
        <v>21.0</v>
      </c>
      <c r="D12" s="35">
        <v>5.0</v>
      </c>
      <c r="E12" s="35">
        <v>7.0</v>
      </c>
      <c r="F12" s="36">
        <f t="shared" si="1"/>
        <v>33</v>
      </c>
      <c r="G12" s="35" t="s">
        <v>6</v>
      </c>
    </row>
    <row r="13">
      <c r="A13" s="33" t="s">
        <v>235</v>
      </c>
      <c r="B13" s="34" t="s">
        <v>236</v>
      </c>
      <c r="C13" s="35">
        <v>22.0</v>
      </c>
      <c r="D13" s="35">
        <v>15.0</v>
      </c>
      <c r="E13" s="35">
        <v>10.0</v>
      </c>
      <c r="F13" s="36">
        <f t="shared" si="1"/>
        <v>47</v>
      </c>
      <c r="G13" s="35" t="s">
        <v>55</v>
      </c>
      <c r="H13" s="2" t="s">
        <v>1113</v>
      </c>
    </row>
    <row r="14">
      <c r="A14" s="33" t="s">
        <v>1114</v>
      </c>
      <c r="B14" s="34" t="s">
        <v>239</v>
      </c>
      <c r="C14" s="35">
        <v>23.0</v>
      </c>
      <c r="D14" s="35">
        <v>14.0</v>
      </c>
      <c r="E14" s="35">
        <v>16.0</v>
      </c>
      <c r="F14" s="36">
        <f t="shared" si="1"/>
        <v>53</v>
      </c>
      <c r="G14" s="35" t="s">
        <v>55</v>
      </c>
      <c r="H14" s="2" t="s">
        <v>1115</v>
      </c>
    </row>
    <row r="15">
      <c r="A15" s="33" t="s">
        <v>241</v>
      </c>
      <c r="B15" s="34" t="s">
        <v>242</v>
      </c>
      <c r="C15" s="35">
        <v>23.0</v>
      </c>
      <c r="D15" s="35">
        <v>11.0</v>
      </c>
      <c r="E15" s="35">
        <v>17.0</v>
      </c>
      <c r="F15" s="36">
        <f t="shared" si="1"/>
        <v>51</v>
      </c>
      <c r="G15" s="35" t="s">
        <v>55</v>
      </c>
      <c r="H15" s="2" t="s">
        <v>1116</v>
      </c>
    </row>
    <row r="16">
      <c r="A16" s="33" t="s">
        <v>244</v>
      </c>
      <c r="B16" s="34" t="s">
        <v>245</v>
      </c>
      <c r="C16" s="35">
        <v>24.0</v>
      </c>
      <c r="D16" s="35">
        <v>14.0</v>
      </c>
      <c r="E16" s="35">
        <v>17.0</v>
      </c>
      <c r="F16" s="36">
        <f t="shared" si="1"/>
        <v>55</v>
      </c>
      <c r="G16" s="35" t="s">
        <v>25</v>
      </c>
      <c r="H16" s="2" t="s">
        <v>1117</v>
      </c>
    </row>
    <row r="17">
      <c r="A17" s="33" t="s">
        <v>1118</v>
      </c>
      <c r="B17" s="34" t="s">
        <v>248</v>
      </c>
      <c r="C17" s="35">
        <v>20.0</v>
      </c>
      <c r="D17" s="35">
        <v>10.0</v>
      </c>
      <c r="E17" s="35">
        <v>8.0</v>
      </c>
      <c r="F17" s="36">
        <f t="shared" si="1"/>
        <v>38</v>
      </c>
      <c r="G17" s="35" t="s">
        <v>25</v>
      </c>
      <c r="H17" s="2" t="s">
        <v>1119</v>
      </c>
    </row>
    <row r="18">
      <c r="A18" s="33" t="s">
        <v>250</v>
      </c>
      <c r="B18" s="34" t="s">
        <v>251</v>
      </c>
      <c r="C18" s="35">
        <v>22.0</v>
      </c>
      <c r="D18" s="35">
        <v>8.0</v>
      </c>
      <c r="E18" s="35">
        <v>6.0</v>
      </c>
      <c r="F18" s="36">
        <f t="shared" si="1"/>
        <v>36</v>
      </c>
      <c r="G18" s="35" t="s">
        <v>25</v>
      </c>
      <c r="H18" s="2" t="s">
        <v>1120</v>
      </c>
    </row>
    <row r="19">
      <c r="A19" s="33" t="s">
        <v>1121</v>
      </c>
      <c r="B19" s="34" t="s">
        <v>254</v>
      </c>
      <c r="C19" s="35">
        <v>23.0</v>
      </c>
      <c r="D19" s="35">
        <v>14.0</v>
      </c>
      <c r="E19" s="35">
        <v>19.0</v>
      </c>
      <c r="F19" s="36">
        <f t="shared" si="1"/>
        <v>56</v>
      </c>
      <c r="G19" s="35" t="s">
        <v>25</v>
      </c>
      <c r="H19" s="2" t="s">
        <v>1122</v>
      </c>
    </row>
    <row r="20">
      <c r="A20" s="33" t="s">
        <v>1123</v>
      </c>
      <c r="B20" s="34" t="s">
        <v>257</v>
      </c>
      <c r="C20" s="35">
        <v>21.0</v>
      </c>
      <c r="D20" s="35">
        <v>10.0</v>
      </c>
      <c r="E20" s="35">
        <v>8.0</v>
      </c>
      <c r="F20" s="36">
        <f t="shared" si="1"/>
        <v>39</v>
      </c>
      <c r="G20" s="35" t="s">
        <v>55</v>
      </c>
      <c r="H20" s="2" t="s">
        <v>1124</v>
      </c>
    </row>
    <row r="21">
      <c r="A21" s="33" t="s">
        <v>259</v>
      </c>
      <c r="B21" s="34" t="s">
        <v>260</v>
      </c>
      <c r="C21" s="35">
        <v>20.0</v>
      </c>
      <c r="D21" s="35">
        <v>11.0</v>
      </c>
      <c r="E21" s="35">
        <v>16.0</v>
      </c>
      <c r="F21" s="36">
        <f t="shared" si="1"/>
        <v>47</v>
      </c>
      <c r="G21" s="35" t="s">
        <v>55</v>
      </c>
      <c r="H21" s="2" t="s">
        <v>1125</v>
      </c>
    </row>
    <row r="22">
      <c r="A22" s="33" t="s">
        <v>1126</v>
      </c>
      <c r="B22" s="34" t="s">
        <v>263</v>
      </c>
      <c r="C22" s="35">
        <v>21.0</v>
      </c>
      <c r="D22" s="35">
        <v>12.0</v>
      </c>
      <c r="E22" s="35">
        <v>12.0</v>
      </c>
      <c r="F22" s="36">
        <f t="shared" si="1"/>
        <v>45</v>
      </c>
      <c r="G22" s="36"/>
    </row>
    <row r="23">
      <c r="A23" s="33" t="s">
        <v>1127</v>
      </c>
      <c r="B23" s="34" t="s">
        <v>266</v>
      </c>
      <c r="C23" s="35">
        <v>10.0</v>
      </c>
      <c r="D23" s="35">
        <v>4.0</v>
      </c>
      <c r="E23" s="35">
        <v>6.0</v>
      </c>
      <c r="F23" s="36">
        <f t="shared" si="1"/>
        <v>20</v>
      </c>
      <c r="G23" s="35" t="s">
        <v>6</v>
      </c>
    </row>
    <row r="24">
      <c r="A24" s="33" t="s">
        <v>268</v>
      </c>
      <c r="B24" s="34" t="s">
        <v>269</v>
      </c>
      <c r="C24" s="35">
        <v>20.0</v>
      </c>
      <c r="D24" s="35">
        <v>13.0</v>
      </c>
      <c r="E24" s="35">
        <v>15.0</v>
      </c>
      <c r="F24" s="36">
        <f t="shared" si="1"/>
        <v>48</v>
      </c>
      <c r="G24" s="36"/>
    </row>
    <row r="25">
      <c r="A25" s="33" t="s">
        <v>1128</v>
      </c>
      <c r="B25" s="34" t="s">
        <v>272</v>
      </c>
      <c r="C25" s="35">
        <v>20.0</v>
      </c>
      <c r="D25" s="35">
        <v>13.0</v>
      </c>
      <c r="E25" s="35">
        <v>13.0</v>
      </c>
      <c r="F25" s="36">
        <f t="shared" si="1"/>
        <v>46</v>
      </c>
      <c r="G25" s="36"/>
    </row>
    <row r="26">
      <c r="A26" s="33" t="s">
        <v>1129</v>
      </c>
      <c r="B26" s="34" t="s">
        <v>275</v>
      </c>
      <c r="C26" s="35">
        <v>19.0</v>
      </c>
      <c r="D26" s="35">
        <v>11.0</v>
      </c>
      <c r="E26" s="35">
        <v>12.0</v>
      </c>
      <c r="F26" s="36">
        <f t="shared" si="1"/>
        <v>42</v>
      </c>
      <c r="G26" s="36"/>
    </row>
    <row r="27">
      <c r="A27" s="33" t="s">
        <v>1130</v>
      </c>
      <c r="B27" s="34" t="s">
        <v>278</v>
      </c>
      <c r="C27" s="35">
        <v>17.0</v>
      </c>
      <c r="D27" s="35">
        <v>5.0</v>
      </c>
      <c r="E27" s="35">
        <v>9.0</v>
      </c>
      <c r="F27" s="36">
        <f t="shared" si="1"/>
        <v>31</v>
      </c>
      <c r="G27" s="36"/>
    </row>
    <row r="28">
      <c r="A28" s="33" t="s">
        <v>280</v>
      </c>
      <c r="B28" s="34" t="s">
        <v>281</v>
      </c>
      <c r="C28" s="35">
        <v>22.0</v>
      </c>
      <c r="D28" s="35">
        <v>13.0</v>
      </c>
      <c r="E28" s="35">
        <v>13.0</v>
      </c>
      <c r="F28" s="36">
        <f t="shared" si="1"/>
        <v>48</v>
      </c>
      <c r="G28" s="36"/>
    </row>
    <row r="29">
      <c r="A29" s="33" t="s">
        <v>283</v>
      </c>
      <c r="B29" s="34" t="s">
        <v>284</v>
      </c>
      <c r="C29" s="35">
        <v>16.0</v>
      </c>
      <c r="D29" s="35">
        <v>11.0</v>
      </c>
      <c r="E29" s="35">
        <v>16.0</v>
      </c>
      <c r="F29" s="36">
        <f t="shared" si="1"/>
        <v>43</v>
      </c>
      <c r="G29" s="36"/>
    </row>
    <row r="30">
      <c r="A30" s="33" t="s">
        <v>1131</v>
      </c>
      <c r="B30" s="34" t="s">
        <v>287</v>
      </c>
      <c r="C30" s="35">
        <v>22.0</v>
      </c>
      <c r="D30" s="35">
        <v>13.0</v>
      </c>
      <c r="E30" s="35">
        <v>17.0</v>
      </c>
      <c r="F30" s="36">
        <f t="shared" si="1"/>
        <v>52</v>
      </c>
      <c r="G30" s="36"/>
    </row>
    <row r="31">
      <c r="A31" s="33" t="s">
        <v>1132</v>
      </c>
      <c r="B31" s="34" t="s">
        <v>290</v>
      </c>
      <c r="C31" s="35">
        <v>19.0</v>
      </c>
      <c r="D31" s="35">
        <v>11.0</v>
      </c>
      <c r="E31" s="35">
        <v>13.0</v>
      </c>
      <c r="F31" s="36">
        <f t="shared" si="1"/>
        <v>43</v>
      </c>
      <c r="G31" s="36"/>
    </row>
    <row r="32">
      <c r="A32" s="33" t="s">
        <v>1133</v>
      </c>
      <c r="B32" s="34" t="s">
        <v>293</v>
      </c>
      <c r="C32" s="35">
        <v>18.0</v>
      </c>
      <c r="D32" s="35">
        <v>9.0</v>
      </c>
      <c r="E32" s="35">
        <v>8.0</v>
      </c>
      <c r="F32" s="36">
        <f t="shared" si="1"/>
        <v>35</v>
      </c>
      <c r="G32" s="36"/>
    </row>
    <row r="33">
      <c r="A33" s="33" t="s">
        <v>294</v>
      </c>
      <c r="B33" s="34" t="s">
        <v>295</v>
      </c>
      <c r="C33" s="35">
        <v>14.0</v>
      </c>
      <c r="D33" s="35">
        <v>12.0</v>
      </c>
      <c r="E33" s="35">
        <v>9.0</v>
      </c>
      <c r="F33" s="36">
        <f t="shared" si="1"/>
        <v>35</v>
      </c>
      <c r="G33" s="35" t="s">
        <v>25</v>
      </c>
    </row>
    <row r="34">
      <c r="A34" s="33" t="s">
        <v>1134</v>
      </c>
      <c r="B34" s="34" t="s">
        <v>298</v>
      </c>
      <c r="C34" s="35">
        <v>12.0</v>
      </c>
      <c r="D34" s="35">
        <v>3.0</v>
      </c>
      <c r="E34" s="35">
        <v>0.0</v>
      </c>
      <c r="F34" s="36">
        <f t="shared" si="1"/>
        <v>15</v>
      </c>
      <c r="G34" s="36"/>
    </row>
    <row r="35">
      <c r="A35" s="33" t="s">
        <v>1135</v>
      </c>
      <c r="B35" s="34" t="s">
        <v>301</v>
      </c>
      <c r="C35" s="35">
        <v>20.0</v>
      </c>
      <c r="D35" s="35">
        <v>12.0</v>
      </c>
      <c r="E35" s="35">
        <v>12.0</v>
      </c>
      <c r="F35" s="36">
        <f t="shared" si="1"/>
        <v>44</v>
      </c>
      <c r="G35" s="36"/>
    </row>
    <row r="36">
      <c r="A36" s="33" t="s">
        <v>1136</v>
      </c>
      <c r="B36" s="34" t="s">
        <v>304</v>
      </c>
      <c r="C36" s="35">
        <v>24.0</v>
      </c>
      <c r="D36" s="35">
        <v>9.0</v>
      </c>
      <c r="E36" s="35">
        <v>12.0</v>
      </c>
      <c r="F36" s="36">
        <f t="shared" si="1"/>
        <v>45</v>
      </c>
      <c r="G36" s="36"/>
    </row>
    <row r="37">
      <c r="A37" s="33" t="s">
        <v>306</v>
      </c>
      <c r="B37" s="34" t="s">
        <v>307</v>
      </c>
      <c r="C37" s="35">
        <v>21.0</v>
      </c>
      <c r="D37" s="35">
        <v>14.0</v>
      </c>
      <c r="E37" s="35">
        <v>13.0</v>
      </c>
      <c r="F37" s="36">
        <f t="shared" si="1"/>
        <v>48</v>
      </c>
      <c r="G37" s="36"/>
    </row>
    <row r="38">
      <c r="A38" s="33" t="s">
        <v>309</v>
      </c>
      <c r="B38" s="34" t="s">
        <v>310</v>
      </c>
      <c r="C38" s="35">
        <v>18.0</v>
      </c>
      <c r="D38" s="35">
        <v>10.0</v>
      </c>
      <c r="E38" s="35">
        <v>2.0</v>
      </c>
      <c r="F38" s="36">
        <f t="shared" si="1"/>
        <v>30</v>
      </c>
      <c r="G38" s="35" t="s">
        <v>6</v>
      </c>
    </row>
    <row r="39">
      <c r="A39" s="33" t="s">
        <v>1137</v>
      </c>
      <c r="B39" s="34" t="s">
        <v>313</v>
      </c>
      <c r="C39" s="35">
        <v>18.0</v>
      </c>
      <c r="D39" s="35">
        <v>0.0</v>
      </c>
      <c r="E39" s="35">
        <v>0.0</v>
      </c>
      <c r="F39" s="36">
        <f t="shared" si="1"/>
        <v>18</v>
      </c>
      <c r="G39" s="36"/>
    </row>
    <row r="40">
      <c r="A40" s="33" t="s">
        <v>315</v>
      </c>
      <c r="B40" s="34" t="s">
        <v>316</v>
      </c>
      <c r="C40" s="35">
        <v>20.0</v>
      </c>
      <c r="D40" s="35">
        <v>14.0</v>
      </c>
      <c r="E40" s="35">
        <v>14.0</v>
      </c>
      <c r="F40" s="36">
        <f t="shared" si="1"/>
        <v>48</v>
      </c>
      <c r="G40" s="36"/>
    </row>
    <row r="41">
      <c r="A41" s="33" t="s">
        <v>318</v>
      </c>
      <c r="B41" s="34" t="s">
        <v>319</v>
      </c>
      <c r="C41" s="35">
        <v>19.0</v>
      </c>
      <c r="D41" s="35">
        <v>13.0</v>
      </c>
      <c r="E41" s="35">
        <v>14.0</v>
      </c>
      <c r="F41" s="36">
        <f t="shared" si="1"/>
        <v>46</v>
      </c>
      <c r="G41" s="36"/>
    </row>
    <row r="42">
      <c r="A42" s="33" t="s">
        <v>1138</v>
      </c>
      <c r="B42" s="34" t="s">
        <v>322</v>
      </c>
      <c r="C42" s="35">
        <v>18.0</v>
      </c>
      <c r="D42" s="35">
        <v>6.0</v>
      </c>
      <c r="E42" s="35">
        <v>3.0</v>
      </c>
      <c r="F42" s="36">
        <f t="shared" si="1"/>
        <v>27</v>
      </c>
      <c r="G42" s="35" t="s">
        <v>25</v>
      </c>
    </row>
    <row r="43">
      <c r="A43" s="33" t="s">
        <v>324</v>
      </c>
      <c r="B43" s="34" t="s">
        <v>325</v>
      </c>
      <c r="C43" s="35">
        <v>13.0</v>
      </c>
      <c r="D43" s="35">
        <v>14.0</v>
      </c>
      <c r="E43" s="35">
        <v>12.0</v>
      </c>
      <c r="F43" s="36">
        <f t="shared" si="1"/>
        <v>39</v>
      </c>
      <c r="G43" s="36"/>
    </row>
    <row r="44">
      <c r="A44" s="33" t="s">
        <v>1139</v>
      </c>
      <c r="B44" s="34" t="s">
        <v>328</v>
      </c>
      <c r="C44" s="35">
        <v>20.0</v>
      </c>
      <c r="D44" s="35">
        <v>10.0</v>
      </c>
      <c r="E44" s="35">
        <v>15.0</v>
      </c>
      <c r="F44" s="36">
        <f t="shared" si="1"/>
        <v>45</v>
      </c>
      <c r="G44" s="36"/>
    </row>
    <row r="45">
      <c r="A45" s="36"/>
      <c r="B45" s="36"/>
      <c r="C45" s="36"/>
      <c r="D45" s="36"/>
      <c r="E45" s="36"/>
      <c r="F45" s="36">
        <f t="shared" si="1"/>
        <v>0</v>
      </c>
      <c r="G45" s="36"/>
    </row>
    <row r="46">
      <c r="A46" s="36"/>
      <c r="B46" s="36"/>
      <c r="C46" s="36"/>
      <c r="D46" s="36"/>
      <c r="E46" s="36"/>
      <c r="F46" s="36">
        <f t="shared" si="1"/>
        <v>0</v>
      </c>
      <c r="G46" s="36"/>
    </row>
    <row r="47">
      <c r="A47" s="36"/>
      <c r="B47" s="36"/>
      <c r="C47" s="36"/>
      <c r="D47" s="36"/>
      <c r="E47" s="36"/>
      <c r="F47" s="36">
        <f t="shared" si="1"/>
        <v>0</v>
      </c>
      <c r="G47" s="36"/>
    </row>
    <row r="48">
      <c r="A48" s="36"/>
      <c r="B48" s="36"/>
      <c r="C48" s="36"/>
      <c r="D48" s="36"/>
      <c r="E48" s="36"/>
      <c r="F48" s="36">
        <f t="shared" si="1"/>
        <v>0</v>
      </c>
      <c r="G48" s="36"/>
    </row>
    <row r="49">
      <c r="A49" s="36"/>
      <c r="B49" s="36"/>
      <c r="C49" s="36"/>
      <c r="D49" s="36"/>
      <c r="E49" s="36"/>
      <c r="F49" s="36">
        <f t="shared" si="1"/>
        <v>0</v>
      </c>
      <c r="G49" s="36"/>
    </row>
    <row r="50">
      <c r="A50" s="36"/>
      <c r="B50" s="36"/>
      <c r="C50" s="36"/>
      <c r="D50" s="36"/>
      <c r="E50" s="36"/>
      <c r="F50" s="36">
        <f t="shared" si="1"/>
        <v>0</v>
      </c>
      <c r="G50" s="36"/>
    </row>
    <row r="51">
      <c r="A51" s="36"/>
      <c r="B51" s="36"/>
      <c r="C51" s="36"/>
      <c r="D51" s="36"/>
      <c r="E51" s="36"/>
      <c r="F51" s="36">
        <f t="shared" si="1"/>
        <v>0</v>
      </c>
      <c r="G51" s="36"/>
    </row>
    <row r="52">
      <c r="A52" s="36"/>
      <c r="B52" s="36"/>
      <c r="C52" s="36"/>
      <c r="D52" s="36"/>
      <c r="E52" s="36"/>
      <c r="F52" s="36">
        <f t="shared" si="1"/>
        <v>0</v>
      </c>
      <c r="G52" s="36"/>
    </row>
    <row r="53">
      <c r="A53" s="36"/>
      <c r="B53" s="36"/>
      <c r="C53" s="36"/>
      <c r="D53" s="36"/>
      <c r="E53" s="36"/>
      <c r="F53" s="36">
        <f t="shared" si="1"/>
        <v>0</v>
      </c>
      <c r="G53" s="36"/>
    </row>
    <row r="54">
      <c r="A54" s="36"/>
      <c r="B54" s="36"/>
      <c r="C54" s="36"/>
      <c r="D54" s="36"/>
      <c r="E54" s="36"/>
      <c r="F54" s="36">
        <f t="shared" si="1"/>
        <v>0</v>
      </c>
      <c r="G54" s="36"/>
    </row>
    <row r="55">
      <c r="A55" s="36"/>
      <c r="B55" s="36"/>
      <c r="C55" s="36"/>
      <c r="D55" s="36"/>
      <c r="E55" s="36"/>
      <c r="F55" s="36">
        <f t="shared" si="1"/>
        <v>0</v>
      </c>
      <c r="G55" s="36"/>
    </row>
    <row r="56">
      <c r="A56" s="36"/>
      <c r="B56" s="36"/>
      <c r="C56" s="36"/>
      <c r="D56" s="36"/>
      <c r="E56" s="36"/>
      <c r="F56" s="36">
        <f t="shared" si="1"/>
        <v>0</v>
      </c>
      <c r="G56" s="36"/>
    </row>
    <row r="57">
      <c r="A57" s="36"/>
      <c r="B57" s="36"/>
      <c r="C57" s="36"/>
      <c r="D57" s="36"/>
      <c r="E57" s="36"/>
      <c r="F57" s="36">
        <f t="shared" si="1"/>
        <v>0</v>
      </c>
      <c r="G57" s="36"/>
    </row>
    <row r="58">
      <c r="A58" s="36"/>
      <c r="B58" s="36"/>
      <c r="C58" s="36"/>
      <c r="D58" s="36"/>
      <c r="E58" s="36"/>
      <c r="F58" s="36">
        <f t="shared" si="1"/>
        <v>0</v>
      </c>
      <c r="G58" s="36"/>
    </row>
    <row r="59">
      <c r="A59" s="36"/>
      <c r="B59" s="36"/>
      <c r="C59" s="36"/>
      <c r="D59" s="36"/>
      <c r="E59" s="36"/>
      <c r="F59" s="36">
        <f t="shared" si="1"/>
        <v>0</v>
      </c>
      <c r="G59" s="36"/>
    </row>
    <row r="60">
      <c r="A60" s="36"/>
      <c r="B60" s="36"/>
      <c r="C60" s="36"/>
      <c r="D60" s="36"/>
      <c r="E60" s="36"/>
      <c r="F60" s="36">
        <f t="shared" si="1"/>
        <v>0</v>
      </c>
      <c r="G60" s="36"/>
    </row>
    <row r="61">
      <c r="A61" s="36"/>
      <c r="B61" s="36"/>
      <c r="C61" s="36"/>
      <c r="D61" s="36"/>
      <c r="E61" s="36"/>
      <c r="F61" s="36">
        <f t="shared" si="1"/>
        <v>0</v>
      </c>
      <c r="G61" s="36"/>
    </row>
    <row r="62">
      <c r="A62" s="36"/>
      <c r="B62" s="36"/>
      <c r="C62" s="36"/>
      <c r="D62" s="36"/>
      <c r="E62" s="36"/>
      <c r="F62" s="36">
        <f t="shared" si="1"/>
        <v>0</v>
      </c>
      <c r="G62" s="36"/>
    </row>
    <row r="63">
      <c r="A63" s="36"/>
      <c r="B63" s="36"/>
      <c r="C63" s="36"/>
      <c r="D63" s="36"/>
      <c r="E63" s="36"/>
      <c r="F63" s="36">
        <f t="shared" si="1"/>
        <v>0</v>
      </c>
      <c r="G63" s="36"/>
    </row>
    <row r="64">
      <c r="A64" s="36"/>
      <c r="B64" s="36"/>
      <c r="C64" s="36"/>
      <c r="D64" s="36"/>
      <c r="E64" s="36"/>
      <c r="F64" s="36">
        <f t="shared" si="1"/>
        <v>0</v>
      </c>
      <c r="G64" s="36"/>
    </row>
    <row r="65">
      <c r="A65" s="36"/>
      <c r="B65" s="36"/>
      <c r="C65" s="36"/>
      <c r="D65" s="36"/>
      <c r="E65" s="36"/>
      <c r="F65" s="36">
        <f t="shared" si="1"/>
        <v>0</v>
      </c>
      <c r="G65" s="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46.13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22" t="s">
        <v>1039</v>
      </c>
    </row>
    <row r="2">
      <c r="A2" s="20" t="s">
        <v>1140</v>
      </c>
      <c r="B2" s="20" t="s">
        <v>1141</v>
      </c>
      <c r="C2" s="20">
        <v>13.0</v>
      </c>
      <c r="D2" s="20">
        <v>5.0</v>
      </c>
      <c r="E2" s="20">
        <v>2.0</v>
      </c>
      <c r="F2" s="25">
        <f t="shared" ref="F2:F3" si="1">SUM(C2:E2)</f>
        <v>20</v>
      </c>
      <c r="G2" s="20" t="s">
        <v>25</v>
      </c>
      <c r="H2" s="25"/>
    </row>
    <row r="3">
      <c r="A3" s="20" t="s">
        <v>1142</v>
      </c>
      <c r="B3" s="20" t="s">
        <v>1143</v>
      </c>
      <c r="C3" s="20">
        <v>8.0</v>
      </c>
      <c r="D3" s="20">
        <v>11.0</v>
      </c>
      <c r="E3" s="20">
        <v>10.0</v>
      </c>
      <c r="F3" s="25">
        <f t="shared" si="1"/>
        <v>29</v>
      </c>
      <c r="G3" s="20" t="s">
        <v>25</v>
      </c>
      <c r="H3" s="25"/>
    </row>
    <row r="4">
      <c r="A4" s="20" t="s">
        <v>1144</v>
      </c>
      <c r="B4" s="20" t="s">
        <v>1002</v>
      </c>
      <c r="C4" s="20">
        <v>10.0</v>
      </c>
      <c r="D4" s="20">
        <v>8.0</v>
      </c>
      <c r="E4" s="20">
        <v>10.0</v>
      </c>
      <c r="F4" s="20">
        <v>28.0</v>
      </c>
      <c r="G4" s="20" t="s">
        <v>55</v>
      </c>
      <c r="H4" s="25"/>
    </row>
    <row r="5">
      <c r="A5" s="20" t="s">
        <v>1145</v>
      </c>
      <c r="B5" s="20" t="s">
        <v>1146</v>
      </c>
      <c r="C5" s="20">
        <v>20.0</v>
      </c>
      <c r="D5" s="20">
        <v>11.0</v>
      </c>
      <c r="E5" s="20">
        <v>9.0</v>
      </c>
      <c r="F5" s="25">
        <f t="shared" ref="F5:F8" si="2">SUM(C5:E5)</f>
        <v>40</v>
      </c>
      <c r="G5" s="20" t="s">
        <v>25</v>
      </c>
      <c r="H5" s="25"/>
    </row>
    <row r="6">
      <c r="A6" s="20" t="s">
        <v>1147</v>
      </c>
      <c r="B6" s="20" t="s">
        <v>1148</v>
      </c>
      <c r="C6" s="20">
        <v>19.0</v>
      </c>
      <c r="D6" s="20">
        <v>10.0</v>
      </c>
      <c r="E6" s="20">
        <v>1.0</v>
      </c>
      <c r="F6" s="25">
        <f t="shared" si="2"/>
        <v>30</v>
      </c>
      <c r="G6" s="20" t="s">
        <v>25</v>
      </c>
      <c r="H6" s="25"/>
    </row>
    <row r="7">
      <c r="A7" s="20" t="s">
        <v>1149</v>
      </c>
      <c r="B7" s="20" t="s">
        <v>1150</v>
      </c>
      <c r="C7" s="20">
        <v>8.0</v>
      </c>
      <c r="D7" s="20">
        <v>3.0</v>
      </c>
      <c r="E7" s="20">
        <v>0.0</v>
      </c>
      <c r="F7" s="25">
        <f t="shared" si="2"/>
        <v>11</v>
      </c>
      <c r="G7" s="20">
        <v>0.0</v>
      </c>
      <c r="H7" s="20" t="s">
        <v>1151</v>
      </c>
    </row>
    <row r="8">
      <c r="A8" s="20" t="s">
        <v>1152</v>
      </c>
      <c r="B8" s="20" t="s">
        <v>1014</v>
      </c>
      <c r="C8" s="20">
        <v>24.0</v>
      </c>
      <c r="D8" s="20">
        <v>6.0</v>
      </c>
      <c r="E8" s="20">
        <v>0.0</v>
      </c>
      <c r="F8" s="25">
        <f t="shared" si="2"/>
        <v>30</v>
      </c>
      <c r="G8" s="20" t="s">
        <v>25</v>
      </c>
      <c r="H8" s="25"/>
    </row>
    <row r="9">
      <c r="A9" s="20" t="s">
        <v>1153</v>
      </c>
      <c r="B9" s="20" t="s">
        <v>1154</v>
      </c>
      <c r="C9" s="20">
        <v>11.0</v>
      </c>
      <c r="D9" s="20">
        <v>7.0</v>
      </c>
      <c r="E9" s="20">
        <v>3.0</v>
      </c>
      <c r="F9" s="20">
        <v>21.0</v>
      </c>
      <c r="G9" s="20" t="s">
        <v>55</v>
      </c>
      <c r="H9" s="25"/>
    </row>
    <row r="10">
      <c r="A10" s="20" t="s">
        <v>1155</v>
      </c>
      <c r="B10" s="20" t="s">
        <v>1020</v>
      </c>
      <c r="C10" s="20">
        <v>11.0</v>
      </c>
      <c r="D10" s="20">
        <v>5.0</v>
      </c>
      <c r="E10" s="20">
        <v>9.0</v>
      </c>
      <c r="F10" s="20">
        <v>25.0</v>
      </c>
      <c r="G10" s="20" t="s">
        <v>55</v>
      </c>
      <c r="H10" s="25"/>
    </row>
    <row r="11">
      <c r="A11" s="20" t="s">
        <v>1156</v>
      </c>
      <c r="B11" s="20" t="s">
        <v>1023</v>
      </c>
      <c r="C11" s="20">
        <v>19.0</v>
      </c>
      <c r="D11" s="20">
        <v>15.0</v>
      </c>
      <c r="E11" s="20">
        <v>11.0</v>
      </c>
      <c r="F11" s="25">
        <f t="shared" ref="F11:F68" si="3">SUM(C11:E11)</f>
        <v>45</v>
      </c>
      <c r="G11" s="20" t="s">
        <v>25</v>
      </c>
      <c r="H11" s="25"/>
    </row>
    <row r="12">
      <c r="A12" s="20" t="s">
        <v>1157</v>
      </c>
      <c r="B12" s="20" t="s">
        <v>1026</v>
      </c>
      <c r="C12" s="20">
        <v>7.0</v>
      </c>
      <c r="D12" s="20">
        <v>3.0</v>
      </c>
      <c r="E12" s="20">
        <v>5.0</v>
      </c>
      <c r="F12" s="25">
        <f t="shared" si="3"/>
        <v>15</v>
      </c>
      <c r="G12" s="20">
        <v>0.0</v>
      </c>
      <c r="H12" s="20" t="s">
        <v>1151</v>
      </c>
    </row>
    <row r="13">
      <c r="A13" s="20" t="s">
        <v>1158</v>
      </c>
      <c r="B13" s="20" t="s">
        <v>1029</v>
      </c>
      <c r="C13" s="20">
        <v>25.0</v>
      </c>
      <c r="D13" s="20">
        <v>11.0</v>
      </c>
      <c r="E13" s="20">
        <v>10.0</v>
      </c>
      <c r="F13" s="25">
        <f t="shared" si="3"/>
        <v>46</v>
      </c>
      <c r="G13" s="20" t="s">
        <v>6</v>
      </c>
      <c r="H13" s="20" t="s">
        <v>1159</v>
      </c>
    </row>
    <row r="14">
      <c r="F14" s="3">
        <f t="shared" si="3"/>
        <v>0</v>
      </c>
    </row>
    <row r="15">
      <c r="F15" s="3">
        <f t="shared" si="3"/>
        <v>0</v>
      </c>
    </row>
    <row r="16">
      <c r="F16" s="3">
        <f t="shared" si="3"/>
        <v>0</v>
      </c>
    </row>
    <row r="17">
      <c r="F17" s="3">
        <f t="shared" si="3"/>
        <v>0</v>
      </c>
    </row>
    <row r="18">
      <c r="F18" s="3">
        <f t="shared" si="3"/>
        <v>0</v>
      </c>
    </row>
    <row r="19">
      <c r="F19" s="3">
        <f t="shared" si="3"/>
        <v>0</v>
      </c>
    </row>
    <row r="20">
      <c r="F20" s="3">
        <f t="shared" si="3"/>
        <v>0</v>
      </c>
    </row>
    <row r="21">
      <c r="F21" s="3">
        <f t="shared" si="3"/>
        <v>0</v>
      </c>
    </row>
    <row r="22">
      <c r="F22" s="3">
        <f t="shared" si="3"/>
        <v>0</v>
      </c>
    </row>
    <row r="23">
      <c r="F23" s="3">
        <f t="shared" si="3"/>
        <v>0</v>
      </c>
    </row>
    <row r="24">
      <c r="F24" s="3">
        <f t="shared" si="3"/>
        <v>0</v>
      </c>
    </row>
    <row r="25">
      <c r="F25" s="3">
        <f t="shared" si="3"/>
        <v>0</v>
      </c>
    </row>
    <row r="26">
      <c r="F26" s="3">
        <f t="shared" si="3"/>
        <v>0</v>
      </c>
    </row>
    <row r="27">
      <c r="F27" s="3">
        <f t="shared" si="3"/>
        <v>0</v>
      </c>
    </row>
    <row r="28">
      <c r="F28" s="3">
        <f t="shared" si="3"/>
        <v>0</v>
      </c>
    </row>
    <row r="29">
      <c r="F29" s="3">
        <f t="shared" si="3"/>
        <v>0</v>
      </c>
    </row>
    <row r="30">
      <c r="F30" s="3">
        <f t="shared" si="3"/>
        <v>0</v>
      </c>
    </row>
    <row r="31">
      <c r="F31" s="3">
        <f t="shared" si="3"/>
        <v>0</v>
      </c>
    </row>
    <row r="32">
      <c r="F32" s="3">
        <f t="shared" si="3"/>
        <v>0</v>
      </c>
    </row>
    <row r="33">
      <c r="F33" s="3">
        <f t="shared" si="3"/>
        <v>0</v>
      </c>
    </row>
    <row r="34">
      <c r="F34" s="3">
        <f t="shared" si="3"/>
        <v>0</v>
      </c>
    </row>
    <row r="35">
      <c r="F35" s="3">
        <f t="shared" si="3"/>
        <v>0</v>
      </c>
    </row>
    <row r="36">
      <c r="F36" s="3">
        <f t="shared" si="3"/>
        <v>0</v>
      </c>
    </row>
    <row r="37">
      <c r="F37" s="3">
        <f t="shared" si="3"/>
        <v>0</v>
      </c>
    </row>
    <row r="38">
      <c r="F38" s="3">
        <f t="shared" si="3"/>
        <v>0</v>
      </c>
    </row>
    <row r="39">
      <c r="F39" s="3">
        <f t="shared" si="3"/>
        <v>0</v>
      </c>
    </row>
    <row r="40">
      <c r="F40" s="3">
        <f t="shared" si="3"/>
        <v>0</v>
      </c>
    </row>
    <row r="41">
      <c r="F41" s="3">
        <f t="shared" si="3"/>
        <v>0</v>
      </c>
    </row>
    <row r="42">
      <c r="F42" s="3">
        <f t="shared" si="3"/>
        <v>0</v>
      </c>
    </row>
    <row r="43">
      <c r="F43" s="3">
        <f t="shared" si="3"/>
        <v>0</v>
      </c>
    </row>
    <row r="44">
      <c r="F44" s="3">
        <f t="shared" si="3"/>
        <v>0</v>
      </c>
    </row>
    <row r="45">
      <c r="F45" s="3">
        <f t="shared" si="3"/>
        <v>0</v>
      </c>
    </row>
    <row r="46">
      <c r="F46" s="3">
        <f t="shared" si="3"/>
        <v>0</v>
      </c>
    </row>
    <row r="47">
      <c r="F47" s="3">
        <f t="shared" si="3"/>
        <v>0</v>
      </c>
    </row>
    <row r="48">
      <c r="F48" s="3">
        <f t="shared" si="3"/>
        <v>0</v>
      </c>
    </row>
    <row r="49">
      <c r="F49" s="3">
        <f t="shared" si="3"/>
        <v>0</v>
      </c>
    </row>
    <row r="50">
      <c r="F50" s="3">
        <f t="shared" si="3"/>
        <v>0</v>
      </c>
    </row>
    <row r="51">
      <c r="F51" s="3">
        <f t="shared" si="3"/>
        <v>0</v>
      </c>
    </row>
    <row r="52">
      <c r="F52" s="3">
        <f t="shared" si="3"/>
        <v>0</v>
      </c>
    </row>
    <row r="53">
      <c r="F53" s="3">
        <f t="shared" si="3"/>
        <v>0</v>
      </c>
    </row>
    <row r="54">
      <c r="F54" s="3">
        <f t="shared" si="3"/>
        <v>0</v>
      </c>
    </row>
    <row r="55">
      <c r="F55" s="3">
        <f t="shared" si="3"/>
        <v>0</v>
      </c>
    </row>
    <row r="56">
      <c r="F56" s="3">
        <f t="shared" si="3"/>
        <v>0</v>
      </c>
    </row>
    <row r="57">
      <c r="F57" s="3">
        <f t="shared" si="3"/>
        <v>0</v>
      </c>
    </row>
    <row r="58">
      <c r="F58" s="3">
        <f t="shared" si="3"/>
        <v>0</v>
      </c>
    </row>
    <row r="59">
      <c r="F59" s="3">
        <f t="shared" si="3"/>
        <v>0</v>
      </c>
    </row>
    <row r="60">
      <c r="F60" s="3">
        <f t="shared" si="3"/>
        <v>0</v>
      </c>
    </row>
    <row r="61">
      <c r="F61" s="3">
        <f t="shared" si="3"/>
        <v>0</v>
      </c>
    </row>
    <row r="62">
      <c r="F62" s="3">
        <f t="shared" si="3"/>
        <v>0</v>
      </c>
    </row>
    <row r="63">
      <c r="F63" s="3">
        <f t="shared" si="3"/>
        <v>0</v>
      </c>
    </row>
    <row r="64">
      <c r="F64" s="3">
        <f t="shared" si="3"/>
        <v>0</v>
      </c>
    </row>
    <row r="65">
      <c r="F65" s="3">
        <f t="shared" si="3"/>
        <v>0</v>
      </c>
    </row>
    <row r="66">
      <c r="F66" s="3">
        <f t="shared" si="3"/>
        <v>0</v>
      </c>
    </row>
    <row r="67">
      <c r="F67" s="3">
        <f t="shared" si="3"/>
        <v>0</v>
      </c>
    </row>
    <row r="68">
      <c r="F68" s="3">
        <f t="shared" si="3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18" t="s">
        <v>1039</v>
      </c>
    </row>
    <row r="2">
      <c r="A2" s="20" t="s">
        <v>635</v>
      </c>
      <c r="B2" s="20" t="s">
        <v>636</v>
      </c>
      <c r="C2" s="20">
        <v>15.0</v>
      </c>
      <c r="D2" s="20">
        <v>13.0</v>
      </c>
      <c r="E2" s="20">
        <v>9.0</v>
      </c>
      <c r="F2" s="25">
        <f t="shared" ref="F2:F60" si="1">SUM(C2:E2)</f>
        <v>37</v>
      </c>
      <c r="G2" s="20" t="s">
        <v>55</v>
      </c>
    </row>
    <row r="3">
      <c r="A3" s="20" t="s">
        <v>1160</v>
      </c>
      <c r="B3" s="20" t="s">
        <v>639</v>
      </c>
      <c r="C3" s="20">
        <v>25.0</v>
      </c>
      <c r="D3" s="20">
        <v>13.0</v>
      </c>
      <c r="E3" s="20">
        <v>15.0</v>
      </c>
      <c r="F3" s="25">
        <f t="shared" si="1"/>
        <v>53</v>
      </c>
      <c r="G3" s="20" t="s">
        <v>55</v>
      </c>
    </row>
    <row r="4">
      <c r="A4" s="20" t="s">
        <v>641</v>
      </c>
      <c r="B4" s="20" t="s">
        <v>642</v>
      </c>
      <c r="C4" s="20">
        <v>15.0</v>
      </c>
      <c r="D4" s="20">
        <v>5.0</v>
      </c>
      <c r="E4" s="20">
        <v>6.0</v>
      </c>
      <c r="F4" s="25">
        <f t="shared" si="1"/>
        <v>26</v>
      </c>
      <c r="G4" s="20">
        <v>0.0</v>
      </c>
    </row>
    <row r="5">
      <c r="A5" s="20" t="s">
        <v>644</v>
      </c>
      <c r="B5" s="20" t="s">
        <v>645</v>
      </c>
      <c r="C5" s="20">
        <v>23.0</v>
      </c>
      <c r="D5" s="20">
        <v>8.0</v>
      </c>
      <c r="E5" s="20">
        <v>8.0</v>
      </c>
      <c r="F5" s="25">
        <f t="shared" si="1"/>
        <v>39</v>
      </c>
      <c r="G5" s="20" t="s">
        <v>25</v>
      </c>
    </row>
    <row r="6">
      <c r="A6" s="20" t="s">
        <v>1161</v>
      </c>
      <c r="B6" s="20" t="s">
        <v>648</v>
      </c>
      <c r="C6" s="20">
        <v>18.0</v>
      </c>
      <c r="D6" s="20">
        <v>10.0</v>
      </c>
      <c r="E6" s="20">
        <v>7.0</v>
      </c>
      <c r="F6" s="25">
        <f t="shared" si="1"/>
        <v>35</v>
      </c>
      <c r="G6" s="20" t="s">
        <v>55</v>
      </c>
    </row>
    <row r="7">
      <c r="A7" s="20" t="s">
        <v>1162</v>
      </c>
      <c r="B7" s="20" t="s">
        <v>651</v>
      </c>
      <c r="C7" s="20">
        <v>18.0</v>
      </c>
      <c r="D7" s="20">
        <v>11.0</v>
      </c>
      <c r="E7" s="20">
        <v>7.0</v>
      </c>
      <c r="F7" s="25">
        <f t="shared" si="1"/>
        <v>36</v>
      </c>
      <c r="G7" s="20" t="s">
        <v>6</v>
      </c>
    </row>
    <row r="8">
      <c r="A8" s="20" t="s">
        <v>653</v>
      </c>
      <c r="B8" s="20" t="s">
        <v>654</v>
      </c>
      <c r="C8" s="20">
        <v>19.0</v>
      </c>
      <c r="D8" s="20">
        <v>12.0</v>
      </c>
      <c r="E8" s="20">
        <v>8.0</v>
      </c>
      <c r="F8" s="25">
        <f t="shared" si="1"/>
        <v>39</v>
      </c>
      <c r="G8" s="20" t="s">
        <v>25</v>
      </c>
    </row>
    <row r="9">
      <c r="A9" s="20" t="s">
        <v>656</v>
      </c>
      <c r="B9" s="20" t="s">
        <v>657</v>
      </c>
      <c r="C9" s="20">
        <v>23.0</v>
      </c>
      <c r="D9" s="20">
        <v>13.0</v>
      </c>
      <c r="E9" s="20">
        <v>5.0</v>
      </c>
      <c r="F9" s="25">
        <f t="shared" si="1"/>
        <v>41</v>
      </c>
      <c r="G9" s="20" t="s">
        <v>6</v>
      </c>
    </row>
    <row r="10">
      <c r="A10" s="20" t="s">
        <v>659</v>
      </c>
      <c r="B10" s="20" t="s">
        <v>660</v>
      </c>
      <c r="C10" s="20">
        <v>18.0</v>
      </c>
      <c r="D10" s="20">
        <v>10.0</v>
      </c>
      <c r="E10" s="20">
        <v>7.0</v>
      </c>
      <c r="F10" s="25">
        <f t="shared" si="1"/>
        <v>35</v>
      </c>
      <c r="G10" s="20">
        <v>0.0</v>
      </c>
    </row>
    <row r="11">
      <c r="A11" s="20" t="s">
        <v>1163</v>
      </c>
      <c r="B11" s="20" t="s">
        <v>663</v>
      </c>
      <c r="C11" s="20">
        <v>24.0</v>
      </c>
      <c r="D11" s="20">
        <v>13.0</v>
      </c>
      <c r="E11" s="20">
        <v>16.0</v>
      </c>
      <c r="F11" s="25">
        <f t="shared" si="1"/>
        <v>53</v>
      </c>
      <c r="G11" s="20" t="s">
        <v>6</v>
      </c>
    </row>
    <row r="12">
      <c r="A12" s="20" t="s">
        <v>1164</v>
      </c>
      <c r="B12" s="20" t="s">
        <v>666</v>
      </c>
      <c r="C12" s="20">
        <v>18.0</v>
      </c>
      <c r="D12" s="20">
        <v>14.0</v>
      </c>
      <c r="E12" s="20">
        <v>8.0</v>
      </c>
      <c r="F12" s="25">
        <f t="shared" si="1"/>
        <v>40</v>
      </c>
      <c r="G12" s="20" t="s">
        <v>6</v>
      </c>
    </row>
    <row r="13">
      <c r="A13" s="20" t="s">
        <v>668</v>
      </c>
      <c r="B13" s="20" t="s">
        <v>669</v>
      </c>
      <c r="C13" s="20">
        <v>21.0</v>
      </c>
      <c r="D13" s="20">
        <v>14.0</v>
      </c>
      <c r="E13" s="20">
        <v>8.0</v>
      </c>
      <c r="F13" s="25">
        <f t="shared" si="1"/>
        <v>43</v>
      </c>
      <c r="G13" s="20" t="s">
        <v>25</v>
      </c>
    </row>
    <row r="14">
      <c r="A14" s="20" t="s">
        <v>671</v>
      </c>
      <c r="B14" s="20" t="s">
        <v>672</v>
      </c>
      <c r="C14" s="20">
        <v>23.0</v>
      </c>
      <c r="D14" s="20">
        <v>13.0</v>
      </c>
      <c r="E14" s="20">
        <v>10.0</v>
      </c>
      <c r="F14" s="25">
        <f t="shared" si="1"/>
        <v>46</v>
      </c>
      <c r="G14" s="20" t="s">
        <v>25</v>
      </c>
    </row>
    <row r="15">
      <c r="A15" s="20" t="s">
        <v>1165</v>
      </c>
      <c r="B15" s="20" t="s">
        <v>675</v>
      </c>
      <c r="C15" s="20">
        <v>22.0</v>
      </c>
      <c r="D15" s="20">
        <v>12.0</v>
      </c>
      <c r="E15" s="20">
        <v>9.0</v>
      </c>
      <c r="F15" s="25">
        <f t="shared" si="1"/>
        <v>43</v>
      </c>
      <c r="G15" s="20" t="s">
        <v>6</v>
      </c>
    </row>
    <row r="16">
      <c r="A16" s="20" t="s">
        <v>1166</v>
      </c>
      <c r="B16" s="20" t="s">
        <v>678</v>
      </c>
      <c r="C16" s="20">
        <v>19.0</v>
      </c>
      <c r="D16" s="20">
        <v>4.0</v>
      </c>
      <c r="E16" s="20">
        <v>4.0</v>
      </c>
      <c r="F16" s="25">
        <f t="shared" si="1"/>
        <v>27</v>
      </c>
      <c r="G16" s="20" t="s">
        <v>55</v>
      </c>
    </row>
    <row r="17">
      <c r="A17" s="20" t="s">
        <v>680</v>
      </c>
      <c r="B17" s="20" t="s">
        <v>681</v>
      </c>
      <c r="C17" s="20">
        <v>22.0</v>
      </c>
      <c r="D17" s="20">
        <v>10.0</v>
      </c>
      <c r="E17" s="20">
        <v>9.0</v>
      </c>
      <c r="F17" s="25">
        <f t="shared" si="1"/>
        <v>41</v>
      </c>
      <c r="G17" s="20" t="s">
        <v>6</v>
      </c>
    </row>
    <row r="18">
      <c r="A18" s="20" t="s">
        <v>683</v>
      </c>
      <c r="B18" s="20" t="s">
        <v>684</v>
      </c>
      <c r="C18" s="20">
        <v>25.0</v>
      </c>
      <c r="D18" s="20">
        <v>14.0</v>
      </c>
      <c r="E18" s="20">
        <v>6.0</v>
      </c>
      <c r="F18" s="25">
        <f t="shared" si="1"/>
        <v>45</v>
      </c>
      <c r="G18" s="20" t="s">
        <v>25</v>
      </c>
    </row>
    <row r="19">
      <c r="A19" s="20" t="s">
        <v>686</v>
      </c>
      <c r="B19" s="20" t="s">
        <v>687</v>
      </c>
      <c r="C19" s="20">
        <v>19.0</v>
      </c>
      <c r="D19" s="20">
        <v>3.0</v>
      </c>
      <c r="E19" s="20">
        <v>2.0</v>
      </c>
      <c r="F19" s="25">
        <f t="shared" si="1"/>
        <v>24</v>
      </c>
      <c r="G19" s="20" t="s">
        <v>55</v>
      </c>
    </row>
    <row r="20">
      <c r="A20" s="20" t="s">
        <v>1167</v>
      </c>
      <c r="B20" s="20" t="s">
        <v>690</v>
      </c>
      <c r="C20" s="20">
        <v>14.0</v>
      </c>
      <c r="D20" s="20">
        <v>7.0</v>
      </c>
      <c r="E20" s="20">
        <v>4.0</v>
      </c>
      <c r="F20" s="25">
        <f t="shared" si="1"/>
        <v>25</v>
      </c>
      <c r="G20" s="20" t="s">
        <v>25</v>
      </c>
    </row>
    <row r="21">
      <c r="A21" s="20" t="s">
        <v>1168</v>
      </c>
      <c r="B21" s="20" t="s">
        <v>693</v>
      </c>
      <c r="C21" s="20">
        <v>21.0</v>
      </c>
      <c r="D21" s="20">
        <v>10.0</v>
      </c>
      <c r="E21" s="20">
        <v>6.0</v>
      </c>
      <c r="F21" s="25">
        <f t="shared" si="1"/>
        <v>37</v>
      </c>
      <c r="G21" s="20" t="s">
        <v>25</v>
      </c>
    </row>
    <row r="22">
      <c r="A22" s="20" t="s">
        <v>1169</v>
      </c>
      <c r="B22" s="20" t="s">
        <v>696</v>
      </c>
      <c r="C22" s="20">
        <v>5.0</v>
      </c>
      <c r="D22" s="20">
        <v>0.0</v>
      </c>
      <c r="E22" s="20">
        <v>0.0</v>
      </c>
      <c r="F22" s="25">
        <f t="shared" si="1"/>
        <v>5</v>
      </c>
      <c r="G22" s="20" t="s">
        <v>55</v>
      </c>
    </row>
    <row r="23">
      <c r="A23" s="20" t="s">
        <v>1170</v>
      </c>
      <c r="B23" s="20" t="s">
        <v>699</v>
      </c>
      <c r="C23" s="20">
        <v>16.0</v>
      </c>
      <c r="D23" s="20">
        <v>7.0</v>
      </c>
      <c r="E23" s="20">
        <v>4.0</v>
      </c>
      <c r="F23" s="25">
        <f t="shared" si="1"/>
        <v>27</v>
      </c>
      <c r="G23" s="20" t="s">
        <v>6</v>
      </c>
    </row>
    <row r="24">
      <c r="A24" s="20" t="s">
        <v>701</v>
      </c>
      <c r="B24" s="20" t="s">
        <v>702</v>
      </c>
      <c r="C24" s="20">
        <v>19.0</v>
      </c>
      <c r="D24" s="20">
        <v>10.0</v>
      </c>
      <c r="E24" s="20">
        <v>3.0</v>
      </c>
      <c r="F24" s="25">
        <f t="shared" si="1"/>
        <v>32</v>
      </c>
      <c r="G24" s="20" t="s">
        <v>25</v>
      </c>
    </row>
    <row r="25">
      <c r="A25" s="20" t="s">
        <v>1171</v>
      </c>
      <c r="B25" s="20" t="s">
        <v>705</v>
      </c>
      <c r="C25" s="20">
        <v>21.0</v>
      </c>
      <c r="D25" s="20">
        <v>6.0</v>
      </c>
      <c r="E25" s="20">
        <v>4.0</v>
      </c>
      <c r="F25" s="25">
        <f t="shared" si="1"/>
        <v>31</v>
      </c>
      <c r="G25" s="20" t="s">
        <v>6</v>
      </c>
    </row>
    <row r="26">
      <c r="A26" s="20" t="s">
        <v>707</v>
      </c>
      <c r="B26" s="20" t="s">
        <v>708</v>
      </c>
      <c r="C26" s="20">
        <v>23.0</v>
      </c>
      <c r="D26" s="20">
        <v>10.0</v>
      </c>
      <c r="E26" s="20">
        <v>7.0</v>
      </c>
      <c r="F26" s="25">
        <f t="shared" si="1"/>
        <v>40</v>
      </c>
      <c r="G26" s="20" t="s">
        <v>6</v>
      </c>
    </row>
    <row r="27">
      <c r="A27" s="20" t="s">
        <v>1172</v>
      </c>
      <c r="B27" s="20" t="s">
        <v>711</v>
      </c>
      <c r="C27" s="20">
        <v>20.0</v>
      </c>
      <c r="D27" s="20">
        <v>12.0</v>
      </c>
      <c r="E27" s="20">
        <v>7.0</v>
      </c>
      <c r="F27" s="25">
        <f t="shared" si="1"/>
        <v>39</v>
      </c>
      <c r="G27" s="20" t="s">
        <v>25</v>
      </c>
    </row>
    <row r="28">
      <c r="A28" s="20" t="s">
        <v>713</v>
      </c>
      <c r="B28" s="20" t="s">
        <v>714</v>
      </c>
      <c r="C28" s="20">
        <v>21.0</v>
      </c>
      <c r="D28" s="20">
        <v>10.0</v>
      </c>
      <c r="E28" s="20">
        <v>4.0</v>
      </c>
      <c r="F28" s="25">
        <f t="shared" si="1"/>
        <v>35</v>
      </c>
      <c r="G28" s="20" t="s">
        <v>6</v>
      </c>
    </row>
    <row r="29">
      <c r="A29" s="20" t="s">
        <v>1173</v>
      </c>
      <c r="B29" s="20" t="s">
        <v>717</v>
      </c>
      <c r="C29" s="20">
        <v>23.0</v>
      </c>
      <c r="D29" s="20">
        <v>11.0</v>
      </c>
      <c r="E29" s="20">
        <v>5.0</v>
      </c>
      <c r="F29" s="25">
        <f t="shared" si="1"/>
        <v>39</v>
      </c>
      <c r="G29" s="20" t="s">
        <v>25</v>
      </c>
    </row>
    <row r="30">
      <c r="A30" s="20" t="s">
        <v>1174</v>
      </c>
      <c r="B30" s="20" t="s">
        <v>720</v>
      </c>
      <c r="C30" s="20">
        <v>25.0</v>
      </c>
      <c r="D30" s="20">
        <v>9.0</v>
      </c>
      <c r="E30" s="20">
        <v>4.0</v>
      </c>
      <c r="F30" s="25">
        <f t="shared" si="1"/>
        <v>38</v>
      </c>
      <c r="G30" s="20" t="s">
        <v>25</v>
      </c>
    </row>
    <row r="31">
      <c r="A31" s="20" t="s">
        <v>722</v>
      </c>
      <c r="B31" s="20" t="s">
        <v>723</v>
      </c>
      <c r="C31" s="20">
        <v>21.0</v>
      </c>
      <c r="D31" s="20">
        <v>12.0</v>
      </c>
      <c r="E31" s="20">
        <v>6.0</v>
      </c>
      <c r="F31" s="25">
        <f t="shared" si="1"/>
        <v>39</v>
      </c>
      <c r="G31" s="20" t="s">
        <v>25</v>
      </c>
    </row>
    <row r="32">
      <c r="A32" s="20" t="s">
        <v>725</v>
      </c>
      <c r="B32" s="20" t="s">
        <v>726</v>
      </c>
      <c r="C32" s="20">
        <v>22.0</v>
      </c>
      <c r="D32" s="20">
        <v>10.0</v>
      </c>
      <c r="E32" s="20">
        <v>8.0</v>
      </c>
      <c r="F32" s="25">
        <f t="shared" si="1"/>
        <v>40</v>
      </c>
      <c r="G32" s="20" t="s">
        <v>25</v>
      </c>
    </row>
    <row r="33">
      <c r="A33" s="20" t="s">
        <v>728</v>
      </c>
      <c r="B33" s="20" t="s">
        <v>729</v>
      </c>
      <c r="C33" s="20">
        <v>16.0</v>
      </c>
      <c r="D33" s="20">
        <v>10.0</v>
      </c>
      <c r="E33" s="20">
        <v>3.0</v>
      </c>
      <c r="F33" s="25">
        <f t="shared" si="1"/>
        <v>29</v>
      </c>
      <c r="G33" s="20" t="s">
        <v>25</v>
      </c>
    </row>
    <row r="34">
      <c r="A34" s="20" t="s">
        <v>1175</v>
      </c>
      <c r="B34" s="20" t="s">
        <v>732</v>
      </c>
      <c r="C34" s="20">
        <v>23.0</v>
      </c>
      <c r="D34" s="20">
        <v>10.0</v>
      </c>
      <c r="E34" s="20">
        <v>5.0</v>
      </c>
      <c r="F34" s="25">
        <f t="shared" si="1"/>
        <v>38</v>
      </c>
      <c r="G34" s="20" t="s">
        <v>6</v>
      </c>
    </row>
    <row r="35">
      <c r="A35" s="20" t="s">
        <v>734</v>
      </c>
      <c r="B35" s="20" t="s">
        <v>735</v>
      </c>
      <c r="C35" s="20">
        <v>16.0</v>
      </c>
      <c r="D35" s="20">
        <v>7.0</v>
      </c>
      <c r="E35" s="20">
        <v>5.0</v>
      </c>
      <c r="F35" s="25">
        <f t="shared" si="1"/>
        <v>28</v>
      </c>
      <c r="G35" s="20" t="s">
        <v>55</v>
      </c>
    </row>
    <row r="36">
      <c r="A36" s="20" t="s">
        <v>737</v>
      </c>
      <c r="B36" s="20" t="s">
        <v>738</v>
      </c>
      <c r="C36" s="20">
        <v>18.0</v>
      </c>
      <c r="D36" s="20">
        <v>6.0</v>
      </c>
      <c r="E36" s="20">
        <v>5.0</v>
      </c>
      <c r="F36" s="25">
        <f t="shared" si="1"/>
        <v>29</v>
      </c>
      <c r="G36" s="20" t="s">
        <v>6</v>
      </c>
    </row>
    <row r="37">
      <c r="A37" s="20" t="s">
        <v>1176</v>
      </c>
      <c r="B37" s="20" t="s">
        <v>741</v>
      </c>
      <c r="C37" s="20">
        <v>4.0</v>
      </c>
      <c r="D37" s="20">
        <v>0.0</v>
      </c>
      <c r="E37" s="20">
        <v>2.0</v>
      </c>
      <c r="F37" s="25">
        <f t="shared" si="1"/>
        <v>6</v>
      </c>
      <c r="G37" s="20">
        <v>0.0</v>
      </c>
    </row>
    <row r="38">
      <c r="A38" s="20" t="s">
        <v>1177</v>
      </c>
      <c r="B38" s="20" t="s">
        <v>744</v>
      </c>
      <c r="C38" s="20">
        <v>21.0</v>
      </c>
      <c r="D38" s="20">
        <v>9.0</v>
      </c>
      <c r="E38" s="20">
        <v>8.0</v>
      </c>
      <c r="F38" s="25">
        <f t="shared" si="1"/>
        <v>38</v>
      </c>
      <c r="G38" s="20" t="s">
        <v>25</v>
      </c>
    </row>
    <row r="39">
      <c r="A39" s="20" t="s">
        <v>746</v>
      </c>
      <c r="B39" s="20" t="s">
        <v>747</v>
      </c>
      <c r="C39" s="20">
        <v>17.0</v>
      </c>
      <c r="D39" s="20">
        <v>6.0</v>
      </c>
      <c r="E39" s="20">
        <v>3.0</v>
      </c>
      <c r="F39" s="25">
        <f t="shared" si="1"/>
        <v>26</v>
      </c>
      <c r="G39" s="20" t="s">
        <v>25</v>
      </c>
    </row>
    <row r="40">
      <c r="A40" s="20" t="s">
        <v>1178</v>
      </c>
      <c r="B40" s="20" t="s">
        <v>750</v>
      </c>
      <c r="C40" s="20">
        <v>16.0</v>
      </c>
      <c r="D40" s="20">
        <v>6.0</v>
      </c>
      <c r="E40" s="20">
        <v>5.0</v>
      </c>
      <c r="F40" s="25">
        <f t="shared" si="1"/>
        <v>27</v>
      </c>
      <c r="G40" s="20" t="s">
        <v>25</v>
      </c>
    </row>
    <row r="41">
      <c r="A41" s="20" t="s">
        <v>1179</v>
      </c>
      <c r="B41" s="20" t="s">
        <v>753</v>
      </c>
      <c r="C41" s="20">
        <v>21.0</v>
      </c>
      <c r="D41" s="20">
        <v>10.0</v>
      </c>
      <c r="E41" s="20">
        <v>9.0</v>
      </c>
      <c r="F41" s="25">
        <f t="shared" si="1"/>
        <v>40</v>
      </c>
      <c r="G41" s="25"/>
    </row>
    <row r="42">
      <c r="A42" s="20" t="s">
        <v>755</v>
      </c>
      <c r="B42" s="20" t="s">
        <v>756</v>
      </c>
      <c r="C42" s="20">
        <v>22.0</v>
      </c>
      <c r="D42" s="20">
        <v>10.0</v>
      </c>
      <c r="E42" s="20">
        <v>12.0</v>
      </c>
      <c r="F42" s="25">
        <f t="shared" si="1"/>
        <v>44</v>
      </c>
      <c r="G42" s="20" t="s">
        <v>25</v>
      </c>
    </row>
    <row r="43">
      <c r="A43" s="20" t="s">
        <v>758</v>
      </c>
      <c r="B43" s="20" t="s">
        <v>759</v>
      </c>
      <c r="C43" s="20">
        <v>23.0</v>
      </c>
      <c r="D43" s="20">
        <v>9.0</v>
      </c>
      <c r="E43" s="20">
        <v>10.0</v>
      </c>
      <c r="F43" s="25">
        <f t="shared" si="1"/>
        <v>42</v>
      </c>
      <c r="G43" s="20" t="s">
        <v>6</v>
      </c>
    </row>
    <row r="44">
      <c r="A44" s="20" t="s">
        <v>761</v>
      </c>
      <c r="B44" s="20" t="s">
        <v>762</v>
      </c>
      <c r="C44" s="20">
        <v>19.0</v>
      </c>
      <c r="D44" s="20">
        <v>8.0</v>
      </c>
      <c r="E44" s="20">
        <v>2.0</v>
      </c>
      <c r="F44" s="25">
        <f t="shared" si="1"/>
        <v>29</v>
      </c>
      <c r="G44" s="20" t="s">
        <v>25</v>
      </c>
    </row>
    <row r="45">
      <c r="A45" s="20" t="s">
        <v>764</v>
      </c>
      <c r="B45" s="20" t="s">
        <v>765</v>
      </c>
      <c r="C45" s="20">
        <v>22.0</v>
      </c>
      <c r="D45" s="20">
        <v>14.0</v>
      </c>
      <c r="E45" s="20">
        <v>12.0</v>
      </c>
      <c r="F45" s="25">
        <f t="shared" si="1"/>
        <v>48</v>
      </c>
      <c r="G45" s="20" t="s">
        <v>25</v>
      </c>
    </row>
    <row r="46">
      <c r="A46" s="20" t="s">
        <v>1180</v>
      </c>
      <c r="B46" s="20" t="s">
        <v>768</v>
      </c>
      <c r="C46" s="20">
        <v>21.0</v>
      </c>
      <c r="D46" s="20">
        <v>13.0</v>
      </c>
      <c r="E46" s="20">
        <v>13.0</v>
      </c>
      <c r="F46" s="25">
        <f t="shared" si="1"/>
        <v>47</v>
      </c>
      <c r="G46" s="20" t="s">
        <v>6</v>
      </c>
    </row>
    <row r="47">
      <c r="A47" s="20" t="s">
        <v>770</v>
      </c>
      <c r="B47" s="20" t="s">
        <v>771</v>
      </c>
      <c r="C47" s="20">
        <v>20.0</v>
      </c>
      <c r="D47" s="20">
        <v>12.0</v>
      </c>
      <c r="E47" s="20">
        <v>2.0</v>
      </c>
      <c r="F47" s="25">
        <f t="shared" si="1"/>
        <v>34</v>
      </c>
      <c r="G47" s="20" t="s">
        <v>25</v>
      </c>
    </row>
    <row r="48">
      <c r="A48" s="20" t="s">
        <v>1181</v>
      </c>
      <c r="B48" s="20" t="s">
        <v>774</v>
      </c>
      <c r="C48" s="20">
        <v>24.0</v>
      </c>
      <c r="D48" s="20">
        <v>12.0</v>
      </c>
      <c r="E48" s="20">
        <v>4.0</v>
      </c>
      <c r="F48" s="25">
        <f t="shared" si="1"/>
        <v>40</v>
      </c>
      <c r="G48" s="20" t="s">
        <v>25</v>
      </c>
    </row>
    <row r="49">
      <c r="A49" s="20" t="s">
        <v>775</v>
      </c>
      <c r="B49" s="20" t="s">
        <v>776</v>
      </c>
      <c r="C49" s="20">
        <v>15.0</v>
      </c>
      <c r="D49" s="20">
        <v>4.0</v>
      </c>
      <c r="E49" s="20">
        <v>0.0</v>
      </c>
      <c r="F49" s="25">
        <f t="shared" si="1"/>
        <v>19</v>
      </c>
      <c r="G49" s="20" t="s">
        <v>25</v>
      </c>
    </row>
    <row r="50">
      <c r="A50" s="20" t="s">
        <v>778</v>
      </c>
      <c r="B50" s="20" t="s">
        <v>779</v>
      </c>
      <c r="C50" s="20">
        <v>25.0</v>
      </c>
      <c r="D50" s="20">
        <v>10.0</v>
      </c>
      <c r="E50" s="20">
        <v>12.0</v>
      </c>
      <c r="F50" s="25">
        <f t="shared" si="1"/>
        <v>47</v>
      </c>
      <c r="G50" s="20" t="s">
        <v>25</v>
      </c>
    </row>
    <row r="51">
      <c r="A51" s="20" t="s">
        <v>1182</v>
      </c>
      <c r="B51" s="20" t="s">
        <v>782</v>
      </c>
      <c r="C51" s="20">
        <v>16.0</v>
      </c>
      <c r="D51" s="20">
        <v>12.0</v>
      </c>
      <c r="E51" s="20">
        <v>6.0</v>
      </c>
      <c r="F51" s="25">
        <f t="shared" si="1"/>
        <v>34</v>
      </c>
      <c r="G51" s="20" t="s">
        <v>25</v>
      </c>
    </row>
    <row r="52">
      <c r="A52" s="20" t="s">
        <v>784</v>
      </c>
      <c r="B52" s="20" t="s">
        <v>785</v>
      </c>
      <c r="C52" s="20">
        <v>24.0</v>
      </c>
      <c r="D52" s="20">
        <v>10.0</v>
      </c>
      <c r="E52" s="20">
        <v>16.0</v>
      </c>
      <c r="F52" s="25">
        <f t="shared" si="1"/>
        <v>50</v>
      </c>
      <c r="G52" s="20" t="s">
        <v>6</v>
      </c>
    </row>
    <row r="53">
      <c r="A53" s="20" t="s">
        <v>1183</v>
      </c>
      <c r="B53" s="20" t="s">
        <v>788</v>
      </c>
      <c r="C53" s="20">
        <v>22.0</v>
      </c>
      <c r="D53" s="20">
        <v>9.0</v>
      </c>
      <c r="E53" s="20">
        <v>5.0</v>
      </c>
      <c r="F53" s="25">
        <f t="shared" si="1"/>
        <v>36</v>
      </c>
      <c r="G53" s="20" t="s">
        <v>55</v>
      </c>
    </row>
    <row r="54">
      <c r="A54" s="20" t="s">
        <v>790</v>
      </c>
      <c r="B54" s="20" t="s">
        <v>791</v>
      </c>
      <c r="C54" s="20">
        <v>25.0</v>
      </c>
      <c r="D54" s="20">
        <v>12.0</v>
      </c>
      <c r="E54" s="20">
        <v>15.0</v>
      </c>
      <c r="F54" s="25">
        <f t="shared" si="1"/>
        <v>52</v>
      </c>
      <c r="G54" s="20" t="s">
        <v>25</v>
      </c>
    </row>
    <row r="55">
      <c r="A55" s="20" t="s">
        <v>793</v>
      </c>
      <c r="B55" s="20" t="s">
        <v>794</v>
      </c>
      <c r="C55" s="20">
        <v>22.0</v>
      </c>
      <c r="D55" s="20">
        <v>13.0</v>
      </c>
      <c r="E55" s="20">
        <v>16.0</v>
      </c>
      <c r="F55" s="25">
        <f t="shared" si="1"/>
        <v>51</v>
      </c>
      <c r="G55" s="20" t="s">
        <v>6</v>
      </c>
    </row>
    <row r="56">
      <c r="A56" s="20" t="s">
        <v>1184</v>
      </c>
      <c r="B56" s="20" t="s">
        <v>797</v>
      </c>
      <c r="C56" s="20">
        <v>22.0</v>
      </c>
      <c r="D56" s="20">
        <v>11.0</v>
      </c>
      <c r="E56" s="20">
        <v>8.0</v>
      </c>
      <c r="F56" s="25">
        <f t="shared" si="1"/>
        <v>41</v>
      </c>
      <c r="G56" s="20" t="s">
        <v>6</v>
      </c>
    </row>
    <row r="57">
      <c r="A57" s="25"/>
      <c r="B57" s="25"/>
      <c r="C57" s="25"/>
      <c r="D57" s="25"/>
      <c r="E57" s="25"/>
      <c r="F57" s="25">
        <f t="shared" si="1"/>
        <v>0</v>
      </c>
      <c r="G57" s="25"/>
    </row>
    <row r="58">
      <c r="A58" s="25"/>
      <c r="B58" s="25"/>
      <c r="C58" s="25"/>
      <c r="D58" s="25"/>
      <c r="E58" s="25"/>
      <c r="F58" s="25">
        <f t="shared" si="1"/>
        <v>0</v>
      </c>
      <c r="G58" s="25"/>
    </row>
    <row r="59">
      <c r="A59" s="25"/>
      <c r="B59" s="25"/>
      <c r="C59" s="25"/>
      <c r="D59" s="25"/>
      <c r="E59" s="25"/>
      <c r="F59" s="25">
        <f t="shared" si="1"/>
        <v>0</v>
      </c>
      <c r="G59" s="25"/>
    </row>
    <row r="60">
      <c r="A60" s="25"/>
      <c r="B60" s="25"/>
      <c r="C60" s="25"/>
      <c r="D60" s="25"/>
      <c r="E60" s="25"/>
      <c r="F60" s="25">
        <f t="shared" si="1"/>
        <v>0</v>
      </c>
      <c r="G60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18" t="s">
        <v>1039</v>
      </c>
    </row>
    <row r="2">
      <c r="A2" s="20" t="s">
        <v>465</v>
      </c>
      <c r="B2" s="20" t="s">
        <v>466</v>
      </c>
      <c r="C2" s="20">
        <v>18.0</v>
      </c>
      <c r="D2" s="20">
        <v>12.0</v>
      </c>
      <c r="E2" s="20">
        <v>8.0</v>
      </c>
      <c r="F2" s="25">
        <f t="shared" ref="F2:F63" si="1">SUM(C2:E2)</f>
        <v>38</v>
      </c>
      <c r="G2" s="20" t="s">
        <v>55</v>
      </c>
    </row>
    <row r="3">
      <c r="A3" s="20" t="s">
        <v>1185</v>
      </c>
      <c r="B3" s="20" t="s">
        <v>469</v>
      </c>
      <c r="C3" s="20">
        <v>12.0</v>
      </c>
      <c r="D3" s="20">
        <v>7.0</v>
      </c>
      <c r="E3" s="20">
        <v>7.0</v>
      </c>
      <c r="F3" s="25">
        <f t="shared" si="1"/>
        <v>26</v>
      </c>
      <c r="G3" s="20" t="s">
        <v>55</v>
      </c>
    </row>
    <row r="4">
      <c r="A4" s="20" t="s">
        <v>471</v>
      </c>
      <c r="B4" s="20" t="s">
        <v>472</v>
      </c>
      <c r="C4" s="20">
        <v>22.0</v>
      </c>
      <c r="D4" s="20">
        <v>15.0</v>
      </c>
      <c r="E4" s="20">
        <v>10.0</v>
      </c>
      <c r="F4" s="25">
        <f t="shared" si="1"/>
        <v>47</v>
      </c>
      <c r="G4" s="20" t="s">
        <v>25</v>
      </c>
    </row>
    <row r="5">
      <c r="A5" s="20" t="s">
        <v>474</v>
      </c>
      <c r="B5" s="20" t="s">
        <v>475</v>
      </c>
      <c r="C5" s="20">
        <v>25.0</v>
      </c>
      <c r="D5" s="20">
        <v>10.0</v>
      </c>
      <c r="E5" s="20">
        <v>8.0</v>
      </c>
      <c r="F5" s="25">
        <f t="shared" si="1"/>
        <v>43</v>
      </c>
      <c r="G5" s="20" t="s">
        <v>55</v>
      </c>
    </row>
    <row r="6">
      <c r="A6" s="20" t="s">
        <v>204</v>
      </c>
      <c r="B6" s="20" t="s">
        <v>477</v>
      </c>
      <c r="C6" s="20">
        <v>18.0</v>
      </c>
      <c r="D6" s="20">
        <v>8.0</v>
      </c>
      <c r="E6" s="20">
        <v>4.0</v>
      </c>
      <c r="F6" s="25">
        <f t="shared" si="1"/>
        <v>30</v>
      </c>
      <c r="G6" s="20" t="s">
        <v>25</v>
      </c>
    </row>
    <row r="7">
      <c r="A7" s="20" t="s">
        <v>1186</v>
      </c>
      <c r="B7" s="20" t="s">
        <v>480</v>
      </c>
      <c r="C7" s="20">
        <v>22.0</v>
      </c>
      <c r="D7" s="20">
        <v>9.0</v>
      </c>
      <c r="E7" s="20">
        <v>7.0</v>
      </c>
      <c r="F7" s="25">
        <f t="shared" si="1"/>
        <v>38</v>
      </c>
      <c r="G7" s="20" t="s">
        <v>25</v>
      </c>
    </row>
    <row r="8">
      <c r="A8" s="20" t="s">
        <v>1187</v>
      </c>
      <c r="B8" s="20" t="s">
        <v>483</v>
      </c>
      <c r="C8" s="20">
        <v>24.0</v>
      </c>
      <c r="D8" s="20">
        <v>11.0</v>
      </c>
      <c r="E8" s="20">
        <v>14.0</v>
      </c>
      <c r="F8" s="25">
        <f t="shared" si="1"/>
        <v>49</v>
      </c>
      <c r="G8" s="20" t="s">
        <v>25</v>
      </c>
    </row>
    <row r="9">
      <c r="A9" s="37" t="s">
        <v>1188</v>
      </c>
      <c r="B9" s="37" t="s">
        <v>486</v>
      </c>
      <c r="C9" s="31"/>
      <c r="D9" s="31"/>
      <c r="E9" s="31"/>
      <c r="F9" s="31">
        <f t="shared" si="1"/>
        <v>0</v>
      </c>
      <c r="G9" s="31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0" t="s">
        <v>1189</v>
      </c>
      <c r="B10" s="20" t="s">
        <v>489</v>
      </c>
      <c r="C10" s="20">
        <v>22.0</v>
      </c>
      <c r="D10" s="20">
        <v>14.0</v>
      </c>
      <c r="E10" s="20">
        <v>11.0</v>
      </c>
      <c r="F10" s="25">
        <f t="shared" si="1"/>
        <v>47</v>
      </c>
      <c r="G10" s="20" t="s">
        <v>6</v>
      </c>
    </row>
    <row r="11">
      <c r="A11" s="20" t="s">
        <v>1190</v>
      </c>
      <c r="B11" s="20" t="s">
        <v>492</v>
      </c>
      <c r="C11" s="20">
        <v>24.0</v>
      </c>
      <c r="D11" s="20">
        <v>13.0</v>
      </c>
      <c r="E11" s="20">
        <v>11.0</v>
      </c>
      <c r="F11" s="25">
        <f t="shared" si="1"/>
        <v>48</v>
      </c>
      <c r="G11" s="20" t="s">
        <v>25</v>
      </c>
    </row>
    <row r="12">
      <c r="A12" s="20" t="s">
        <v>1191</v>
      </c>
      <c r="B12" s="20" t="s">
        <v>495</v>
      </c>
      <c r="C12" s="20">
        <v>15.0</v>
      </c>
      <c r="D12" s="20">
        <v>8.0</v>
      </c>
      <c r="E12" s="20">
        <v>3.0</v>
      </c>
      <c r="F12" s="25">
        <f t="shared" si="1"/>
        <v>26</v>
      </c>
      <c r="G12" s="20" t="s">
        <v>6</v>
      </c>
    </row>
    <row r="13">
      <c r="A13" s="20" t="s">
        <v>1192</v>
      </c>
      <c r="B13" s="20" t="s">
        <v>498</v>
      </c>
      <c r="C13" s="20">
        <v>21.0</v>
      </c>
      <c r="D13" s="20">
        <v>11.0</v>
      </c>
      <c r="E13" s="20">
        <v>14.0</v>
      </c>
      <c r="F13" s="25">
        <f t="shared" si="1"/>
        <v>46</v>
      </c>
      <c r="G13" s="20" t="s">
        <v>6</v>
      </c>
    </row>
    <row r="14">
      <c r="A14" s="20" t="s">
        <v>500</v>
      </c>
      <c r="B14" s="20" t="s">
        <v>501</v>
      </c>
      <c r="C14" s="20">
        <v>11.0</v>
      </c>
      <c r="D14" s="20">
        <v>0.0</v>
      </c>
      <c r="E14" s="20">
        <v>4.0</v>
      </c>
      <c r="F14" s="25">
        <f t="shared" si="1"/>
        <v>15</v>
      </c>
      <c r="G14" s="20" t="s">
        <v>55</v>
      </c>
    </row>
    <row r="15">
      <c r="A15" s="20" t="s">
        <v>503</v>
      </c>
      <c r="B15" s="20" t="s">
        <v>504</v>
      </c>
      <c r="C15" s="20">
        <v>20.0</v>
      </c>
      <c r="D15" s="20">
        <v>14.0</v>
      </c>
      <c r="E15" s="20">
        <v>6.0</v>
      </c>
      <c r="F15" s="25">
        <f t="shared" si="1"/>
        <v>40</v>
      </c>
      <c r="G15" s="20" t="s">
        <v>25</v>
      </c>
    </row>
    <row r="16">
      <c r="A16" s="20" t="s">
        <v>1193</v>
      </c>
      <c r="B16" s="20" t="s">
        <v>507</v>
      </c>
      <c r="C16" s="20">
        <v>20.0</v>
      </c>
      <c r="D16" s="20">
        <v>9.0</v>
      </c>
      <c r="E16" s="20">
        <v>4.0</v>
      </c>
      <c r="F16" s="25">
        <f t="shared" si="1"/>
        <v>33</v>
      </c>
      <c r="G16" s="20">
        <v>0.0</v>
      </c>
    </row>
    <row r="17">
      <c r="A17" s="20" t="s">
        <v>509</v>
      </c>
      <c r="B17" s="20" t="s">
        <v>510</v>
      </c>
      <c r="C17" s="20">
        <v>18.0</v>
      </c>
      <c r="D17" s="20">
        <v>10.0</v>
      </c>
      <c r="E17" s="20">
        <v>11.0</v>
      </c>
      <c r="F17" s="25">
        <f t="shared" si="1"/>
        <v>39</v>
      </c>
      <c r="G17" s="20" t="s">
        <v>6</v>
      </c>
    </row>
    <row r="18">
      <c r="A18" s="20" t="s">
        <v>1194</v>
      </c>
      <c r="B18" s="20" t="s">
        <v>513</v>
      </c>
      <c r="C18" s="20">
        <v>21.0</v>
      </c>
      <c r="D18" s="20">
        <v>5.0</v>
      </c>
      <c r="E18" s="20">
        <v>10.0</v>
      </c>
      <c r="F18" s="25">
        <f t="shared" si="1"/>
        <v>36</v>
      </c>
      <c r="G18" s="25"/>
    </row>
    <row r="19">
      <c r="A19" s="20" t="s">
        <v>515</v>
      </c>
      <c r="B19" s="20" t="s">
        <v>516</v>
      </c>
      <c r="C19" s="20">
        <v>18.0</v>
      </c>
      <c r="D19" s="20">
        <v>14.0</v>
      </c>
      <c r="E19" s="20">
        <v>10.0</v>
      </c>
      <c r="F19" s="25">
        <f t="shared" si="1"/>
        <v>42</v>
      </c>
      <c r="G19" s="25"/>
    </row>
    <row r="20">
      <c r="A20" s="20" t="s">
        <v>518</v>
      </c>
      <c r="B20" s="20" t="s">
        <v>519</v>
      </c>
      <c r="C20" s="20">
        <v>23.0</v>
      </c>
      <c r="D20" s="20">
        <v>13.0</v>
      </c>
      <c r="E20" s="20">
        <v>15.0</v>
      </c>
      <c r="F20" s="25">
        <f t="shared" si="1"/>
        <v>51</v>
      </c>
      <c r="G20" s="20" t="s">
        <v>25</v>
      </c>
    </row>
    <row r="21">
      <c r="A21" s="20" t="s">
        <v>1195</v>
      </c>
      <c r="B21" s="20" t="s">
        <v>522</v>
      </c>
      <c r="C21" s="20">
        <v>19.0</v>
      </c>
      <c r="D21" s="20">
        <v>13.0</v>
      </c>
      <c r="E21" s="20">
        <v>13.0</v>
      </c>
      <c r="F21" s="25">
        <f t="shared" si="1"/>
        <v>45</v>
      </c>
      <c r="G21" s="20" t="s">
        <v>25</v>
      </c>
    </row>
    <row r="22">
      <c r="A22" s="20" t="s">
        <v>524</v>
      </c>
      <c r="B22" s="20" t="s">
        <v>525</v>
      </c>
      <c r="C22" s="20">
        <v>16.0</v>
      </c>
      <c r="D22" s="20">
        <v>13.0</v>
      </c>
      <c r="E22" s="20">
        <v>12.0</v>
      </c>
      <c r="F22" s="25">
        <f t="shared" si="1"/>
        <v>41</v>
      </c>
      <c r="G22" s="25"/>
    </row>
    <row r="23">
      <c r="A23" s="20" t="s">
        <v>527</v>
      </c>
      <c r="B23" s="20" t="s">
        <v>528</v>
      </c>
      <c r="C23" s="20">
        <v>16.0</v>
      </c>
      <c r="D23" s="20">
        <v>6.0</v>
      </c>
      <c r="E23" s="20">
        <v>9.0</v>
      </c>
      <c r="F23" s="25">
        <f t="shared" si="1"/>
        <v>31</v>
      </c>
      <c r="G23" s="25"/>
    </row>
    <row r="24">
      <c r="A24" s="20" t="s">
        <v>1196</v>
      </c>
      <c r="B24" s="20" t="s">
        <v>531</v>
      </c>
      <c r="C24" s="20">
        <v>18.0</v>
      </c>
      <c r="D24" s="20">
        <v>10.0</v>
      </c>
      <c r="E24" s="20">
        <v>14.0</v>
      </c>
      <c r="F24" s="25">
        <f t="shared" si="1"/>
        <v>42</v>
      </c>
      <c r="G24" s="25"/>
    </row>
    <row r="25">
      <c r="A25" s="20" t="s">
        <v>1197</v>
      </c>
      <c r="B25" s="20" t="s">
        <v>534</v>
      </c>
      <c r="C25" s="20">
        <v>16.0</v>
      </c>
      <c r="D25" s="20">
        <v>8.0</v>
      </c>
      <c r="E25" s="20">
        <v>9.0</v>
      </c>
      <c r="F25" s="25">
        <f t="shared" si="1"/>
        <v>33</v>
      </c>
      <c r="G25" s="20" t="s">
        <v>55</v>
      </c>
    </row>
    <row r="26">
      <c r="A26" s="20" t="s">
        <v>536</v>
      </c>
      <c r="B26" s="20" t="s">
        <v>537</v>
      </c>
      <c r="C26" s="20">
        <v>22.0</v>
      </c>
      <c r="D26" s="20">
        <v>11.0</v>
      </c>
      <c r="E26" s="20">
        <v>13.0</v>
      </c>
      <c r="F26" s="25">
        <f t="shared" si="1"/>
        <v>46</v>
      </c>
      <c r="G26" s="25"/>
    </row>
    <row r="27">
      <c r="A27" s="20" t="s">
        <v>1198</v>
      </c>
      <c r="B27" s="20" t="s">
        <v>540</v>
      </c>
      <c r="C27" s="20">
        <v>16.0</v>
      </c>
      <c r="D27" s="20">
        <v>10.0</v>
      </c>
      <c r="E27" s="20">
        <v>11.0</v>
      </c>
      <c r="F27" s="25">
        <f t="shared" si="1"/>
        <v>37</v>
      </c>
      <c r="G27" s="25"/>
    </row>
    <row r="28">
      <c r="A28" s="20" t="s">
        <v>1199</v>
      </c>
      <c r="B28" s="20" t="s">
        <v>543</v>
      </c>
      <c r="C28" s="20">
        <v>21.0</v>
      </c>
      <c r="D28" s="20">
        <v>11.0</v>
      </c>
      <c r="E28" s="20">
        <v>11.0</v>
      </c>
      <c r="F28" s="25">
        <f t="shared" si="1"/>
        <v>43</v>
      </c>
      <c r="G28" s="20" t="s">
        <v>25</v>
      </c>
    </row>
    <row r="29">
      <c r="A29" s="20" t="s">
        <v>1200</v>
      </c>
      <c r="B29" s="20" t="s">
        <v>546</v>
      </c>
      <c r="C29" s="20">
        <v>20.0</v>
      </c>
      <c r="D29" s="20">
        <v>10.0</v>
      </c>
      <c r="E29" s="20">
        <v>12.0</v>
      </c>
      <c r="F29" s="25">
        <f t="shared" si="1"/>
        <v>42</v>
      </c>
      <c r="G29" s="25"/>
    </row>
    <row r="30">
      <c r="A30" s="20" t="s">
        <v>1201</v>
      </c>
      <c r="B30" s="20" t="s">
        <v>549</v>
      </c>
      <c r="C30" s="20">
        <v>10.0</v>
      </c>
      <c r="D30" s="20">
        <v>8.0</v>
      </c>
      <c r="E30" s="20">
        <v>7.0</v>
      </c>
      <c r="F30" s="25">
        <f t="shared" si="1"/>
        <v>25</v>
      </c>
      <c r="G30" s="20" t="s">
        <v>55</v>
      </c>
    </row>
    <row r="31">
      <c r="A31" s="20" t="s">
        <v>1202</v>
      </c>
      <c r="B31" s="20" t="s">
        <v>552</v>
      </c>
      <c r="C31" s="20">
        <v>14.0</v>
      </c>
      <c r="D31" s="20">
        <v>11.0</v>
      </c>
      <c r="E31" s="20">
        <v>11.0</v>
      </c>
      <c r="F31" s="25">
        <f t="shared" si="1"/>
        <v>36</v>
      </c>
      <c r="G31" s="20" t="s">
        <v>6</v>
      </c>
    </row>
    <row r="32">
      <c r="A32" s="20" t="s">
        <v>554</v>
      </c>
      <c r="B32" s="20" t="s">
        <v>555</v>
      </c>
      <c r="C32" s="20">
        <v>20.0</v>
      </c>
      <c r="D32" s="20">
        <v>12.0</v>
      </c>
      <c r="E32" s="20">
        <v>11.0</v>
      </c>
      <c r="F32" s="25">
        <f t="shared" si="1"/>
        <v>43</v>
      </c>
      <c r="G32" s="20" t="s">
        <v>6</v>
      </c>
    </row>
    <row r="33">
      <c r="A33" s="20" t="s">
        <v>1203</v>
      </c>
      <c r="B33" s="20" t="s">
        <v>558</v>
      </c>
      <c r="C33" s="20">
        <v>18.0</v>
      </c>
      <c r="D33" s="20">
        <v>10.0</v>
      </c>
      <c r="E33" s="20">
        <v>5.0</v>
      </c>
      <c r="F33" s="25">
        <f t="shared" si="1"/>
        <v>33</v>
      </c>
      <c r="G33" s="20" t="s">
        <v>25</v>
      </c>
    </row>
    <row r="34">
      <c r="A34" s="20" t="s">
        <v>560</v>
      </c>
      <c r="B34" s="20" t="s">
        <v>561</v>
      </c>
      <c r="C34" s="38">
        <v>21.0</v>
      </c>
      <c r="D34" s="38">
        <v>12.0</v>
      </c>
      <c r="E34" s="38">
        <v>14.0</v>
      </c>
      <c r="F34" s="25">
        <f t="shared" si="1"/>
        <v>47</v>
      </c>
      <c r="G34" s="25"/>
    </row>
    <row r="35">
      <c r="A35" s="20" t="s">
        <v>563</v>
      </c>
      <c r="B35" s="20" t="s">
        <v>564</v>
      </c>
      <c r="C35" s="20">
        <v>24.0</v>
      </c>
      <c r="D35" s="20">
        <v>15.0</v>
      </c>
      <c r="E35" s="20">
        <v>16.0</v>
      </c>
      <c r="F35" s="25">
        <f t="shared" si="1"/>
        <v>55</v>
      </c>
      <c r="G35" s="25"/>
    </row>
    <row r="36">
      <c r="A36" s="20" t="s">
        <v>566</v>
      </c>
      <c r="B36" s="20" t="s">
        <v>567</v>
      </c>
      <c r="C36" s="20">
        <v>22.0</v>
      </c>
      <c r="D36" s="20">
        <v>15.0</v>
      </c>
      <c r="E36" s="20">
        <v>14.0</v>
      </c>
      <c r="F36" s="25">
        <f t="shared" si="1"/>
        <v>51</v>
      </c>
      <c r="G36" s="25"/>
    </row>
    <row r="37">
      <c r="A37" s="20" t="s">
        <v>1204</v>
      </c>
      <c r="B37" s="20" t="s">
        <v>570</v>
      </c>
      <c r="C37" s="20">
        <v>16.0</v>
      </c>
      <c r="D37" s="20">
        <v>13.0</v>
      </c>
      <c r="E37" s="20">
        <v>15.0</v>
      </c>
      <c r="F37" s="25">
        <f t="shared" si="1"/>
        <v>44</v>
      </c>
      <c r="G37" s="25"/>
    </row>
    <row r="38">
      <c r="A38" s="20" t="s">
        <v>572</v>
      </c>
      <c r="B38" s="20" t="s">
        <v>573</v>
      </c>
      <c r="C38" s="20">
        <v>19.0</v>
      </c>
      <c r="D38" s="20">
        <v>12.0</v>
      </c>
      <c r="E38" s="20">
        <v>12.0</v>
      </c>
      <c r="F38" s="25">
        <f t="shared" si="1"/>
        <v>43</v>
      </c>
      <c r="G38" s="25"/>
    </row>
    <row r="39">
      <c r="A39" s="20" t="s">
        <v>1205</v>
      </c>
      <c r="B39" s="20" t="s">
        <v>576</v>
      </c>
      <c r="C39" s="20">
        <v>17.0</v>
      </c>
      <c r="D39" s="20">
        <v>12.0</v>
      </c>
      <c r="E39" s="20">
        <v>7.0</v>
      </c>
      <c r="F39" s="25">
        <f t="shared" si="1"/>
        <v>36</v>
      </c>
      <c r="G39" s="25"/>
    </row>
    <row r="40">
      <c r="A40" s="20" t="s">
        <v>578</v>
      </c>
      <c r="B40" s="20" t="s">
        <v>579</v>
      </c>
      <c r="C40" s="20">
        <v>12.0</v>
      </c>
      <c r="D40" s="20">
        <v>0.0</v>
      </c>
      <c r="E40" s="20">
        <v>0.0</v>
      </c>
      <c r="F40" s="25">
        <f t="shared" si="1"/>
        <v>12</v>
      </c>
      <c r="G40" s="20" t="s">
        <v>55</v>
      </c>
    </row>
    <row r="41">
      <c r="A41" s="20" t="s">
        <v>581</v>
      </c>
      <c r="B41" s="20" t="s">
        <v>582</v>
      </c>
      <c r="C41" s="20">
        <v>23.0</v>
      </c>
      <c r="D41" s="20">
        <v>13.0</v>
      </c>
      <c r="E41" s="20">
        <v>15.0</v>
      </c>
      <c r="F41" s="25">
        <f t="shared" si="1"/>
        <v>51</v>
      </c>
      <c r="G41" s="25"/>
    </row>
    <row r="42">
      <c r="A42" s="20" t="s">
        <v>1206</v>
      </c>
      <c r="B42" s="20" t="s">
        <v>585</v>
      </c>
      <c r="C42" s="20">
        <v>21.0</v>
      </c>
      <c r="D42" s="20">
        <v>13.0</v>
      </c>
      <c r="E42" s="20">
        <v>14.0</v>
      </c>
      <c r="F42" s="25">
        <f t="shared" si="1"/>
        <v>48</v>
      </c>
      <c r="G42" s="25"/>
    </row>
    <row r="43">
      <c r="A43" s="20" t="s">
        <v>1207</v>
      </c>
      <c r="B43" s="20" t="s">
        <v>588</v>
      </c>
      <c r="C43" s="20">
        <v>16.0</v>
      </c>
      <c r="D43" s="20">
        <v>14.0</v>
      </c>
      <c r="E43" s="20">
        <v>5.0</v>
      </c>
      <c r="F43" s="25">
        <f t="shared" si="1"/>
        <v>35</v>
      </c>
      <c r="G43" s="20" t="s">
        <v>6</v>
      </c>
    </row>
    <row r="44">
      <c r="A44" s="20" t="s">
        <v>1208</v>
      </c>
      <c r="B44" s="20" t="s">
        <v>591</v>
      </c>
      <c r="C44" s="20">
        <v>21.0</v>
      </c>
      <c r="D44" s="20">
        <v>13.0</v>
      </c>
      <c r="E44" s="20">
        <v>10.0</v>
      </c>
      <c r="F44" s="25">
        <f t="shared" si="1"/>
        <v>44</v>
      </c>
      <c r="G44" s="25"/>
    </row>
    <row r="45">
      <c r="A45" s="20" t="s">
        <v>1209</v>
      </c>
      <c r="B45" s="20" t="s">
        <v>594</v>
      </c>
      <c r="C45" s="20">
        <v>15.0</v>
      </c>
      <c r="D45" s="20">
        <v>8.0</v>
      </c>
      <c r="E45" s="20">
        <v>12.0</v>
      </c>
      <c r="F45" s="25">
        <f t="shared" si="1"/>
        <v>35</v>
      </c>
      <c r="G45" s="25"/>
    </row>
    <row r="46">
      <c r="A46" s="20" t="s">
        <v>1210</v>
      </c>
      <c r="B46" s="20" t="s">
        <v>597</v>
      </c>
      <c r="C46" s="20">
        <v>19.0</v>
      </c>
      <c r="D46" s="20">
        <v>13.0</v>
      </c>
      <c r="E46" s="20">
        <v>12.0</v>
      </c>
      <c r="F46" s="25">
        <f t="shared" si="1"/>
        <v>44</v>
      </c>
      <c r="G46" s="25"/>
    </row>
    <row r="47">
      <c r="A47" s="20" t="s">
        <v>1211</v>
      </c>
      <c r="B47" s="20" t="s">
        <v>600</v>
      </c>
      <c r="C47" s="20">
        <v>21.0</v>
      </c>
      <c r="D47" s="20">
        <v>13.0</v>
      </c>
      <c r="E47" s="20">
        <v>11.0</v>
      </c>
      <c r="F47" s="25">
        <f t="shared" si="1"/>
        <v>45</v>
      </c>
      <c r="G47" s="25"/>
    </row>
    <row r="48">
      <c r="A48" s="20" t="s">
        <v>602</v>
      </c>
      <c r="B48" s="20" t="s">
        <v>603</v>
      </c>
      <c r="C48" s="20">
        <v>17.0</v>
      </c>
      <c r="D48" s="20">
        <v>10.0</v>
      </c>
      <c r="E48" s="20">
        <v>8.0</v>
      </c>
      <c r="F48" s="25">
        <f t="shared" si="1"/>
        <v>35</v>
      </c>
      <c r="G48" s="20" t="s">
        <v>25</v>
      </c>
    </row>
    <row r="49">
      <c r="A49" s="20" t="s">
        <v>1212</v>
      </c>
      <c r="B49" s="20" t="s">
        <v>606</v>
      </c>
      <c r="C49" s="20">
        <v>17.0</v>
      </c>
      <c r="D49" s="20">
        <v>7.0</v>
      </c>
      <c r="E49" s="20">
        <v>5.0</v>
      </c>
      <c r="F49" s="25">
        <f t="shared" si="1"/>
        <v>29</v>
      </c>
      <c r="G49" s="25"/>
    </row>
    <row r="50">
      <c r="A50" s="20" t="s">
        <v>1213</v>
      </c>
      <c r="B50" s="20" t="s">
        <v>609</v>
      </c>
      <c r="C50" s="20">
        <v>15.0</v>
      </c>
      <c r="D50" s="20">
        <v>12.0</v>
      </c>
      <c r="E50" s="20">
        <v>10.0</v>
      </c>
      <c r="F50" s="25">
        <f t="shared" si="1"/>
        <v>37</v>
      </c>
      <c r="G50" s="25"/>
    </row>
    <row r="51">
      <c r="A51" s="20" t="s">
        <v>611</v>
      </c>
      <c r="B51" s="20" t="s">
        <v>612</v>
      </c>
      <c r="C51" s="20">
        <v>18.0</v>
      </c>
      <c r="D51" s="20">
        <v>12.0</v>
      </c>
      <c r="E51" s="20">
        <v>6.0</v>
      </c>
      <c r="F51" s="25">
        <f t="shared" si="1"/>
        <v>36</v>
      </c>
      <c r="G51" s="20" t="s">
        <v>55</v>
      </c>
    </row>
    <row r="52">
      <c r="A52" s="20" t="s">
        <v>614</v>
      </c>
      <c r="B52" s="20" t="s">
        <v>615</v>
      </c>
      <c r="C52" s="38">
        <v>15.0</v>
      </c>
      <c r="D52" s="38">
        <v>7.0</v>
      </c>
      <c r="E52" s="38">
        <v>0.0</v>
      </c>
      <c r="F52" s="25">
        <f t="shared" si="1"/>
        <v>22</v>
      </c>
      <c r="G52" s="25"/>
    </row>
    <row r="53">
      <c r="A53" s="20" t="s">
        <v>1214</v>
      </c>
      <c r="B53" s="20" t="s">
        <v>621</v>
      </c>
      <c r="C53" s="20">
        <v>20.0</v>
      </c>
      <c r="D53" s="20">
        <v>13.0</v>
      </c>
      <c r="E53" s="20">
        <v>15.0</v>
      </c>
      <c r="F53" s="25">
        <f t="shared" si="1"/>
        <v>48</v>
      </c>
      <c r="G53" s="25"/>
    </row>
    <row r="54">
      <c r="A54" s="20" t="s">
        <v>1215</v>
      </c>
      <c r="B54" s="20" t="s">
        <v>624</v>
      </c>
      <c r="C54" s="20">
        <v>21.0</v>
      </c>
      <c r="D54" s="20">
        <v>13.0</v>
      </c>
      <c r="E54" s="20">
        <v>12.0</v>
      </c>
      <c r="F54" s="25">
        <f t="shared" si="1"/>
        <v>46</v>
      </c>
      <c r="G54" s="25"/>
    </row>
    <row r="55">
      <c r="A55" s="20" t="s">
        <v>1216</v>
      </c>
      <c r="B55" s="20" t="s">
        <v>627</v>
      </c>
      <c r="C55" s="20">
        <v>18.0</v>
      </c>
      <c r="D55" s="20">
        <v>12.0</v>
      </c>
      <c r="E55" s="20">
        <v>10.0</v>
      </c>
      <c r="F55" s="25">
        <f t="shared" si="1"/>
        <v>40</v>
      </c>
      <c r="G55" s="25"/>
    </row>
    <row r="56">
      <c r="A56" s="20" t="s">
        <v>629</v>
      </c>
      <c r="B56" s="20" t="s">
        <v>630</v>
      </c>
      <c r="C56" s="20">
        <v>10.0</v>
      </c>
      <c r="D56" s="20">
        <v>7.0</v>
      </c>
      <c r="E56" s="20">
        <v>12.0</v>
      </c>
      <c r="F56" s="25">
        <f t="shared" si="1"/>
        <v>29</v>
      </c>
      <c r="G56" s="25"/>
    </row>
    <row r="57">
      <c r="A57" s="20" t="s">
        <v>1217</v>
      </c>
      <c r="B57" s="20" t="s">
        <v>633</v>
      </c>
      <c r="C57" s="20">
        <v>19.0</v>
      </c>
      <c r="D57" s="20">
        <v>13.0</v>
      </c>
      <c r="E57" s="20">
        <v>2.0</v>
      </c>
      <c r="F57" s="25">
        <f t="shared" si="1"/>
        <v>34</v>
      </c>
      <c r="G57" s="25"/>
    </row>
    <row r="58">
      <c r="A58" s="25"/>
      <c r="B58" s="25"/>
      <c r="C58" s="25"/>
      <c r="D58" s="25"/>
      <c r="E58" s="25"/>
      <c r="F58" s="25">
        <f t="shared" si="1"/>
        <v>0</v>
      </c>
      <c r="G58" s="25"/>
    </row>
    <row r="59">
      <c r="A59" s="25"/>
      <c r="B59" s="25"/>
      <c r="C59" s="25"/>
      <c r="D59" s="25"/>
      <c r="E59" s="25"/>
      <c r="F59" s="25">
        <f t="shared" si="1"/>
        <v>0</v>
      </c>
      <c r="G59" s="25"/>
    </row>
    <row r="60">
      <c r="A60" s="25"/>
      <c r="B60" s="25"/>
      <c r="C60" s="25"/>
      <c r="D60" s="25"/>
      <c r="E60" s="25"/>
      <c r="F60" s="25">
        <f t="shared" si="1"/>
        <v>0</v>
      </c>
      <c r="G60" s="25"/>
    </row>
    <row r="61">
      <c r="A61" s="25"/>
      <c r="B61" s="25"/>
      <c r="C61" s="25"/>
      <c r="D61" s="25"/>
      <c r="E61" s="25"/>
      <c r="F61" s="25">
        <f t="shared" si="1"/>
        <v>0</v>
      </c>
      <c r="G61" s="25"/>
    </row>
    <row r="62">
      <c r="A62" s="25"/>
      <c r="B62" s="25"/>
      <c r="C62" s="25"/>
      <c r="D62" s="25"/>
      <c r="E62" s="25"/>
      <c r="F62" s="25">
        <f t="shared" si="1"/>
        <v>0</v>
      </c>
      <c r="G62" s="25"/>
    </row>
    <row r="63">
      <c r="A63" s="25"/>
      <c r="B63" s="25"/>
      <c r="C63" s="25"/>
      <c r="D63" s="25"/>
      <c r="E63" s="25"/>
      <c r="F63" s="25">
        <f t="shared" si="1"/>
        <v>0</v>
      </c>
      <c r="G63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9.0"/>
    <col customWidth="1" min="3" max="5" width="8.63"/>
    <col customWidth="1" min="6" max="6" width="4.88"/>
    <col customWidth="1" min="7" max="7" width="8.63"/>
    <col customWidth="1" min="8" max="8" width="87.63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18" t="s">
        <v>1039</v>
      </c>
    </row>
    <row r="2">
      <c r="A2" s="39" t="s">
        <v>1218</v>
      </c>
      <c r="B2" s="40" t="s">
        <v>331</v>
      </c>
      <c r="C2" s="20">
        <v>17.0</v>
      </c>
      <c r="D2" s="20">
        <v>6.0</v>
      </c>
      <c r="E2" s="20">
        <v>9.0</v>
      </c>
      <c r="F2" s="25">
        <f t="shared" ref="F2:F65" si="1">SUM(C2:E2)</f>
        <v>32</v>
      </c>
      <c r="G2" s="25"/>
      <c r="H2" s="40" t="s">
        <v>1219</v>
      </c>
    </row>
    <row r="3">
      <c r="A3" s="39" t="s">
        <v>1220</v>
      </c>
      <c r="B3" s="40" t="s">
        <v>334</v>
      </c>
      <c r="C3" s="20">
        <v>18.0</v>
      </c>
      <c r="D3" s="20">
        <v>12.0</v>
      </c>
      <c r="E3" s="20">
        <v>15.0</v>
      </c>
      <c r="F3" s="25">
        <f t="shared" si="1"/>
        <v>45</v>
      </c>
      <c r="G3" s="25"/>
      <c r="H3" s="40" t="s">
        <v>1221</v>
      </c>
    </row>
    <row r="4">
      <c r="A4" s="39" t="s">
        <v>336</v>
      </c>
      <c r="B4" s="40" t="s">
        <v>337</v>
      </c>
      <c r="C4" s="20">
        <v>20.0</v>
      </c>
      <c r="D4" s="20">
        <v>12.0</v>
      </c>
      <c r="E4" s="20">
        <v>15.0</v>
      </c>
      <c r="F4" s="25">
        <f t="shared" si="1"/>
        <v>47</v>
      </c>
      <c r="G4" s="25"/>
      <c r="H4" s="40" t="s">
        <v>1222</v>
      </c>
    </row>
    <row r="5">
      <c r="A5" s="41" t="s">
        <v>1223</v>
      </c>
      <c r="B5" s="40" t="s">
        <v>340</v>
      </c>
      <c r="C5" s="20">
        <v>19.0</v>
      </c>
      <c r="D5" s="20">
        <v>11.0</v>
      </c>
      <c r="E5" s="20">
        <v>13.0</v>
      </c>
      <c r="F5" s="25">
        <f t="shared" si="1"/>
        <v>43</v>
      </c>
      <c r="G5" s="25"/>
      <c r="H5" s="40" t="s">
        <v>1224</v>
      </c>
    </row>
    <row r="6">
      <c r="A6" s="39" t="s">
        <v>1225</v>
      </c>
      <c r="B6" s="42" t="s">
        <v>343</v>
      </c>
      <c r="C6" s="20">
        <v>19.0</v>
      </c>
      <c r="D6" s="20">
        <v>13.0</v>
      </c>
      <c r="E6" s="20">
        <v>9.0</v>
      </c>
      <c r="F6" s="25">
        <f t="shared" si="1"/>
        <v>41</v>
      </c>
      <c r="G6" s="20" t="s">
        <v>55</v>
      </c>
      <c r="H6" s="40" t="s">
        <v>1226</v>
      </c>
    </row>
    <row r="7">
      <c r="A7" s="39" t="s">
        <v>1227</v>
      </c>
      <c r="B7" s="40" t="s">
        <v>346</v>
      </c>
      <c r="C7" s="20">
        <v>22.0</v>
      </c>
      <c r="D7" s="20">
        <v>12.0</v>
      </c>
      <c r="E7" s="20">
        <v>12.0</v>
      </c>
      <c r="F7" s="25">
        <f t="shared" si="1"/>
        <v>46</v>
      </c>
      <c r="G7" s="20" t="s">
        <v>6</v>
      </c>
      <c r="H7" s="40" t="s">
        <v>1228</v>
      </c>
    </row>
    <row r="8">
      <c r="A8" s="39" t="s">
        <v>348</v>
      </c>
      <c r="B8" s="40" t="s">
        <v>349</v>
      </c>
      <c r="C8" s="20">
        <v>19.0</v>
      </c>
      <c r="D8" s="20">
        <v>10.0</v>
      </c>
      <c r="E8" s="20">
        <v>3.0</v>
      </c>
      <c r="F8" s="25">
        <f t="shared" si="1"/>
        <v>32</v>
      </c>
      <c r="G8" s="20" t="s">
        <v>25</v>
      </c>
      <c r="H8" s="40" t="s">
        <v>1229</v>
      </c>
    </row>
    <row r="9">
      <c r="A9" s="39" t="s">
        <v>1230</v>
      </c>
      <c r="B9" s="40" t="s">
        <v>352</v>
      </c>
      <c r="C9" s="20">
        <v>17.0</v>
      </c>
      <c r="D9" s="20">
        <v>13.0</v>
      </c>
      <c r="E9" s="20">
        <v>14.0</v>
      </c>
      <c r="F9" s="25">
        <f t="shared" si="1"/>
        <v>44</v>
      </c>
      <c r="G9" s="20" t="s">
        <v>25</v>
      </c>
      <c r="H9" s="40" t="s">
        <v>1231</v>
      </c>
    </row>
    <row r="10">
      <c r="A10" s="39" t="s">
        <v>354</v>
      </c>
      <c r="B10" s="40" t="s">
        <v>355</v>
      </c>
      <c r="C10" s="20">
        <v>23.0</v>
      </c>
      <c r="D10" s="20">
        <v>15.0</v>
      </c>
      <c r="E10" s="20">
        <v>11.0</v>
      </c>
      <c r="F10" s="25">
        <f t="shared" si="1"/>
        <v>49</v>
      </c>
      <c r="G10" s="20" t="s">
        <v>6</v>
      </c>
      <c r="H10" s="40" t="s">
        <v>1232</v>
      </c>
    </row>
    <row r="11">
      <c r="A11" s="39" t="s">
        <v>1233</v>
      </c>
      <c r="B11" s="42" t="s">
        <v>358</v>
      </c>
      <c r="C11" s="20">
        <v>7.0</v>
      </c>
      <c r="D11" s="20">
        <v>3.0</v>
      </c>
      <c r="E11" s="20">
        <v>3.0</v>
      </c>
      <c r="F11" s="25">
        <f t="shared" si="1"/>
        <v>13</v>
      </c>
      <c r="G11" s="20" t="s">
        <v>55</v>
      </c>
      <c r="H11" s="40" t="s">
        <v>1234</v>
      </c>
    </row>
    <row r="12">
      <c r="A12" s="39" t="s">
        <v>1235</v>
      </c>
      <c r="B12" s="42" t="s">
        <v>361</v>
      </c>
      <c r="C12" s="20">
        <v>14.0</v>
      </c>
      <c r="D12" s="20">
        <v>3.0</v>
      </c>
      <c r="E12" s="20">
        <v>3.0</v>
      </c>
      <c r="F12" s="25">
        <f t="shared" si="1"/>
        <v>20</v>
      </c>
      <c r="G12" s="25"/>
      <c r="H12" s="40" t="s">
        <v>1219</v>
      </c>
    </row>
    <row r="13">
      <c r="A13" s="39" t="s">
        <v>363</v>
      </c>
      <c r="B13" s="42" t="s">
        <v>364</v>
      </c>
      <c r="C13" s="20">
        <v>22.0</v>
      </c>
      <c r="D13" s="20">
        <v>13.0</v>
      </c>
      <c r="E13" s="20">
        <v>9.0</v>
      </c>
      <c r="F13" s="25">
        <f t="shared" si="1"/>
        <v>44</v>
      </c>
      <c r="G13" s="20" t="s">
        <v>55</v>
      </c>
      <c r="H13" s="40" t="s">
        <v>1236</v>
      </c>
    </row>
    <row r="14">
      <c r="A14" s="39" t="s">
        <v>366</v>
      </c>
      <c r="B14" s="40" t="s">
        <v>367</v>
      </c>
      <c r="C14" s="20">
        <v>24.0</v>
      </c>
      <c r="D14" s="20">
        <v>22.0</v>
      </c>
      <c r="E14" s="20">
        <v>6.0</v>
      </c>
      <c r="F14" s="25">
        <f t="shared" si="1"/>
        <v>52</v>
      </c>
      <c r="G14" s="20" t="s">
        <v>55</v>
      </c>
      <c r="H14" s="40" t="s">
        <v>1237</v>
      </c>
    </row>
    <row r="15">
      <c r="A15" s="39" t="s">
        <v>369</v>
      </c>
      <c r="B15" s="40" t="s">
        <v>370</v>
      </c>
      <c r="C15" s="20">
        <v>19.0</v>
      </c>
      <c r="D15" s="20">
        <v>13.0</v>
      </c>
      <c r="E15" s="20">
        <v>12.0</v>
      </c>
      <c r="F15" s="25">
        <f t="shared" si="1"/>
        <v>44</v>
      </c>
      <c r="G15" s="20" t="s">
        <v>55</v>
      </c>
      <c r="H15" s="40" t="s">
        <v>1238</v>
      </c>
    </row>
    <row r="16">
      <c r="A16" s="39" t="s">
        <v>1239</v>
      </c>
      <c r="B16" s="40" t="s">
        <v>373</v>
      </c>
      <c r="C16" s="20">
        <v>23.0</v>
      </c>
      <c r="D16" s="20">
        <v>15.0</v>
      </c>
      <c r="E16" s="20">
        <v>9.0</v>
      </c>
      <c r="F16" s="25">
        <f t="shared" si="1"/>
        <v>47</v>
      </c>
      <c r="G16" s="20" t="s">
        <v>25</v>
      </c>
      <c r="H16" s="40" t="s">
        <v>1240</v>
      </c>
    </row>
    <row r="17">
      <c r="A17" s="43" t="s">
        <v>1241</v>
      </c>
      <c r="B17" s="29" t="s">
        <v>376</v>
      </c>
      <c r="C17" s="31"/>
      <c r="D17" s="31"/>
      <c r="E17" s="31"/>
      <c r="F17" s="31">
        <f t="shared" si="1"/>
        <v>0</v>
      </c>
      <c r="G17" s="31"/>
      <c r="H17" s="29" t="s">
        <v>1242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39" t="s">
        <v>1243</v>
      </c>
      <c r="B18" s="40" t="s">
        <v>379</v>
      </c>
      <c r="C18" s="20">
        <v>22.0</v>
      </c>
      <c r="D18" s="20">
        <v>13.0</v>
      </c>
      <c r="E18" s="20">
        <v>6.0</v>
      </c>
      <c r="F18" s="25">
        <f t="shared" si="1"/>
        <v>41</v>
      </c>
      <c r="G18" s="20" t="s">
        <v>25</v>
      </c>
      <c r="H18" s="40" t="s">
        <v>1244</v>
      </c>
    </row>
    <row r="19">
      <c r="A19" s="39" t="s">
        <v>1245</v>
      </c>
      <c r="B19" s="40" t="s">
        <v>382</v>
      </c>
      <c r="C19" s="20">
        <v>23.0</v>
      </c>
      <c r="D19" s="20">
        <v>10.0</v>
      </c>
      <c r="E19" s="20">
        <v>4.0</v>
      </c>
      <c r="F19" s="25">
        <f t="shared" si="1"/>
        <v>37</v>
      </c>
      <c r="G19" s="20" t="s">
        <v>55</v>
      </c>
      <c r="H19" s="40" t="s">
        <v>1246</v>
      </c>
    </row>
    <row r="20">
      <c r="A20" s="39" t="s">
        <v>384</v>
      </c>
      <c r="B20" s="40" t="s">
        <v>385</v>
      </c>
      <c r="C20" s="20">
        <v>23.0</v>
      </c>
      <c r="D20" s="20">
        <v>15.0</v>
      </c>
      <c r="E20" s="20">
        <v>16.0</v>
      </c>
      <c r="F20" s="25">
        <f t="shared" si="1"/>
        <v>54</v>
      </c>
      <c r="G20" s="20" t="s">
        <v>6</v>
      </c>
      <c r="H20" s="40" t="s">
        <v>1247</v>
      </c>
    </row>
    <row r="21">
      <c r="A21" s="39" t="s">
        <v>387</v>
      </c>
      <c r="B21" s="40" t="s">
        <v>388</v>
      </c>
      <c r="C21" s="20">
        <v>22.0</v>
      </c>
      <c r="D21" s="20">
        <v>15.0</v>
      </c>
      <c r="E21" s="20">
        <v>4.0</v>
      </c>
      <c r="F21" s="25">
        <f t="shared" si="1"/>
        <v>41</v>
      </c>
      <c r="G21" s="20" t="s">
        <v>6</v>
      </c>
      <c r="H21" s="40" t="s">
        <v>1248</v>
      </c>
    </row>
    <row r="22">
      <c r="A22" s="39" t="s">
        <v>390</v>
      </c>
      <c r="B22" s="40" t="s">
        <v>391</v>
      </c>
      <c r="C22" s="20">
        <v>24.0</v>
      </c>
      <c r="D22" s="20">
        <v>10.0</v>
      </c>
      <c r="E22" s="20">
        <v>13.0</v>
      </c>
      <c r="F22" s="25">
        <f t="shared" si="1"/>
        <v>47</v>
      </c>
      <c r="G22" s="20" t="s">
        <v>25</v>
      </c>
      <c r="H22" s="40" t="s">
        <v>1249</v>
      </c>
    </row>
    <row r="23">
      <c r="A23" s="39" t="s">
        <v>1250</v>
      </c>
      <c r="B23" s="42" t="s">
        <v>394</v>
      </c>
      <c r="C23" s="20">
        <v>12.0</v>
      </c>
      <c r="D23" s="20">
        <v>6.0</v>
      </c>
      <c r="E23" s="20">
        <v>6.0</v>
      </c>
      <c r="F23" s="25">
        <f t="shared" si="1"/>
        <v>24</v>
      </c>
      <c r="G23" s="20" t="s">
        <v>6</v>
      </c>
      <c r="H23" s="40" t="s">
        <v>1251</v>
      </c>
    </row>
    <row r="24">
      <c r="A24" s="39" t="s">
        <v>1252</v>
      </c>
      <c r="B24" s="42" t="s">
        <v>397</v>
      </c>
      <c r="C24" s="20">
        <v>17.0</v>
      </c>
      <c r="D24" s="20">
        <v>11.0</v>
      </c>
      <c r="E24" s="20">
        <v>6.0</v>
      </c>
      <c r="F24" s="25">
        <f t="shared" si="1"/>
        <v>34</v>
      </c>
      <c r="G24" s="20">
        <v>0.0</v>
      </c>
      <c r="H24" s="40" t="s">
        <v>1251</v>
      </c>
    </row>
    <row r="25">
      <c r="A25" s="39" t="s">
        <v>399</v>
      </c>
      <c r="B25" s="40" t="s">
        <v>400</v>
      </c>
      <c r="C25" s="20">
        <v>22.0</v>
      </c>
      <c r="D25" s="20">
        <v>12.0</v>
      </c>
      <c r="E25" s="20">
        <v>11.0</v>
      </c>
      <c r="F25" s="25">
        <f t="shared" si="1"/>
        <v>45</v>
      </c>
      <c r="G25" s="20" t="s">
        <v>55</v>
      </c>
      <c r="H25" s="40" t="s">
        <v>1253</v>
      </c>
    </row>
    <row r="26">
      <c r="A26" s="39" t="s">
        <v>402</v>
      </c>
      <c r="B26" s="42" t="s">
        <v>403</v>
      </c>
      <c r="C26" s="20">
        <v>21.0</v>
      </c>
      <c r="D26" s="20">
        <v>6.0</v>
      </c>
      <c r="E26" s="20">
        <v>7.0</v>
      </c>
      <c r="F26" s="25">
        <f t="shared" si="1"/>
        <v>34</v>
      </c>
      <c r="G26" s="20" t="s">
        <v>55</v>
      </c>
      <c r="H26" s="40" t="s">
        <v>1254</v>
      </c>
    </row>
    <row r="27">
      <c r="A27" s="39" t="s">
        <v>405</v>
      </c>
      <c r="B27" s="40" t="s">
        <v>406</v>
      </c>
      <c r="C27" s="20">
        <v>22.0</v>
      </c>
      <c r="D27" s="20">
        <v>13.0</v>
      </c>
      <c r="E27" s="20">
        <v>16.0</v>
      </c>
      <c r="F27" s="25">
        <f t="shared" si="1"/>
        <v>51</v>
      </c>
      <c r="G27" s="20" t="s">
        <v>6</v>
      </c>
      <c r="H27" s="40" t="s">
        <v>1255</v>
      </c>
    </row>
    <row r="28">
      <c r="A28" s="39" t="s">
        <v>408</v>
      </c>
      <c r="B28" s="40" t="s">
        <v>409</v>
      </c>
      <c r="C28" s="20">
        <v>22.0</v>
      </c>
      <c r="D28" s="20">
        <v>13.0</v>
      </c>
      <c r="E28" s="20">
        <v>13.0</v>
      </c>
      <c r="F28" s="25">
        <f t="shared" si="1"/>
        <v>48</v>
      </c>
      <c r="G28" s="20" t="s">
        <v>25</v>
      </c>
      <c r="H28" s="40" t="s">
        <v>1256</v>
      </c>
    </row>
    <row r="29">
      <c r="A29" s="39" t="s">
        <v>411</v>
      </c>
      <c r="B29" s="40" t="s">
        <v>412</v>
      </c>
      <c r="C29" s="20">
        <v>17.0</v>
      </c>
      <c r="D29" s="20">
        <v>13.0</v>
      </c>
      <c r="E29" s="20">
        <v>12.0</v>
      </c>
      <c r="F29" s="25">
        <f t="shared" si="1"/>
        <v>42</v>
      </c>
      <c r="G29" s="20" t="s">
        <v>25</v>
      </c>
      <c r="H29" s="40" t="s">
        <v>1257</v>
      </c>
    </row>
    <row r="30">
      <c r="A30" s="39" t="s">
        <v>1258</v>
      </c>
      <c r="B30" s="40" t="s">
        <v>415</v>
      </c>
      <c r="C30" s="20">
        <v>21.0</v>
      </c>
      <c r="D30" s="20">
        <v>13.0</v>
      </c>
      <c r="E30" s="20">
        <v>11.0</v>
      </c>
      <c r="F30" s="25">
        <f t="shared" si="1"/>
        <v>45</v>
      </c>
      <c r="G30" s="20" t="s">
        <v>6</v>
      </c>
      <c r="H30" s="40" t="s">
        <v>1259</v>
      </c>
    </row>
    <row r="31">
      <c r="A31" s="39" t="s">
        <v>417</v>
      </c>
      <c r="B31" s="40" t="s">
        <v>418</v>
      </c>
      <c r="C31" s="20">
        <v>17.0</v>
      </c>
      <c r="D31" s="20">
        <v>10.0</v>
      </c>
      <c r="E31" s="20">
        <v>9.0</v>
      </c>
      <c r="F31" s="25">
        <f t="shared" si="1"/>
        <v>36</v>
      </c>
      <c r="G31" s="20" t="s">
        <v>25</v>
      </c>
      <c r="H31" s="40" t="s">
        <v>1246</v>
      </c>
    </row>
    <row r="32">
      <c r="A32" s="39" t="s">
        <v>420</v>
      </c>
      <c r="B32" s="40" t="s">
        <v>421</v>
      </c>
      <c r="C32" s="20">
        <v>23.0</v>
      </c>
      <c r="D32" s="20">
        <v>12.0</v>
      </c>
      <c r="E32" s="20">
        <v>14.0</v>
      </c>
      <c r="F32" s="25">
        <f t="shared" si="1"/>
        <v>49</v>
      </c>
      <c r="G32" s="20" t="s">
        <v>25</v>
      </c>
      <c r="H32" s="40" t="s">
        <v>1260</v>
      </c>
    </row>
    <row r="33">
      <c r="A33" s="39" t="s">
        <v>1261</v>
      </c>
      <c r="B33" s="40" t="s">
        <v>424</v>
      </c>
      <c r="C33" s="20">
        <v>23.0</v>
      </c>
      <c r="D33" s="20">
        <v>13.0</v>
      </c>
      <c r="E33" s="20">
        <v>12.0</v>
      </c>
      <c r="F33" s="25">
        <f t="shared" si="1"/>
        <v>48</v>
      </c>
      <c r="G33" s="20" t="s">
        <v>25</v>
      </c>
      <c r="H33" s="40" t="s">
        <v>1262</v>
      </c>
    </row>
    <row r="34">
      <c r="A34" s="39" t="s">
        <v>1263</v>
      </c>
      <c r="B34" s="40" t="s">
        <v>427</v>
      </c>
      <c r="C34" s="20">
        <v>23.0</v>
      </c>
      <c r="D34" s="20">
        <v>12.0</v>
      </c>
      <c r="E34" s="20">
        <v>12.0</v>
      </c>
      <c r="F34" s="25">
        <f t="shared" si="1"/>
        <v>47</v>
      </c>
      <c r="G34" s="20" t="s">
        <v>55</v>
      </c>
      <c r="H34" s="40" t="s">
        <v>1264</v>
      </c>
    </row>
    <row r="35">
      <c r="A35" s="39" t="s">
        <v>429</v>
      </c>
      <c r="B35" s="40" t="s">
        <v>430</v>
      </c>
      <c r="C35" s="20">
        <v>21.0</v>
      </c>
      <c r="D35" s="20">
        <v>10.0</v>
      </c>
      <c r="E35" s="20">
        <v>10.0</v>
      </c>
      <c r="F35" s="25">
        <f t="shared" si="1"/>
        <v>41</v>
      </c>
      <c r="G35" s="20" t="s">
        <v>25</v>
      </c>
      <c r="H35" s="40" t="s">
        <v>1256</v>
      </c>
    </row>
    <row r="36">
      <c r="A36" s="39" t="s">
        <v>432</v>
      </c>
      <c r="B36" s="40" t="s">
        <v>433</v>
      </c>
      <c r="C36" s="20">
        <v>21.0</v>
      </c>
      <c r="D36" s="20">
        <v>13.0</v>
      </c>
      <c r="E36" s="20">
        <v>12.0</v>
      </c>
      <c r="F36" s="25">
        <f t="shared" si="1"/>
        <v>46</v>
      </c>
      <c r="G36" s="20" t="s">
        <v>55</v>
      </c>
      <c r="H36" s="40" t="s">
        <v>1265</v>
      </c>
    </row>
    <row r="37">
      <c r="A37" s="39" t="s">
        <v>435</v>
      </c>
      <c r="B37" s="40" t="s">
        <v>436</v>
      </c>
      <c r="C37" s="20">
        <v>18.0</v>
      </c>
      <c r="D37" s="20">
        <v>12.0</v>
      </c>
      <c r="E37" s="20">
        <v>12.0</v>
      </c>
      <c r="F37" s="25">
        <f t="shared" si="1"/>
        <v>42</v>
      </c>
      <c r="G37" s="20" t="s">
        <v>25</v>
      </c>
      <c r="H37" s="40" t="s">
        <v>1266</v>
      </c>
    </row>
    <row r="38">
      <c r="A38" s="39" t="s">
        <v>438</v>
      </c>
      <c r="B38" s="40" t="s">
        <v>439</v>
      </c>
      <c r="C38" s="20">
        <v>21.0</v>
      </c>
      <c r="D38" s="20">
        <v>12.0</v>
      </c>
      <c r="E38" s="20">
        <v>10.0</v>
      </c>
      <c r="F38" s="25">
        <f t="shared" si="1"/>
        <v>43</v>
      </c>
      <c r="G38" s="20" t="s">
        <v>25</v>
      </c>
      <c r="H38" s="40" t="s">
        <v>1267</v>
      </c>
    </row>
    <row r="39">
      <c r="A39" s="39" t="s">
        <v>1268</v>
      </c>
      <c r="B39" s="40" t="s">
        <v>442</v>
      </c>
      <c r="C39" s="20">
        <v>20.0</v>
      </c>
      <c r="D39" s="20">
        <v>12.0</v>
      </c>
      <c r="E39" s="20">
        <v>12.0</v>
      </c>
      <c r="F39" s="25">
        <f t="shared" si="1"/>
        <v>44</v>
      </c>
      <c r="G39" s="20" t="s">
        <v>6</v>
      </c>
      <c r="H39" s="40" t="s">
        <v>1265</v>
      </c>
    </row>
    <row r="40">
      <c r="A40" s="39" t="s">
        <v>444</v>
      </c>
      <c r="B40" s="40" t="s">
        <v>445</v>
      </c>
      <c r="C40" s="20">
        <v>18.0</v>
      </c>
      <c r="D40" s="20">
        <v>10.0</v>
      </c>
      <c r="E40" s="20">
        <v>13.0</v>
      </c>
      <c r="F40" s="25">
        <f t="shared" si="1"/>
        <v>41</v>
      </c>
      <c r="G40" s="20">
        <v>0.0</v>
      </c>
      <c r="H40" s="40" t="s">
        <v>1265</v>
      </c>
    </row>
    <row r="41">
      <c r="A41" s="39" t="s">
        <v>1269</v>
      </c>
      <c r="B41" s="40" t="s">
        <v>448</v>
      </c>
      <c r="C41" s="20">
        <v>20.0</v>
      </c>
      <c r="D41" s="20">
        <v>3.0</v>
      </c>
      <c r="E41" s="20">
        <v>0.0</v>
      </c>
      <c r="F41" s="25">
        <f t="shared" si="1"/>
        <v>23</v>
      </c>
      <c r="G41" s="20" t="s">
        <v>25</v>
      </c>
      <c r="H41" s="40" t="s">
        <v>1270</v>
      </c>
    </row>
    <row r="42">
      <c r="A42" s="39" t="s">
        <v>1271</v>
      </c>
      <c r="B42" s="40" t="s">
        <v>451</v>
      </c>
      <c r="C42" s="20">
        <v>20.0</v>
      </c>
      <c r="D42" s="20">
        <v>14.0</v>
      </c>
      <c r="E42" s="20">
        <v>12.0</v>
      </c>
      <c r="F42" s="25">
        <f t="shared" si="1"/>
        <v>46</v>
      </c>
      <c r="G42" s="20" t="s">
        <v>25</v>
      </c>
      <c r="H42" s="40" t="s">
        <v>1262</v>
      </c>
    </row>
    <row r="43">
      <c r="A43" s="39" t="s">
        <v>453</v>
      </c>
      <c r="B43" s="40" t="s">
        <v>454</v>
      </c>
      <c r="C43" s="20">
        <v>19.0</v>
      </c>
      <c r="D43" s="20">
        <v>11.0</v>
      </c>
      <c r="E43" s="20">
        <v>4.0</v>
      </c>
      <c r="F43" s="25">
        <f t="shared" si="1"/>
        <v>34</v>
      </c>
      <c r="G43" s="20" t="s">
        <v>25</v>
      </c>
      <c r="H43" s="40" t="s">
        <v>1272</v>
      </c>
    </row>
    <row r="44">
      <c r="A44" s="39" t="s">
        <v>456</v>
      </c>
      <c r="B44" s="40" t="s">
        <v>457</v>
      </c>
      <c r="C44" s="20">
        <v>17.0</v>
      </c>
      <c r="D44" s="20">
        <v>10.0</v>
      </c>
      <c r="E44" s="20">
        <v>11.0</v>
      </c>
      <c r="F44" s="25">
        <f t="shared" si="1"/>
        <v>38</v>
      </c>
      <c r="G44" s="20" t="s">
        <v>25</v>
      </c>
      <c r="H44" s="40" t="s">
        <v>1273</v>
      </c>
    </row>
    <row r="45">
      <c r="A45" s="39" t="s">
        <v>1274</v>
      </c>
      <c r="B45" s="40" t="s">
        <v>460</v>
      </c>
      <c r="C45" s="20">
        <v>19.0</v>
      </c>
      <c r="D45" s="20">
        <v>12.0</v>
      </c>
      <c r="E45" s="20">
        <v>14.0</v>
      </c>
      <c r="F45" s="25">
        <f t="shared" si="1"/>
        <v>45</v>
      </c>
      <c r="G45" s="20" t="s">
        <v>6</v>
      </c>
      <c r="H45" s="40" t="s">
        <v>1275</v>
      </c>
    </row>
    <row r="46">
      <c r="A46" s="39" t="s">
        <v>1276</v>
      </c>
      <c r="B46" s="40" t="s">
        <v>463</v>
      </c>
      <c r="C46" s="20">
        <v>22.0</v>
      </c>
      <c r="D46" s="20">
        <v>10.0</v>
      </c>
      <c r="E46" s="20">
        <v>12.0</v>
      </c>
      <c r="F46" s="25">
        <f t="shared" si="1"/>
        <v>44</v>
      </c>
      <c r="G46" s="20" t="s">
        <v>55</v>
      </c>
      <c r="H46" s="40" t="s">
        <v>1277</v>
      </c>
    </row>
    <row r="47">
      <c r="A47" s="25"/>
      <c r="B47" s="25"/>
      <c r="C47" s="25"/>
      <c r="D47" s="25"/>
      <c r="E47" s="25"/>
      <c r="F47" s="25">
        <f t="shared" si="1"/>
        <v>0</v>
      </c>
      <c r="G47" s="25"/>
    </row>
    <row r="48">
      <c r="A48" s="25"/>
      <c r="B48" s="25"/>
      <c r="C48" s="25"/>
      <c r="D48" s="25"/>
      <c r="E48" s="25"/>
      <c r="F48" s="25">
        <f t="shared" si="1"/>
        <v>0</v>
      </c>
      <c r="G48" s="25"/>
    </row>
    <row r="49">
      <c r="A49" s="25"/>
      <c r="B49" s="25"/>
      <c r="C49" s="25"/>
      <c r="D49" s="25"/>
      <c r="E49" s="25"/>
      <c r="F49" s="25">
        <f t="shared" si="1"/>
        <v>0</v>
      </c>
      <c r="G49" s="25"/>
    </row>
    <row r="50">
      <c r="A50" s="25"/>
      <c r="B50" s="25"/>
      <c r="C50" s="25"/>
      <c r="D50" s="25"/>
      <c r="E50" s="25"/>
      <c r="F50" s="25">
        <f t="shared" si="1"/>
        <v>0</v>
      </c>
      <c r="G50" s="25"/>
    </row>
    <row r="51">
      <c r="A51" s="25"/>
      <c r="B51" s="25"/>
      <c r="C51" s="25"/>
      <c r="D51" s="25"/>
      <c r="E51" s="25"/>
      <c r="F51" s="25">
        <f t="shared" si="1"/>
        <v>0</v>
      </c>
      <c r="G51" s="25"/>
    </row>
    <row r="52">
      <c r="A52" s="25"/>
      <c r="B52" s="25"/>
      <c r="C52" s="25"/>
      <c r="D52" s="25"/>
      <c r="E52" s="25"/>
      <c r="F52" s="25">
        <f t="shared" si="1"/>
        <v>0</v>
      </c>
      <c r="G52" s="25"/>
    </row>
    <row r="53">
      <c r="A53" s="25"/>
      <c r="B53" s="25"/>
      <c r="C53" s="25"/>
      <c r="D53" s="25"/>
      <c r="E53" s="25"/>
      <c r="F53" s="25">
        <f t="shared" si="1"/>
        <v>0</v>
      </c>
      <c r="G53" s="25"/>
    </row>
    <row r="54">
      <c r="A54" s="25"/>
      <c r="B54" s="25"/>
      <c r="C54" s="25"/>
      <c r="D54" s="25"/>
      <c r="E54" s="25"/>
      <c r="F54" s="25">
        <f t="shared" si="1"/>
        <v>0</v>
      </c>
      <c r="G54" s="25"/>
    </row>
    <row r="55">
      <c r="A55" s="25"/>
      <c r="B55" s="25"/>
      <c r="C55" s="25"/>
      <c r="D55" s="25"/>
      <c r="E55" s="25"/>
      <c r="F55" s="25">
        <f t="shared" si="1"/>
        <v>0</v>
      </c>
      <c r="G55" s="25"/>
    </row>
    <row r="56">
      <c r="A56" s="25"/>
      <c r="B56" s="25"/>
      <c r="C56" s="25"/>
      <c r="D56" s="25"/>
      <c r="E56" s="25"/>
      <c r="F56" s="25">
        <f t="shared" si="1"/>
        <v>0</v>
      </c>
      <c r="G56" s="25"/>
    </row>
    <row r="57">
      <c r="A57" s="25"/>
      <c r="B57" s="25"/>
      <c r="C57" s="25"/>
      <c r="D57" s="25"/>
      <c r="E57" s="25"/>
      <c r="F57" s="25">
        <f t="shared" si="1"/>
        <v>0</v>
      </c>
      <c r="G57" s="25"/>
    </row>
    <row r="58">
      <c r="A58" s="25"/>
      <c r="B58" s="25"/>
      <c r="C58" s="25"/>
      <c r="D58" s="25"/>
      <c r="E58" s="25"/>
      <c r="F58" s="25">
        <f t="shared" si="1"/>
        <v>0</v>
      </c>
      <c r="G58" s="25"/>
    </row>
    <row r="59">
      <c r="A59" s="25"/>
      <c r="B59" s="25"/>
      <c r="C59" s="25"/>
      <c r="D59" s="25"/>
      <c r="E59" s="25"/>
      <c r="F59" s="25">
        <f t="shared" si="1"/>
        <v>0</v>
      </c>
      <c r="G59" s="25"/>
    </row>
    <row r="60">
      <c r="A60" s="25"/>
      <c r="B60" s="25"/>
      <c r="C60" s="25"/>
      <c r="D60" s="25"/>
      <c r="E60" s="25"/>
      <c r="F60" s="25">
        <f t="shared" si="1"/>
        <v>0</v>
      </c>
      <c r="G60" s="25"/>
    </row>
    <row r="61">
      <c r="A61" s="25"/>
      <c r="B61" s="25"/>
      <c r="C61" s="25"/>
      <c r="D61" s="25"/>
      <c r="E61" s="25"/>
      <c r="F61" s="25">
        <f t="shared" si="1"/>
        <v>0</v>
      </c>
      <c r="G61" s="25"/>
    </row>
    <row r="62">
      <c r="A62" s="25"/>
      <c r="B62" s="25"/>
      <c r="C62" s="25"/>
      <c r="D62" s="25"/>
      <c r="E62" s="25"/>
      <c r="F62" s="25">
        <f t="shared" si="1"/>
        <v>0</v>
      </c>
      <c r="G62" s="25"/>
    </row>
    <row r="63">
      <c r="A63" s="25"/>
      <c r="B63" s="25"/>
      <c r="C63" s="25"/>
      <c r="D63" s="25"/>
      <c r="E63" s="25"/>
      <c r="F63" s="25">
        <f t="shared" si="1"/>
        <v>0</v>
      </c>
      <c r="G63" s="25"/>
    </row>
    <row r="64">
      <c r="A64" s="25"/>
      <c r="B64" s="25"/>
      <c r="C64" s="25"/>
      <c r="D64" s="25"/>
      <c r="E64" s="25"/>
      <c r="F64" s="25">
        <f t="shared" si="1"/>
        <v>0</v>
      </c>
      <c r="G64" s="25"/>
    </row>
    <row r="65">
      <c r="A65" s="25"/>
      <c r="B65" s="25"/>
      <c r="C65" s="25"/>
      <c r="D65" s="25"/>
      <c r="E65" s="25"/>
      <c r="F65" s="25">
        <f t="shared" si="1"/>
        <v>0</v>
      </c>
      <c r="G65" s="2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18" t="s">
        <v>1039</v>
      </c>
    </row>
    <row r="2">
      <c r="A2" s="20" t="s">
        <v>799</v>
      </c>
      <c r="B2" s="20" t="s">
        <v>800</v>
      </c>
      <c r="C2" s="20">
        <v>16.0</v>
      </c>
      <c r="D2" s="20">
        <v>10.0</v>
      </c>
      <c r="E2" s="20">
        <v>9.0</v>
      </c>
      <c r="F2" s="25">
        <f t="shared" ref="F2:F65" si="1">SUM(C2:E2)</f>
        <v>35</v>
      </c>
      <c r="G2" s="20" t="s">
        <v>6</v>
      </c>
    </row>
    <row r="3">
      <c r="A3" s="20" t="s">
        <v>1278</v>
      </c>
      <c r="B3" s="20" t="s">
        <v>803</v>
      </c>
      <c r="C3" s="20">
        <v>17.0</v>
      </c>
      <c r="D3" s="20">
        <v>11.0</v>
      </c>
      <c r="E3" s="20">
        <v>10.0</v>
      </c>
      <c r="F3" s="25">
        <f t="shared" si="1"/>
        <v>38</v>
      </c>
      <c r="G3" s="20" t="s">
        <v>25</v>
      </c>
    </row>
    <row r="4">
      <c r="A4" s="20" t="s">
        <v>1279</v>
      </c>
      <c r="B4" s="20" t="s">
        <v>806</v>
      </c>
      <c r="C4" s="20">
        <v>12.0</v>
      </c>
      <c r="D4" s="20">
        <v>12.0</v>
      </c>
      <c r="E4" s="20">
        <v>9.0</v>
      </c>
      <c r="F4" s="25">
        <f t="shared" si="1"/>
        <v>33</v>
      </c>
      <c r="G4" s="20" t="s">
        <v>6</v>
      </c>
    </row>
    <row r="5">
      <c r="A5" s="20" t="s">
        <v>1280</v>
      </c>
      <c r="B5" s="20" t="s">
        <v>809</v>
      </c>
      <c r="C5" s="20">
        <v>5.0</v>
      </c>
      <c r="D5" s="20">
        <v>7.0</v>
      </c>
      <c r="E5" s="20">
        <v>8.0</v>
      </c>
      <c r="F5" s="25">
        <f t="shared" si="1"/>
        <v>20</v>
      </c>
      <c r="G5" s="20" t="s">
        <v>25</v>
      </c>
    </row>
    <row r="6">
      <c r="A6" s="20" t="s">
        <v>811</v>
      </c>
      <c r="B6" s="20" t="s">
        <v>812</v>
      </c>
      <c r="C6" s="20">
        <v>13.0</v>
      </c>
      <c r="D6" s="20">
        <v>12.0</v>
      </c>
      <c r="E6" s="20">
        <v>13.0</v>
      </c>
      <c r="F6" s="25">
        <f t="shared" si="1"/>
        <v>38</v>
      </c>
      <c r="G6" s="20" t="s">
        <v>25</v>
      </c>
    </row>
    <row r="7">
      <c r="A7" s="20" t="s">
        <v>1281</v>
      </c>
      <c r="B7" s="20" t="s">
        <v>815</v>
      </c>
      <c r="C7" s="20">
        <v>11.0</v>
      </c>
      <c r="D7" s="20">
        <v>7.0</v>
      </c>
      <c r="E7" s="20">
        <v>12.0</v>
      </c>
      <c r="F7" s="25">
        <f t="shared" si="1"/>
        <v>30</v>
      </c>
      <c r="G7" s="20" t="s">
        <v>25</v>
      </c>
    </row>
    <row r="8">
      <c r="A8" s="20" t="s">
        <v>817</v>
      </c>
      <c r="B8" s="20" t="s">
        <v>818</v>
      </c>
      <c r="C8" s="20">
        <v>21.0</v>
      </c>
      <c r="D8" s="20">
        <v>8.0</v>
      </c>
      <c r="E8" s="20">
        <v>8.0</v>
      </c>
      <c r="F8" s="25">
        <f t="shared" si="1"/>
        <v>37</v>
      </c>
      <c r="G8" s="25"/>
    </row>
    <row r="9">
      <c r="A9" s="20" t="s">
        <v>1282</v>
      </c>
      <c r="B9" s="20" t="s">
        <v>821</v>
      </c>
      <c r="C9" s="20">
        <v>20.0</v>
      </c>
      <c r="D9" s="20">
        <v>10.0</v>
      </c>
      <c r="E9" s="20">
        <v>6.0</v>
      </c>
      <c r="F9" s="25">
        <f t="shared" si="1"/>
        <v>36</v>
      </c>
      <c r="G9" s="25"/>
    </row>
    <row r="10">
      <c r="A10" s="20" t="s">
        <v>823</v>
      </c>
      <c r="B10" s="20" t="s">
        <v>824</v>
      </c>
      <c r="C10" s="20">
        <v>19.0</v>
      </c>
      <c r="D10" s="20">
        <v>6.0</v>
      </c>
      <c r="E10" s="20">
        <v>0.0</v>
      </c>
      <c r="F10" s="25">
        <f t="shared" si="1"/>
        <v>25</v>
      </c>
      <c r="G10" s="25"/>
    </row>
    <row r="11">
      <c r="A11" s="20" t="s">
        <v>826</v>
      </c>
      <c r="B11" s="20" t="s">
        <v>827</v>
      </c>
      <c r="C11" s="20">
        <v>11.0</v>
      </c>
      <c r="D11" s="20">
        <v>8.0</v>
      </c>
      <c r="E11" s="20">
        <v>9.0</v>
      </c>
      <c r="F11" s="25">
        <f t="shared" si="1"/>
        <v>28</v>
      </c>
      <c r="G11" s="25"/>
    </row>
    <row r="12">
      <c r="A12" s="20" t="s">
        <v>1283</v>
      </c>
      <c r="B12" s="20" t="s">
        <v>830</v>
      </c>
      <c r="C12" s="20">
        <v>24.0</v>
      </c>
      <c r="D12" s="20">
        <v>15.0</v>
      </c>
      <c r="E12" s="20">
        <v>14.0</v>
      </c>
      <c r="F12" s="25">
        <f t="shared" si="1"/>
        <v>53</v>
      </c>
      <c r="G12" s="25"/>
    </row>
    <row r="13">
      <c r="A13" s="20" t="s">
        <v>832</v>
      </c>
      <c r="B13" s="20" t="s">
        <v>833</v>
      </c>
      <c r="C13" s="20">
        <v>16.0</v>
      </c>
      <c r="D13" s="20">
        <v>6.0</v>
      </c>
      <c r="E13" s="20">
        <v>7.0</v>
      </c>
      <c r="F13" s="25">
        <f t="shared" si="1"/>
        <v>29</v>
      </c>
      <c r="G13" s="25"/>
    </row>
    <row r="14">
      <c r="A14" s="20" t="s">
        <v>835</v>
      </c>
      <c r="B14" s="20" t="s">
        <v>836</v>
      </c>
      <c r="C14" s="20">
        <v>20.0</v>
      </c>
      <c r="D14" s="20">
        <v>11.0</v>
      </c>
      <c r="E14" s="20">
        <v>11.0</v>
      </c>
      <c r="F14" s="25">
        <f t="shared" si="1"/>
        <v>42</v>
      </c>
      <c r="G14" s="20" t="s">
        <v>55</v>
      </c>
    </row>
    <row r="15">
      <c r="A15" s="20" t="s">
        <v>838</v>
      </c>
      <c r="B15" s="20" t="s">
        <v>839</v>
      </c>
      <c r="C15" s="20">
        <v>16.0</v>
      </c>
      <c r="D15" s="20">
        <v>5.0</v>
      </c>
      <c r="E15" s="20">
        <v>0.0</v>
      </c>
      <c r="F15" s="25">
        <f t="shared" si="1"/>
        <v>21</v>
      </c>
      <c r="G15" s="25"/>
    </row>
    <row r="16">
      <c r="A16" s="20" t="s">
        <v>841</v>
      </c>
      <c r="B16" s="20" t="s">
        <v>842</v>
      </c>
      <c r="C16" s="20">
        <v>14.0</v>
      </c>
      <c r="D16" s="20">
        <v>9.0</v>
      </c>
      <c r="E16" s="20">
        <v>10.0</v>
      </c>
      <c r="F16" s="25">
        <f t="shared" si="1"/>
        <v>33</v>
      </c>
      <c r="G16" s="25"/>
    </row>
    <row r="17">
      <c r="A17" s="20" t="s">
        <v>1010</v>
      </c>
      <c r="B17" s="20" t="s">
        <v>845</v>
      </c>
      <c r="C17" s="20">
        <v>18.0</v>
      </c>
      <c r="D17" s="20">
        <v>6.0</v>
      </c>
      <c r="E17" s="20">
        <v>1.0</v>
      </c>
      <c r="F17" s="25">
        <f t="shared" si="1"/>
        <v>25</v>
      </c>
      <c r="G17" s="25"/>
    </row>
    <row r="18">
      <c r="A18" s="20" t="s">
        <v>847</v>
      </c>
      <c r="B18" s="20" t="s">
        <v>848</v>
      </c>
      <c r="C18" s="20">
        <v>20.0</v>
      </c>
      <c r="D18" s="20">
        <v>10.0</v>
      </c>
      <c r="E18" s="20">
        <v>8.0</v>
      </c>
      <c r="F18" s="25">
        <f t="shared" si="1"/>
        <v>38</v>
      </c>
      <c r="G18" s="25"/>
    </row>
    <row r="19">
      <c r="A19" s="20" t="s">
        <v>850</v>
      </c>
      <c r="B19" s="20" t="s">
        <v>851</v>
      </c>
      <c r="C19" s="20">
        <v>19.0</v>
      </c>
      <c r="D19" s="20">
        <v>11.0</v>
      </c>
      <c r="E19" s="20">
        <v>6.0</v>
      </c>
      <c r="F19" s="25">
        <f t="shared" si="1"/>
        <v>36</v>
      </c>
      <c r="G19" s="25"/>
    </row>
    <row r="20">
      <c r="A20" s="20" t="s">
        <v>1284</v>
      </c>
      <c r="B20" s="20" t="s">
        <v>854</v>
      </c>
      <c r="C20" s="20">
        <v>24.0</v>
      </c>
      <c r="D20" s="20">
        <v>1.0</v>
      </c>
      <c r="E20" s="20">
        <v>10.0</v>
      </c>
      <c r="F20" s="25">
        <f t="shared" si="1"/>
        <v>35</v>
      </c>
      <c r="G20" s="25"/>
    </row>
    <row r="21">
      <c r="A21" s="20" t="s">
        <v>856</v>
      </c>
      <c r="B21" s="20" t="s">
        <v>857</v>
      </c>
      <c r="C21" s="20">
        <v>22.0</v>
      </c>
      <c r="D21" s="20">
        <v>13.0</v>
      </c>
      <c r="E21" s="20">
        <v>12.0</v>
      </c>
      <c r="F21" s="25">
        <f t="shared" si="1"/>
        <v>47</v>
      </c>
      <c r="G21" s="25"/>
    </row>
    <row r="22">
      <c r="A22" s="20" t="s">
        <v>859</v>
      </c>
      <c r="B22" s="20" t="s">
        <v>860</v>
      </c>
      <c r="C22" s="20">
        <v>21.0</v>
      </c>
      <c r="D22" s="20">
        <v>13.0</v>
      </c>
      <c r="E22" s="20">
        <v>12.0</v>
      </c>
      <c r="F22" s="25">
        <f t="shared" si="1"/>
        <v>46</v>
      </c>
      <c r="G22" s="25"/>
    </row>
    <row r="23">
      <c r="A23" s="20" t="s">
        <v>1285</v>
      </c>
      <c r="B23" s="20" t="s">
        <v>863</v>
      </c>
      <c r="C23" s="20">
        <v>20.0</v>
      </c>
      <c r="D23" s="20">
        <v>8.0</v>
      </c>
      <c r="E23" s="20">
        <v>6.0</v>
      </c>
      <c r="F23" s="25">
        <f t="shared" si="1"/>
        <v>34</v>
      </c>
      <c r="G23" s="25"/>
    </row>
    <row r="24">
      <c r="A24" s="20" t="s">
        <v>865</v>
      </c>
      <c r="B24" s="20" t="s">
        <v>866</v>
      </c>
      <c r="C24" s="20">
        <v>23.0</v>
      </c>
      <c r="D24" s="20">
        <v>13.0</v>
      </c>
      <c r="E24" s="20">
        <v>11.0</v>
      </c>
      <c r="F24" s="25">
        <f t="shared" si="1"/>
        <v>47</v>
      </c>
      <c r="G24" s="25"/>
    </row>
    <row r="25">
      <c r="A25" s="20" t="s">
        <v>1286</v>
      </c>
      <c r="B25" s="20" t="s">
        <v>869</v>
      </c>
      <c r="C25" s="20">
        <v>24.0</v>
      </c>
      <c r="D25" s="20">
        <v>12.0</v>
      </c>
      <c r="E25" s="20">
        <v>9.0</v>
      </c>
      <c r="F25" s="25">
        <f t="shared" si="1"/>
        <v>45</v>
      </c>
      <c r="G25" s="25"/>
    </row>
    <row r="26">
      <c r="A26" s="20" t="s">
        <v>871</v>
      </c>
      <c r="B26" s="20" t="s">
        <v>872</v>
      </c>
      <c r="C26" s="20">
        <v>18.0</v>
      </c>
      <c r="D26" s="20">
        <v>12.0</v>
      </c>
      <c r="E26" s="20">
        <v>4.0</v>
      </c>
      <c r="F26" s="25">
        <f t="shared" si="1"/>
        <v>34</v>
      </c>
      <c r="G26" s="25"/>
    </row>
    <row r="27">
      <c r="A27" s="25"/>
      <c r="B27" s="25"/>
      <c r="C27" s="25"/>
      <c r="D27" s="25"/>
      <c r="E27" s="25"/>
      <c r="F27" s="25">
        <f t="shared" si="1"/>
        <v>0</v>
      </c>
      <c r="G27" s="25"/>
    </row>
    <row r="28">
      <c r="A28" s="25"/>
      <c r="B28" s="25"/>
      <c r="C28" s="25"/>
      <c r="D28" s="25"/>
      <c r="E28" s="25"/>
      <c r="F28" s="25">
        <f t="shared" si="1"/>
        <v>0</v>
      </c>
      <c r="G28" s="25"/>
    </row>
    <row r="29">
      <c r="A29" s="25"/>
      <c r="B29" s="25"/>
      <c r="C29" s="25"/>
      <c r="D29" s="25"/>
      <c r="E29" s="25"/>
      <c r="F29" s="25">
        <f t="shared" si="1"/>
        <v>0</v>
      </c>
      <c r="G29" s="25"/>
    </row>
    <row r="30">
      <c r="A30" s="25"/>
      <c r="B30" s="25"/>
      <c r="C30" s="25"/>
      <c r="D30" s="25"/>
      <c r="E30" s="25"/>
      <c r="F30" s="25">
        <f t="shared" si="1"/>
        <v>0</v>
      </c>
      <c r="G30" s="25"/>
    </row>
    <row r="31">
      <c r="A31" s="25"/>
      <c r="B31" s="25"/>
      <c r="C31" s="25"/>
      <c r="D31" s="25"/>
      <c r="E31" s="25"/>
      <c r="F31" s="25">
        <f t="shared" si="1"/>
        <v>0</v>
      </c>
      <c r="G31" s="25"/>
    </row>
    <row r="32">
      <c r="A32" s="25"/>
      <c r="B32" s="25"/>
      <c r="C32" s="25"/>
      <c r="D32" s="25"/>
      <c r="E32" s="25"/>
      <c r="F32" s="25">
        <f t="shared" si="1"/>
        <v>0</v>
      </c>
      <c r="G32" s="25"/>
    </row>
    <row r="33">
      <c r="A33" s="25"/>
      <c r="B33" s="25"/>
      <c r="C33" s="25"/>
      <c r="D33" s="25"/>
      <c r="E33" s="25"/>
      <c r="F33" s="25">
        <f t="shared" si="1"/>
        <v>0</v>
      </c>
      <c r="G33" s="25"/>
    </row>
    <row r="34">
      <c r="A34" s="25"/>
      <c r="B34" s="25"/>
      <c r="C34" s="25"/>
      <c r="D34" s="25"/>
      <c r="E34" s="25"/>
      <c r="F34" s="25">
        <f t="shared" si="1"/>
        <v>0</v>
      </c>
      <c r="G34" s="25"/>
    </row>
    <row r="35">
      <c r="A35" s="25"/>
      <c r="B35" s="25"/>
      <c r="C35" s="25"/>
      <c r="D35" s="25"/>
      <c r="E35" s="25"/>
      <c r="F35" s="25">
        <f t="shared" si="1"/>
        <v>0</v>
      </c>
      <c r="G35" s="25"/>
    </row>
    <row r="36">
      <c r="A36" s="25"/>
      <c r="B36" s="25"/>
      <c r="C36" s="25"/>
      <c r="D36" s="25"/>
      <c r="E36" s="25"/>
      <c r="F36" s="25">
        <f t="shared" si="1"/>
        <v>0</v>
      </c>
      <c r="G36" s="25"/>
    </row>
    <row r="37">
      <c r="A37" s="25"/>
      <c r="B37" s="25"/>
      <c r="C37" s="25"/>
      <c r="D37" s="25"/>
      <c r="E37" s="25"/>
      <c r="F37" s="25">
        <f t="shared" si="1"/>
        <v>0</v>
      </c>
      <c r="G37" s="25"/>
    </row>
    <row r="38">
      <c r="A38" s="25"/>
      <c r="B38" s="25"/>
      <c r="C38" s="25"/>
      <c r="D38" s="25"/>
      <c r="E38" s="25"/>
      <c r="F38" s="25">
        <f t="shared" si="1"/>
        <v>0</v>
      </c>
      <c r="G38" s="25"/>
    </row>
    <row r="39">
      <c r="A39" s="25"/>
      <c r="B39" s="25"/>
      <c r="C39" s="25"/>
      <c r="D39" s="25"/>
      <c r="E39" s="25"/>
      <c r="F39" s="25">
        <f t="shared" si="1"/>
        <v>0</v>
      </c>
      <c r="G39" s="25"/>
    </row>
    <row r="40">
      <c r="A40" s="25"/>
      <c r="B40" s="25"/>
      <c r="C40" s="25"/>
      <c r="D40" s="25"/>
      <c r="E40" s="25"/>
      <c r="F40" s="25">
        <f t="shared" si="1"/>
        <v>0</v>
      </c>
      <c r="G40" s="25"/>
    </row>
    <row r="41">
      <c r="A41" s="25"/>
      <c r="B41" s="25"/>
      <c r="C41" s="25"/>
      <c r="D41" s="25"/>
      <c r="E41" s="25"/>
      <c r="F41" s="25">
        <f t="shared" si="1"/>
        <v>0</v>
      </c>
      <c r="G41" s="25"/>
    </row>
    <row r="42">
      <c r="A42" s="25"/>
      <c r="B42" s="25"/>
      <c r="C42" s="25"/>
      <c r="D42" s="25"/>
      <c r="E42" s="25"/>
      <c r="F42" s="25">
        <f t="shared" si="1"/>
        <v>0</v>
      </c>
      <c r="G42" s="25"/>
    </row>
    <row r="43">
      <c r="A43" s="25"/>
      <c r="B43" s="25"/>
      <c r="C43" s="25"/>
      <c r="D43" s="25"/>
      <c r="E43" s="25"/>
      <c r="F43" s="25">
        <f t="shared" si="1"/>
        <v>0</v>
      </c>
      <c r="G43" s="25"/>
    </row>
    <row r="44">
      <c r="A44" s="25"/>
      <c r="B44" s="25"/>
      <c r="C44" s="25"/>
      <c r="D44" s="25"/>
      <c r="E44" s="25"/>
      <c r="F44" s="25">
        <f t="shared" si="1"/>
        <v>0</v>
      </c>
      <c r="G44" s="25"/>
    </row>
    <row r="45">
      <c r="A45" s="25"/>
      <c r="B45" s="25"/>
      <c r="C45" s="25"/>
      <c r="D45" s="25"/>
      <c r="E45" s="25"/>
      <c r="F45" s="25">
        <f t="shared" si="1"/>
        <v>0</v>
      </c>
      <c r="G45" s="25"/>
    </row>
    <row r="46">
      <c r="A46" s="25"/>
      <c r="B46" s="25"/>
      <c r="C46" s="25"/>
      <c r="D46" s="25"/>
      <c r="E46" s="25"/>
      <c r="F46" s="25">
        <f t="shared" si="1"/>
        <v>0</v>
      </c>
      <c r="G46" s="25"/>
    </row>
    <row r="47">
      <c r="A47" s="25"/>
      <c r="B47" s="25"/>
      <c r="C47" s="25"/>
      <c r="D47" s="25"/>
      <c r="E47" s="25"/>
      <c r="F47" s="25">
        <f t="shared" si="1"/>
        <v>0</v>
      </c>
      <c r="G47" s="25"/>
    </row>
    <row r="48">
      <c r="A48" s="25"/>
      <c r="B48" s="25"/>
      <c r="C48" s="25"/>
      <c r="D48" s="25"/>
      <c r="E48" s="25"/>
      <c r="F48" s="25">
        <f t="shared" si="1"/>
        <v>0</v>
      </c>
      <c r="G48" s="25"/>
    </row>
    <row r="49">
      <c r="A49" s="25"/>
      <c r="B49" s="25"/>
      <c r="C49" s="25"/>
      <c r="D49" s="25"/>
      <c r="E49" s="25"/>
      <c r="F49" s="25">
        <f t="shared" si="1"/>
        <v>0</v>
      </c>
      <c r="G49" s="25"/>
    </row>
    <row r="50">
      <c r="A50" s="25"/>
      <c r="B50" s="25"/>
      <c r="C50" s="25"/>
      <c r="D50" s="25"/>
      <c r="E50" s="25"/>
      <c r="F50" s="25">
        <f t="shared" si="1"/>
        <v>0</v>
      </c>
      <c r="G50" s="25"/>
    </row>
    <row r="51">
      <c r="A51" s="25"/>
      <c r="B51" s="25"/>
      <c r="C51" s="25"/>
      <c r="D51" s="25"/>
      <c r="E51" s="25"/>
      <c r="F51" s="25">
        <f t="shared" si="1"/>
        <v>0</v>
      </c>
      <c r="G51" s="25"/>
    </row>
    <row r="52">
      <c r="A52" s="25"/>
      <c r="B52" s="25"/>
      <c r="C52" s="25"/>
      <c r="D52" s="25"/>
      <c r="E52" s="25"/>
      <c r="F52" s="25">
        <f t="shared" si="1"/>
        <v>0</v>
      </c>
      <c r="G52" s="25"/>
    </row>
    <row r="53">
      <c r="A53" s="25"/>
      <c r="B53" s="25"/>
      <c r="C53" s="25"/>
      <c r="D53" s="25"/>
      <c r="E53" s="25"/>
      <c r="F53" s="25">
        <f t="shared" si="1"/>
        <v>0</v>
      </c>
      <c r="G53" s="25"/>
    </row>
    <row r="54">
      <c r="A54" s="25"/>
      <c r="B54" s="25"/>
      <c r="C54" s="25"/>
      <c r="D54" s="25"/>
      <c r="E54" s="25"/>
      <c r="F54" s="25">
        <f t="shared" si="1"/>
        <v>0</v>
      </c>
      <c r="G54" s="25"/>
    </row>
    <row r="55">
      <c r="A55" s="25"/>
      <c r="B55" s="25"/>
      <c r="C55" s="25"/>
      <c r="D55" s="25"/>
      <c r="E55" s="25"/>
      <c r="F55" s="25">
        <f t="shared" si="1"/>
        <v>0</v>
      </c>
      <c r="G55" s="25"/>
    </row>
    <row r="56">
      <c r="A56" s="25"/>
      <c r="B56" s="25"/>
      <c r="C56" s="25"/>
      <c r="D56" s="25"/>
      <c r="E56" s="25"/>
      <c r="F56" s="25">
        <f t="shared" si="1"/>
        <v>0</v>
      </c>
      <c r="G56" s="25"/>
    </row>
    <row r="57">
      <c r="A57" s="25"/>
      <c r="B57" s="25"/>
      <c r="C57" s="25"/>
      <c r="D57" s="25"/>
      <c r="E57" s="25"/>
      <c r="F57" s="25">
        <f t="shared" si="1"/>
        <v>0</v>
      </c>
      <c r="G57" s="25"/>
    </row>
    <row r="58">
      <c r="A58" s="25"/>
      <c r="B58" s="25"/>
      <c r="C58" s="25"/>
      <c r="D58" s="25"/>
      <c r="E58" s="25"/>
      <c r="F58" s="25">
        <f t="shared" si="1"/>
        <v>0</v>
      </c>
      <c r="G58" s="25"/>
    </row>
    <row r="59">
      <c r="A59" s="25"/>
      <c r="B59" s="25"/>
      <c r="C59" s="25"/>
      <c r="D59" s="25"/>
      <c r="E59" s="25"/>
      <c r="F59" s="25">
        <f t="shared" si="1"/>
        <v>0</v>
      </c>
      <c r="G59" s="25"/>
    </row>
    <row r="60">
      <c r="A60" s="25"/>
      <c r="B60" s="25"/>
      <c r="C60" s="25"/>
      <c r="D60" s="25"/>
      <c r="E60" s="25"/>
      <c r="F60" s="25">
        <f t="shared" si="1"/>
        <v>0</v>
      </c>
      <c r="G60" s="25"/>
    </row>
    <row r="61">
      <c r="A61" s="25"/>
      <c r="B61" s="25"/>
      <c r="C61" s="25"/>
      <c r="D61" s="25"/>
      <c r="E61" s="25"/>
      <c r="F61" s="25">
        <f t="shared" si="1"/>
        <v>0</v>
      </c>
      <c r="G61" s="25"/>
    </row>
    <row r="62">
      <c r="A62" s="25"/>
      <c r="B62" s="25"/>
      <c r="C62" s="25"/>
      <c r="D62" s="25"/>
      <c r="E62" s="25"/>
      <c r="F62" s="25">
        <f t="shared" si="1"/>
        <v>0</v>
      </c>
      <c r="G62" s="25"/>
    </row>
    <row r="63">
      <c r="A63" s="25"/>
      <c r="B63" s="25"/>
      <c r="C63" s="25"/>
      <c r="D63" s="25"/>
      <c r="E63" s="25"/>
      <c r="F63" s="25">
        <f t="shared" si="1"/>
        <v>0</v>
      </c>
      <c r="G63" s="25"/>
    </row>
    <row r="64">
      <c r="A64" s="25"/>
      <c r="B64" s="25"/>
      <c r="C64" s="25"/>
      <c r="D64" s="25"/>
      <c r="E64" s="25"/>
      <c r="F64" s="25">
        <f t="shared" si="1"/>
        <v>0</v>
      </c>
      <c r="G64" s="25"/>
    </row>
    <row r="65">
      <c r="A65" s="25"/>
      <c r="B65" s="25"/>
      <c r="C65" s="25"/>
      <c r="D65" s="25"/>
      <c r="E65" s="25"/>
      <c r="F65" s="25">
        <f t="shared" si="1"/>
        <v>0</v>
      </c>
      <c r="G65" s="2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5" width="8.63"/>
    <col customWidth="1" min="6" max="6" width="4.88"/>
    <col customWidth="1" min="7" max="7" width="8.63"/>
    <col customWidth="1" min="8" max="8" width="60.25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18" t="s">
        <v>1039</v>
      </c>
    </row>
    <row r="2">
      <c r="A2" s="40"/>
      <c r="B2" s="40" t="s">
        <v>1</v>
      </c>
      <c r="C2" s="38">
        <v>19.5</v>
      </c>
      <c r="D2" s="38">
        <v>12.0</v>
      </c>
      <c r="E2" s="38">
        <v>5.0</v>
      </c>
      <c r="F2" s="25">
        <f t="shared" ref="F2:F65" si="1">SUM(C2:E2)</f>
        <v>36.5</v>
      </c>
      <c r="G2" s="20" t="s">
        <v>55</v>
      </c>
    </row>
    <row r="3">
      <c r="A3" s="40" t="s">
        <v>1287</v>
      </c>
      <c r="B3" s="40" t="s">
        <v>5</v>
      </c>
      <c r="C3" s="5">
        <v>20.0</v>
      </c>
      <c r="D3" s="5">
        <v>15.0</v>
      </c>
      <c r="E3" s="5">
        <v>9.0</v>
      </c>
      <c r="F3" s="25">
        <f t="shared" si="1"/>
        <v>44</v>
      </c>
      <c r="G3" s="20" t="s">
        <v>25</v>
      </c>
      <c r="H3" s="2" t="s">
        <v>1072</v>
      </c>
    </row>
    <row r="4">
      <c r="A4" s="40" t="s">
        <v>1287</v>
      </c>
      <c r="B4" s="40" t="s">
        <v>9</v>
      </c>
      <c r="C4" s="5">
        <v>24.0</v>
      </c>
      <c r="D4" s="5">
        <v>15.0</v>
      </c>
      <c r="E4" s="5">
        <v>8.0</v>
      </c>
      <c r="F4" s="25">
        <f t="shared" si="1"/>
        <v>47</v>
      </c>
      <c r="G4" s="20" t="s">
        <v>25</v>
      </c>
      <c r="H4" s="2" t="s">
        <v>1072</v>
      </c>
    </row>
    <row r="5">
      <c r="A5" s="40" t="s">
        <v>1287</v>
      </c>
      <c r="B5" s="40" t="s">
        <v>12</v>
      </c>
      <c r="C5" s="38">
        <v>20.0</v>
      </c>
      <c r="D5" s="38">
        <v>13.0</v>
      </c>
      <c r="E5" s="38">
        <v>12.0</v>
      </c>
      <c r="F5" s="25">
        <f t="shared" si="1"/>
        <v>45</v>
      </c>
      <c r="G5" s="25"/>
    </row>
    <row r="6">
      <c r="A6" s="40" t="s">
        <v>1287</v>
      </c>
      <c r="B6" s="38">
        <v>1224110.0</v>
      </c>
      <c r="C6" s="5">
        <v>0.0</v>
      </c>
      <c r="D6" s="5">
        <v>0.0</v>
      </c>
      <c r="E6" s="5">
        <v>0.0</v>
      </c>
      <c r="F6" s="25">
        <f t="shared" si="1"/>
        <v>0</v>
      </c>
      <c r="G6" s="25"/>
    </row>
    <row r="7">
      <c r="A7" s="23" t="s">
        <v>1288</v>
      </c>
      <c r="B7" s="23" t="s">
        <v>1289</v>
      </c>
      <c r="C7" s="27">
        <v>20.0</v>
      </c>
      <c r="D7" s="27">
        <v>12.0</v>
      </c>
      <c r="E7" s="27">
        <v>5.0</v>
      </c>
      <c r="F7" s="25">
        <f t="shared" si="1"/>
        <v>37</v>
      </c>
      <c r="G7" s="20" t="s">
        <v>55</v>
      </c>
    </row>
    <row r="8">
      <c r="A8" s="25"/>
      <c r="B8" s="25"/>
      <c r="C8" s="25"/>
      <c r="D8" s="25"/>
      <c r="E8" s="25"/>
      <c r="F8" s="25">
        <f t="shared" si="1"/>
        <v>0</v>
      </c>
      <c r="G8" s="25"/>
    </row>
    <row r="9">
      <c r="A9" s="25"/>
      <c r="B9" s="25"/>
      <c r="C9" s="25"/>
      <c r="D9" s="25"/>
      <c r="E9" s="25"/>
      <c r="F9" s="25">
        <f t="shared" si="1"/>
        <v>0</v>
      </c>
      <c r="G9" s="25"/>
    </row>
    <row r="10">
      <c r="A10" s="25"/>
      <c r="B10" s="25"/>
      <c r="C10" s="25"/>
      <c r="D10" s="25"/>
      <c r="E10" s="25"/>
      <c r="F10" s="25">
        <f t="shared" si="1"/>
        <v>0</v>
      </c>
      <c r="G10" s="25"/>
    </row>
    <row r="11">
      <c r="A11" s="25"/>
      <c r="B11" s="25"/>
      <c r="C11" s="25"/>
      <c r="D11" s="25"/>
      <c r="E11" s="25"/>
      <c r="F11" s="25">
        <f t="shared" si="1"/>
        <v>0</v>
      </c>
      <c r="G11" s="25"/>
    </row>
    <row r="12">
      <c r="A12" s="25"/>
      <c r="B12" s="25"/>
      <c r="C12" s="25"/>
      <c r="D12" s="25"/>
      <c r="E12" s="25"/>
      <c r="F12" s="25">
        <f t="shared" si="1"/>
        <v>0</v>
      </c>
      <c r="G12" s="25"/>
    </row>
    <row r="13">
      <c r="A13" s="25"/>
      <c r="B13" s="25"/>
      <c r="C13" s="25"/>
      <c r="D13" s="25"/>
      <c r="E13" s="25"/>
      <c r="F13" s="25">
        <f t="shared" si="1"/>
        <v>0</v>
      </c>
      <c r="G13" s="25"/>
    </row>
    <row r="14">
      <c r="A14" s="25"/>
      <c r="B14" s="25"/>
      <c r="C14" s="25"/>
      <c r="D14" s="25"/>
      <c r="E14" s="25"/>
      <c r="F14" s="25">
        <f t="shared" si="1"/>
        <v>0</v>
      </c>
      <c r="G14" s="25"/>
    </row>
    <row r="15">
      <c r="A15" s="25"/>
      <c r="B15" s="25"/>
      <c r="C15" s="25"/>
      <c r="D15" s="25"/>
      <c r="E15" s="25"/>
      <c r="F15" s="25">
        <f t="shared" si="1"/>
        <v>0</v>
      </c>
      <c r="G15" s="25"/>
    </row>
    <row r="16">
      <c r="A16" s="25"/>
      <c r="B16" s="25"/>
      <c r="C16" s="25"/>
      <c r="D16" s="25"/>
      <c r="E16" s="25"/>
      <c r="F16" s="25">
        <f t="shared" si="1"/>
        <v>0</v>
      </c>
      <c r="G16" s="25"/>
    </row>
    <row r="17">
      <c r="A17" s="25"/>
      <c r="B17" s="25"/>
      <c r="C17" s="25"/>
      <c r="D17" s="25"/>
      <c r="E17" s="25"/>
      <c r="F17" s="25">
        <f t="shared" si="1"/>
        <v>0</v>
      </c>
      <c r="G17" s="25"/>
    </row>
    <row r="18">
      <c r="A18" s="25"/>
      <c r="B18" s="25"/>
      <c r="C18" s="25"/>
      <c r="D18" s="25"/>
      <c r="E18" s="25"/>
      <c r="F18" s="25">
        <f t="shared" si="1"/>
        <v>0</v>
      </c>
      <c r="G18" s="25"/>
    </row>
    <row r="19">
      <c r="A19" s="25"/>
      <c r="B19" s="25"/>
      <c r="C19" s="25"/>
      <c r="D19" s="25"/>
      <c r="E19" s="25"/>
      <c r="F19" s="25">
        <f t="shared" si="1"/>
        <v>0</v>
      </c>
      <c r="G19" s="25"/>
    </row>
    <row r="20">
      <c r="A20" s="25"/>
      <c r="B20" s="25"/>
      <c r="C20" s="25"/>
      <c r="D20" s="25"/>
      <c r="E20" s="25"/>
      <c r="F20" s="25">
        <f t="shared" si="1"/>
        <v>0</v>
      </c>
      <c r="G20" s="25"/>
    </row>
    <row r="21">
      <c r="A21" s="25"/>
      <c r="B21" s="25"/>
      <c r="C21" s="25"/>
      <c r="D21" s="25"/>
      <c r="E21" s="25"/>
      <c r="F21" s="25">
        <f t="shared" si="1"/>
        <v>0</v>
      </c>
      <c r="G21" s="25"/>
    </row>
    <row r="22">
      <c r="A22" s="25"/>
      <c r="B22" s="25"/>
      <c r="C22" s="25"/>
      <c r="D22" s="25"/>
      <c r="E22" s="25"/>
      <c r="F22" s="25">
        <f t="shared" si="1"/>
        <v>0</v>
      </c>
      <c r="G22" s="25"/>
    </row>
    <row r="23">
      <c r="A23" s="25"/>
      <c r="B23" s="25"/>
      <c r="C23" s="25"/>
      <c r="D23" s="25"/>
      <c r="E23" s="25"/>
      <c r="F23" s="25">
        <f t="shared" si="1"/>
        <v>0</v>
      </c>
      <c r="G23" s="25"/>
    </row>
    <row r="24">
      <c r="A24" s="25"/>
      <c r="B24" s="25"/>
      <c r="C24" s="25"/>
      <c r="D24" s="25"/>
      <c r="E24" s="25"/>
      <c r="F24" s="25">
        <f t="shared" si="1"/>
        <v>0</v>
      </c>
      <c r="G24" s="25"/>
    </row>
    <row r="25">
      <c r="A25" s="25"/>
      <c r="B25" s="25"/>
      <c r="C25" s="25"/>
      <c r="D25" s="25"/>
      <c r="E25" s="25"/>
      <c r="F25" s="25">
        <f t="shared" si="1"/>
        <v>0</v>
      </c>
      <c r="G25" s="25"/>
    </row>
    <row r="26">
      <c r="A26" s="25"/>
      <c r="B26" s="25"/>
      <c r="C26" s="25"/>
      <c r="D26" s="25"/>
      <c r="E26" s="25"/>
      <c r="F26" s="25">
        <f t="shared" si="1"/>
        <v>0</v>
      </c>
      <c r="G26" s="25"/>
    </row>
    <row r="27">
      <c r="A27" s="25"/>
      <c r="B27" s="25"/>
      <c r="C27" s="25"/>
      <c r="D27" s="25"/>
      <c r="E27" s="25"/>
      <c r="F27" s="25">
        <f t="shared" si="1"/>
        <v>0</v>
      </c>
      <c r="G27" s="25"/>
    </row>
    <row r="28">
      <c r="A28" s="25"/>
      <c r="B28" s="25"/>
      <c r="C28" s="25"/>
      <c r="D28" s="25"/>
      <c r="E28" s="25"/>
      <c r="F28" s="25">
        <f t="shared" si="1"/>
        <v>0</v>
      </c>
      <c r="G28" s="25"/>
    </row>
    <row r="29">
      <c r="A29" s="25"/>
      <c r="B29" s="25"/>
      <c r="C29" s="25"/>
      <c r="D29" s="25"/>
      <c r="E29" s="25"/>
      <c r="F29" s="25">
        <f t="shared" si="1"/>
        <v>0</v>
      </c>
      <c r="G29" s="25"/>
    </row>
    <row r="30">
      <c r="A30" s="25"/>
      <c r="B30" s="25"/>
      <c r="C30" s="25"/>
      <c r="D30" s="25"/>
      <c r="E30" s="25"/>
      <c r="F30" s="25">
        <f t="shared" si="1"/>
        <v>0</v>
      </c>
      <c r="G30" s="25"/>
    </row>
    <row r="31">
      <c r="A31" s="25"/>
      <c r="B31" s="25"/>
      <c r="C31" s="25"/>
      <c r="D31" s="25"/>
      <c r="E31" s="25"/>
      <c r="F31" s="25">
        <f t="shared" si="1"/>
        <v>0</v>
      </c>
      <c r="G31" s="25"/>
    </row>
    <row r="32">
      <c r="A32" s="25"/>
      <c r="B32" s="25"/>
      <c r="C32" s="25"/>
      <c r="D32" s="25"/>
      <c r="E32" s="25"/>
      <c r="F32" s="25">
        <f t="shared" si="1"/>
        <v>0</v>
      </c>
      <c r="G32" s="25"/>
    </row>
    <row r="33">
      <c r="A33" s="25"/>
      <c r="B33" s="25"/>
      <c r="C33" s="25"/>
      <c r="D33" s="25"/>
      <c r="E33" s="25"/>
      <c r="F33" s="25">
        <f t="shared" si="1"/>
        <v>0</v>
      </c>
      <c r="G33" s="25"/>
    </row>
    <row r="34">
      <c r="A34" s="25"/>
      <c r="B34" s="25"/>
      <c r="C34" s="25"/>
      <c r="D34" s="25"/>
      <c r="E34" s="25"/>
      <c r="F34" s="25">
        <f t="shared" si="1"/>
        <v>0</v>
      </c>
      <c r="G34" s="25"/>
    </row>
    <row r="35">
      <c r="A35" s="25"/>
      <c r="B35" s="25"/>
      <c r="C35" s="25"/>
      <c r="D35" s="25"/>
      <c r="E35" s="25"/>
      <c r="F35" s="25">
        <f t="shared" si="1"/>
        <v>0</v>
      </c>
      <c r="G35" s="25"/>
    </row>
    <row r="36">
      <c r="A36" s="25"/>
      <c r="B36" s="25"/>
      <c r="C36" s="25"/>
      <c r="D36" s="25"/>
      <c r="E36" s="25"/>
      <c r="F36" s="25">
        <f t="shared" si="1"/>
        <v>0</v>
      </c>
      <c r="G36" s="25"/>
    </row>
    <row r="37">
      <c r="A37" s="25"/>
      <c r="B37" s="25"/>
      <c r="C37" s="25"/>
      <c r="D37" s="25"/>
      <c r="E37" s="25"/>
      <c r="F37" s="25">
        <f t="shared" si="1"/>
        <v>0</v>
      </c>
      <c r="G37" s="25"/>
    </row>
    <row r="38">
      <c r="A38" s="25"/>
      <c r="B38" s="25"/>
      <c r="C38" s="25"/>
      <c r="D38" s="25"/>
      <c r="E38" s="25"/>
      <c r="F38" s="25">
        <f t="shared" si="1"/>
        <v>0</v>
      </c>
      <c r="G38" s="25"/>
    </row>
    <row r="39">
      <c r="A39" s="25"/>
      <c r="B39" s="25"/>
      <c r="C39" s="25"/>
      <c r="D39" s="25"/>
      <c r="E39" s="25"/>
      <c r="F39" s="25">
        <f t="shared" si="1"/>
        <v>0</v>
      </c>
      <c r="G39" s="25"/>
    </row>
    <row r="40">
      <c r="A40" s="25"/>
      <c r="B40" s="25"/>
      <c r="C40" s="25"/>
      <c r="D40" s="25"/>
      <c r="E40" s="25"/>
      <c r="F40" s="25">
        <f t="shared" si="1"/>
        <v>0</v>
      </c>
      <c r="G40" s="25"/>
    </row>
    <row r="41">
      <c r="A41" s="25"/>
      <c r="B41" s="25"/>
      <c r="C41" s="25"/>
      <c r="D41" s="25"/>
      <c r="E41" s="25"/>
      <c r="F41" s="25">
        <f t="shared" si="1"/>
        <v>0</v>
      </c>
      <c r="G41" s="25"/>
    </row>
    <row r="42">
      <c r="A42" s="25"/>
      <c r="B42" s="25"/>
      <c r="C42" s="25"/>
      <c r="D42" s="25"/>
      <c r="E42" s="25"/>
      <c r="F42" s="25">
        <f t="shared" si="1"/>
        <v>0</v>
      </c>
      <c r="G42" s="25"/>
    </row>
    <row r="43">
      <c r="A43" s="25"/>
      <c r="B43" s="25"/>
      <c r="C43" s="25"/>
      <c r="D43" s="25"/>
      <c r="E43" s="25"/>
      <c r="F43" s="25">
        <f t="shared" si="1"/>
        <v>0</v>
      </c>
      <c r="G43" s="25"/>
    </row>
    <row r="44">
      <c r="A44" s="25"/>
      <c r="B44" s="25"/>
      <c r="C44" s="25"/>
      <c r="D44" s="25"/>
      <c r="E44" s="25"/>
      <c r="F44" s="25">
        <f t="shared" si="1"/>
        <v>0</v>
      </c>
      <c r="G44" s="25"/>
    </row>
    <row r="45">
      <c r="A45" s="25"/>
      <c r="B45" s="25"/>
      <c r="C45" s="25"/>
      <c r="D45" s="25"/>
      <c r="E45" s="25"/>
      <c r="F45" s="25">
        <f t="shared" si="1"/>
        <v>0</v>
      </c>
      <c r="G45" s="25"/>
    </row>
    <row r="46">
      <c r="A46" s="25"/>
      <c r="B46" s="25"/>
      <c r="C46" s="25"/>
      <c r="D46" s="25"/>
      <c r="E46" s="25"/>
      <c r="F46" s="25">
        <f t="shared" si="1"/>
        <v>0</v>
      </c>
      <c r="G46" s="25"/>
    </row>
    <row r="47">
      <c r="A47" s="25"/>
      <c r="B47" s="25"/>
      <c r="C47" s="25"/>
      <c r="D47" s="25"/>
      <c r="E47" s="25"/>
      <c r="F47" s="25">
        <f t="shared" si="1"/>
        <v>0</v>
      </c>
      <c r="G47" s="25"/>
    </row>
    <row r="48">
      <c r="A48" s="25"/>
      <c r="B48" s="25"/>
      <c r="C48" s="25"/>
      <c r="D48" s="25"/>
      <c r="E48" s="25"/>
      <c r="F48" s="25">
        <f t="shared" si="1"/>
        <v>0</v>
      </c>
      <c r="G48" s="25"/>
    </row>
    <row r="49">
      <c r="A49" s="25"/>
      <c r="B49" s="25"/>
      <c r="C49" s="25"/>
      <c r="D49" s="25"/>
      <c r="E49" s="25"/>
      <c r="F49" s="25">
        <f t="shared" si="1"/>
        <v>0</v>
      </c>
      <c r="G49" s="25"/>
    </row>
    <row r="50">
      <c r="A50" s="25"/>
      <c r="B50" s="25"/>
      <c r="C50" s="25"/>
      <c r="D50" s="25"/>
      <c r="E50" s="25"/>
      <c r="F50" s="25">
        <f t="shared" si="1"/>
        <v>0</v>
      </c>
      <c r="G50" s="25"/>
    </row>
    <row r="51">
      <c r="A51" s="25"/>
      <c r="B51" s="25"/>
      <c r="C51" s="25"/>
      <c r="D51" s="25"/>
      <c r="E51" s="25"/>
      <c r="F51" s="25">
        <f t="shared" si="1"/>
        <v>0</v>
      </c>
      <c r="G51" s="25"/>
    </row>
    <row r="52">
      <c r="A52" s="25"/>
      <c r="B52" s="25"/>
      <c r="C52" s="25"/>
      <c r="D52" s="25"/>
      <c r="E52" s="25"/>
      <c r="F52" s="25">
        <f t="shared" si="1"/>
        <v>0</v>
      </c>
      <c r="G52" s="25"/>
    </row>
    <row r="53">
      <c r="A53" s="25"/>
      <c r="B53" s="25"/>
      <c r="C53" s="25"/>
      <c r="D53" s="25"/>
      <c r="E53" s="25"/>
      <c r="F53" s="25">
        <f t="shared" si="1"/>
        <v>0</v>
      </c>
      <c r="G53" s="25"/>
    </row>
    <row r="54">
      <c r="A54" s="25"/>
      <c r="B54" s="25"/>
      <c r="C54" s="25"/>
      <c r="D54" s="25"/>
      <c r="E54" s="25"/>
      <c r="F54" s="25">
        <f t="shared" si="1"/>
        <v>0</v>
      </c>
      <c r="G54" s="25"/>
    </row>
    <row r="55">
      <c r="A55" s="25"/>
      <c r="B55" s="25"/>
      <c r="C55" s="25"/>
      <c r="D55" s="25"/>
      <c r="E55" s="25"/>
      <c r="F55" s="25">
        <f t="shared" si="1"/>
        <v>0</v>
      </c>
      <c r="G55" s="25"/>
    </row>
    <row r="56">
      <c r="A56" s="25"/>
      <c r="B56" s="25"/>
      <c r="C56" s="25"/>
      <c r="D56" s="25"/>
      <c r="E56" s="25"/>
      <c r="F56" s="25">
        <f t="shared" si="1"/>
        <v>0</v>
      </c>
      <c r="G56" s="25"/>
    </row>
    <row r="57">
      <c r="A57" s="25"/>
      <c r="B57" s="25"/>
      <c r="C57" s="25"/>
      <c r="D57" s="25"/>
      <c r="E57" s="25"/>
      <c r="F57" s="25">
        <f t="shared" si="1"/>
        <v>0</v>
      </c>
      <c r="G57" s="25"/>
    </row>
    <row r="58">
      <c r="A58" s="25"/>
      <c r="B58" s="25"/>
      <c r="C58" s="25"/>
      <c r="D58" s="25"/>
      <c r="E58" s="25"/>
      <c r="F58" s="25">
        <f t="shared" si="1"/>
        <v>0</v>
      </c>
      <c r="G58" s="25"/>
    </row>
    <row r="59">
      <c r="A59" s="25"/>
      <c r="B59" s="25"/>
      <c r="C59" s="25"/>
      <c r="D59" s="25"/>
      <c r="E59" s="25"/>
      <c r="F59" s="25">
        <f t="shared" si="1"/>
        <v>0</v>
      </c>
      <c r="G59" s="25"/>
    </row>
    <row r="60">
      <c r="A60" s="25"/>
      <c r="B60" s="25"/>
      <c r="C60" s="25"/>
      <c r="D60" s="25"/>
      <c r="E60" s="25"/>
      <c r="F60" s="25">
        <f t="shared" si="1"/>
        <v>0</v>
      </c>
      <c r="G60" s="25"/>
    </row>
    <row r="61">
      <c r="A61" s="25"/>
      <c r="B61" s="25"/>
      <c r="C61" s="25"/>
      <c r="D61" s="25"/>
      <c r="E61" s="25"/>
      <c r="F61" s="25">
        <f t="shared" si="1"/>
        <v>0</v>
      </c>
      <c r="G61" s="25"/>
    </row>
    <row r="62">
      <c r="A62" s="25"/>
      <c r="B62" s="25"/>
      <c r="C62" s="25"/>
      <c r="D62" s="25"/>
      <c r="E62" s="25"/>
      <c r="F62" s="25">
        <f t="shared" si="1"/>
        <v>0</v>
      </c>
      <c r="G62" s="25"/>
    </row>
    <row r="63">
      <c r="A63" s="25"/>
      <c r="B63" s="25"/>
      <c r="C63" s="25"/>
      <c r="D63" s="25"/>
      <c r="E63" s="25"/>
      <c r="F63" s="25">
        <f t="shared" si="1"/>
        <v>0</v>
      </c>
      <c r="G63" s="25"/>
    </row>
    <row r="64">
      <c r="A64" s="25"/>
      <c r="B64" s="25"/>
      <c r="C64" s="25"/>
      <c r="D64" s="25"/>
      <c r="E64" s="25"/>
      <c r="F64" s="25">
        <f t="shared" si="1"/>
        <v>0</v>
      </c>
      <c r="G64" s="25"/>
    </row>
    <row r="65">
      <c r="A65" s="25"/>
      <c r="B65" s="25"/>
      <c r="C65" s="25"/>
      <c r="D65" s="25"/>
      <c r="E65" s="25"/>
      <c r="F65" s="25">
        <f t="shared" si="1"/>
        <v>0</v>
      </c>
      <c r="G65" s="2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3.13"/>
  </cols>
  <sheetData>
    <row r="1">
      <c r="A1" s="22" t="s">
        <v>1033</v>
      </c>
      <c r="B1" s="22" t="s">
        <v>962</v>
      </c>
      <c r="C1" s="22" t="s">
        <v>1034</v>
      </c>
      <c r="D1" s="22" t="s">
        <v>1035</v>
      </c>
      <c r="E1" s="22" t="s">
        <v>1036</v>
      </c>
      <c r="F1" s="22" t="s">
        <v>1037</v>
      </c>
      <c r="G1" s="22" t="s">
        <v>1038</v>
      </c>
      <c r="H1" s="18" t="s">
        <v>1039</v>
      </c>
    </row>
    <row r="2">
      <c r="A2" s="23" t="s">
        <v>1290</v>
      </c>
      <c r="B2" s="23" t="s">
        <v>875</v>
      </c>
      <c r="C2" s="20">
        <v>23.0</v>
      </c>
      <c r="D2" s="20">
        <v>13.0</v>
      </c>
      <c r="E2" s="20">
        <v>12.0</v>
      </c>
      <c r="F2" s="25">
        <f t="shared" ref="F2:F65" si="1">SUM(C2:E2)</f>
        <v>48</v>
      </c>
      <c r="G2" s="20" t="s">
        <v>55</v>
      </c>
    </row>
    <row r="3">
      <c r="A3" s="23" t="s">
        <v>1291</v>
      </c>
      <c r="B3" s="23" t="s">
        <v>878</v>
      </c>
      <c r="C3" s="20">
        <v>23.0</v>
      </c>
      <c r="D3" s="20">
        <v>15.0</v>
      </c>
      <c r="E3" s="20">
        <v>11.0</v>
      </c>
      <c r="F3" s="25">
        <f t="shared" si="1"/>
        <v>49</v>
      </c>
      <c r="G3" s="25"/>
    </row>
    <row r="4">
      <c r="A4" s="23" t="s">
        <v>1292</v>
      </c>
      <c r="B4" s="23" t="s">
        <v>881</v>
      </c>
      <c r="C4" s="20">
        <v>23.0</v>
      </c>
      <c r="D4" s="20">
        <v>13.0</v>
      </c>
      <c r="E4" s="20">
        <v>9.0</v>
      </c>
      <c r="F4" s="25">
        <f t="shared" si="1"/>
        <v>45</v>
      </c>
      <c r="G4" s="25"/>
    </row>
    <row r="5">
      <c r="A5" s="23" t="s">
        <v>1293</v>
      </c>
      <c r="B5" s="23" t="s">
        <v>884</v>
      </c>
      <c r="C5" s="20">
        <v>22.0</v>
      </c>
      <c r="D5" s="20">
        <v>13.0</v>
      </c>
      <c r="E5" s="20">
        <v>12.0</v>
      </c>
      <c r="F5" s="25">
        <f t="shared" si="1"/>
        <v>47</v>
      </c>
      <c r="G5" s="25"/>
    </row>
    <row r="6">
      <c r="A6" s="23" t="s">
        <v>1294</v>
      </c>
      <c r="B6" s="23" t="s">
        <v>887</v>
      </c>
      <c r="C6" s="20">
        <v>21.0</v>
      </c>
      <c r="D6" s="20">
        <v>14.0</v>
      </c>
      <c r="E6" s="20">
        <v>10.0</v>
      </c>
      <c r="F6" s="25">
        <f t="shared" si="1"/>
        <v>45</v>
      </c>
      <c r="G6" s="25"/>
    </row>
    <row r="7">
      <c r="A7" s="23" t="s">
        <v>1295</v>
      </c>
      <c r="B7" s="23" t="s">
        <v>890</v>
      </c>
      <c r="C7" s="20">
        <v>23.0</v>
      </c>
      <c r="D7" s="20">
        <v>14.0</v>
      </c>
      <c r="E7" s="20">
        <v>12.0</v>
      </c>
      <c r="F7" s="25">
        <f t="shared" si="1"/>
        <v>49</v>
      </c>
      <c r="G7" s="25"/>
    </row>
    <row r="8">
      <c r="A8" s="23" t="s">
        <v>1296</v>
      </c>
      <c r="B8" s="23" t="s">
        <v>893</v>
      </c>
      <c r="C8" s="20">
        <v>20.0</v>
      </c>
      <c r="D8" s="20">
        <v>9.0</v>
      </c>
      <c r="E8" s="20">
        <v>12.0</v>
      </c>
      <c r="F8" s="25">
        <f t="shared" si="1"/>
        <v>41</v>
      </c>
      <c r="G8" s="25"/>
    </row>
    <row r="9">
      <c r="A9" s="23" t="s">
        <v>1297</v>
      </c>
      <c r="B9" s="23" t="s">
        <v>896</v>
      </c>
      <c r="C9" s="20">
        <v>23.0</v>
      </c>
      <c r="D9" s="20">
        <v>12.0</v>
      </c>
      <c r="E9" s="20">
        <v>12.0</v>
      </c>
      <c r="F9" s="25">
        <f t="shared" si="1"/>
        <v>47</v>
      </c>
      <c r="G9" s="25"/>
    </row>
    <row r="10">
      <c r="A10" s="23" t="s">
        <v>1298</v>
      </c>
      <c r="B10" s="23" t="s">
        <v>899</v>
      </c>
      <c r="C10" s="20">
        <v>23.0</v>
      </c>
      <c r="D10" s="20">
        <v>13.0</v>
      </c>
      <c r="E10" s="20">
        <v>12.0</v>
      </c>
      <c r="F10" s="25">
        <f t="shared" si="1"/>
        <v>48</v>
      </c>
      <c r="G10" s="25"/>
    </row>
    <row r="11">
      <c r="A11" s="23" t="s">
        <v>1299</v>
      </c>
      <c r="B11" s="23" t="s">
        <v>902</v>
      </c>
      <c r="C11" s="20">
        <v>23.0</v>
      </c>
      <c r="D11" s="20">
        <v>12.0</v>
      </c>
      <c r="E11" s="20">
        <v>13.0</v>
      </c>
      <c r="F11" s="25">
        <f t="shared" si="1"/>
        <v>48</v>
      </c>
      <c r="G11" s="25"/>
    </row>
    <row r="12">
      <c r="A12" s="23" t="s">
        <v>1300</v>
      </c>
      <c r="B12" s="23" t="s">
        <v>905</v>
      </c>
      <c r="C12" s="20">
        <v>23.0</v>
      </c>
      <c r="D12" s="20">
        <v>15.0</v>
      </c>
      <c r="E12" s="20">
        <v>10.0</v>
      </c>
      <c r="F12" s="25">
        <f t="shared" si="1"/>
        <v>48</v>
      </c>
      <c r="G12" s="25"/>
    </row>
    <row r="13">
      <c r="A13" s="23" t="s">
        <v>1301</v>
      </c>
      <c r="B13" s="23" t="s">
        <v>908</v>
      </c>
      <c r="C13" s="20">
        <v>14.0</v>
      </c>
      <c r="D13" s="20">
        <v>15.0</v>
      </c>
      <c r="E13" s="20">
        <v>1.0</v>
      </c>
      <c r="F13" s="25">
        <f t="shared" si="1"/>
        <v>30</v>
      </c>
      <c r="G13" s="25"/>
    </row>
    <row r="14">
      <c r="A14" s="29" t="s">
        <v>1302</v>
      </c>
      <c r="B14" s="29" t="s">
        <v>911</v>
      </c>
      <c r="C14" s="31"/>
      <c r="D14" s="31"/>
      <c r="E14" s="31"/>
      <c r="F14" s="31">
        <f t="shared" si="1"/>
        <v>0</v>
      </c>
      <c r="G14" s="31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3" t="s">
        <v>1303</v>
      </c>
      <c r="B15" s="23" t="s">
        <v>914</v>
      </c>
      <c r="C15" s="20">
        <v>18.0</v>
      </c>
      <c r="D15" s="20">
        <v>9.0</v>
      </c>
      <c r="E15" s="20">
        <v>10.0</v>
      </c>
      <c r="F15" s="25">
        <f t="shared" si="1"/>
        <v>37</v>
      </c>
      <c r="G15" s="25"/>
    </row>
    <row r="16">
      <c r="A16" s="23" t="s">
        <v>1304</v>
      </c>
      <c r="B16" s="23" t="s">
        <v>917</v>
      </c>
      <c r="C16" s="20">
        <v>21.0</v>
      </c>
      <c r="D16" s="20">
        <v>14.0</v>
      </c>
      <c r="E16" s="20">
        <v>10.0</v>
      </c>
      <c r="F16" s="25">
        <f t="shared" si="1"/>
        <v>45</v>
      </c>
      <c r="G16" s="25"/>
    </row>
    <row r="17">
      <c r="A17" s="23" t="s">
        <v>1305</v>
      </c>
      <c r="B17" s="23" t="s">
        <v>920</v>
      </c>
      <c r="C17" s="20">
        <v>22.0</v>
      </c>
      <c r="D17" s="20">
        <v>15.0</v>
      </c>
      <c r="E17" s="20">
        <v>10.0</v>
      </c>
      <c r="F17" s="25">
        <f t="shared" si="1"/>
        <v>47</v>
      </c>
      <c r="G17" s="25"/>
    </row>
    <row r="18">
      <c r="A18" s="23" t="s">
        <v>1306</v>
      </c>
      <c r="B18" s="23" t="s">
        <v>923</v>
      </c>
      <c r="C18" s="20">
        <v>23.0</v>
      </c>
      <c r="D18" s="20">
        <v>14.0</v>
      </c>
      <c r="E18" s="20">
        <v>10.0</v>
      </c>
      <c r="F18" s="25">
        <f t="shared" si="1"/>
        <v>47</v>
      </c>
      <c r="G18" s="25"/>
    </row>
    <row r="19">
      <c r="A19" s="23" t="s">
        <v>1307</v>
      </c>
      <c r="B19" s="23" t="s">
        <v>926</v>
      </c>
      <c r="C19" s="20">
        <v>17.0</v>
      </c>
      <c r="D19" s="20">
        <v>5.0</v>
      </c>
      <c r="E19" s="20">
        <v>8.0</v>
      </c>
      <c r="F19" s="25">
        <f t="shared" si="1"/>
        <v>30</v>
      </c>
      <c r="G19" s="25"/>
    </row>
    <row r="20">
      <c r="A20" s="23" t="s">
        <v>1308</v>
      </c>
      <c r="B20" s="23" t="s">
        <v>929</v>
      </c>
      <c r="C20" s="20">
        <v>19.0</v>
      </c>
      <c r="D20" s="20">
        <v>7.0</v>
      </c>
      <c r="E20" s="20">
        <v>2.0</v>
      </c>
      <c r="F20" s="25">
        <f t="shared" si="1"/>
        <v>28</v>
      </c>
      <c r="G20" s="25"/>
    </row>
    <row r="21">
      <c r="A21" s="23" t="s">
        <v>1309</v>
      </c>
      <c r="B21" s="23" t="s">
        <v>932</v>
      </c>
      <c r="C21" s="20">
        <v>20.0</v>
      </c>
      <c r="D21" s="20">
        <v>7.0</v>
      </c>
      <c r="E21" s="20">
        <v>1.0</v>
      </c>
      <c r="F21" s="25">
        <f t="shared" si="1"/>
        <v>28</v>
      </c>
      <c r="G21" s="25"/>
    </row>
    <row r="22">
      <c r="A22" s="23" t="s">
        <v>1310</v>
      </c>
      <c r="B22" s="23" t="s">
        <v>935</v>
      </c>
      <c r="C22" s="20">
        <v>17.0</v>
      </c>
      <c r="D22" s="20">
        <v>10.0</v>
      </c>
      <c r="E22" s="20">
        <v>10.0</v>
      </c>
      <c r="F22" s="25">
        <f t="shared" si="1"/>
        <v>37</v>
      </c>
      <c r="G22" s="25"/>
    </row>
    <row r="23">
      <c r="A23" s="23" t="s">
        <v>1311</v>
      </c>
      <c r="B23" s="23" t="s">
        <v>938</v>
      </c>
      <c r="C23" s="20">
        <v>21.0</v>
      </c>
      <c r="D23" s="20">
        <v>15.0</v>
      </c>
      <c r="E23" s="20">
        <v>13.0</v>
      </c>
      <c r="F23" s="25">
        <f t="shared" si="1"/>
        <v>49</v>
      </c>
      <c r="G23" s="25"/>
    </row>
    <row r="24">
      <c r="A24" s="23" t="s">
        <v>1312</v>
      </c>
      <c r="B24" s="23" t="s">
        <v>941</v>
      </c>
      <c r="C24" s="20">
        <v>19.0</v>
      </c>
      <c r="D24" s="20">
        <v>13.0</v>
      </c>
      <c r="E24" s="20">
        <v>11.0</v>
      </c>
      <c r="F24" s="25">
        <f t="shared" si="1"/>
        <v>43</v>
      </c>
      <c r="G24" s="25"/>
    </row>
    <row r="25">
      <c r="A25" s="23" t="s">
        <v>1313</v>
      </c>
      <c r="B25" s="23" t="s">
        <v>944</v>
      </c>
      <c r="C25" s="20">
        <v>18.0</v>
      </c>
      <c r="D25" s="20">
        <v>10.0</v>
      </c>
      <c r="E25" s="20">
        <v>4.0</v>
      </c>
      <c r="F25" s="25">
        <f t="shared" si="1"/>
        <v>32</v>
      </c>
      <c r="G25" s="25"/>
    </row>
    <row r="26">
      <c r="A26" s="23" t="s">
        <v>1314</v>
      </c>
      <c r="B26" s="23" t="s">
        <v>947</v>
      </c>
      <c r="C26" s="20">
        <v>23.0</v>
      </c>
      <c r="D26" s="20">
        <v>15.0</v>
      </c>
      <c r="E26" s="20">
        <v>7.0</v>
      </c>
      <c r="F26" s="25">
        <f t="shared" si="1"/>
        <v>45</v>
      </c>
      <c r="G26" s="25"/>
    </row>
    <row r="27">
      <c r="A27" s="23" t="s">
        <v>1315</v>
      </c>
      <c r="B27" s="23" t="s">
        <v>950</v>
      </c>
      <c r="C27" s="20">
        <v>17.0</v>
      </c>
      <c r="D27" s="20">
        <v>10.0</v>
      </c>
      <c r="E27" s="20">
        <v>7.0</v>
      </c>
      <c r="F27" s="25">
        <f t="shared" si="1"/>
        <v>34</v>
      </c>
      <c r="G27" s="25"/>
    </row>
    <row r="28">
      <c r="A28" s="23" t="s">
        <v>1316</v>
      </c>
      <c r="B28" s="23" t="s">
        <v>953</v>
      </c>
      <c r="C28" s="20">
        <v>23.0</v>
      </c>
      <c r="D28" s="20">
        <v>14.0</v>
      </c>
      <c r="E28" s="20">
        <v>9.0</v>
      </c>
      <c r="F28" s="25">
        <f t="shared" si="1"/>
        <v>46</v>
      </c>
      <c r="G28" s="25"/>
    </row>
    <row r="29">
      <c r="A29" s="23" t="s">
        <v>1317</v>
      </c>
      <c r="B29" s="23" t="s">
        <v>956</v>
      </c>
      <c r="C29" s="20">
        <v>17.0</v>
      </c>
      <c r="D29" s="20">
        <v>8.0</v>
      </c>
      <c r="E29" s="20">
        <v>5.0</v>
      </c>
      <c r="F29" s="25">
        <f t="shared" si="1"/>
        <v>30</v>
      </c>
      <c r="G29" s="25"/>
    </row>
    <row r="30">
      <c r="A30" s="23" t="s">
        <v>1318</v>
      </c>
      <c r="B30" s="23" t="s">
        <v>959</v>
      </c>
      <c r="C30" s="20">
        <v>22.0</v>
      </c>
      <c r="D30" s="20">
        <v>14.0</v>
      </c>
      <c r="E30" s="20">
        <v>13.0</v>
      </c>
      <c r="F30" s="25">
        <f t="shared" si="1"/>
        <v>49</v>
      </c>
      <c r="G30" s="25"/>
    </row>
    <row r="31">
      <c r="A31" s="25"/>
      <c r="B31" s="25"/>
      <c r="C31" s="25"/>
      <c r="D31" s="25"/>
      <c r="E31" s="25"/>
      <c r="F31" s="25">
        <f t="shared" si="1"/>
        <v>0</v>
      </c>
      <c r="G31" s="25"/>
    </row>
    <row r="32">
      <c r="A32" s="25"/>
      <c r="B32" s="25"/>
      <c r="C32" s="25"/>
      <c r="D32" s="25"/>
      <c r="E32" s="25"/>
      <c r="F32" s="25">
        <f t="shared" si="1"/>
        <v>0</v>
      </c>
      <c r="G32" s="25"/>
    </row>
    <row r="33">
      <c r="A33" s="25"/>
      <c r="B33" s="25"/>
      <c r="C33" s="25"/>
      <c r="D33" s="25"/>
      <c r="E33" s="25"/>
      <c r="F33" s="25">
        <f t="shared" si="1"/>
        <v>0</v>
      </c>
      <c r="G33" s="25"/>
    </row>
    <row r="34">
      <c r="A34" s="25"/>
      <c r="B34" s="25"/>
      <c r="C34" s="25"/>
      <c r="D34" s="25"/>
      <c r="E34" s="25"/>
      <c r="F34" s="25">
        <f t="shared" si="1"/>
        <v>0</v>
      </c>
      <c r="G34" s="25"/>
    </row>
    <row r="35">
      <c r="A35" s="25"/>
      <c r="B35" s="25"/>
      <c r="C35" s="25"/>
      <c r="D35" s="25"/>
      <c r="E35" s="25"/>
      <c r="F35" s="25">
        <f t="shared" si="1"/>
        <v>0</v>
      </c>
      <c r="G35" s="25"/>
    </row>
    <row r="36">
      <c r="A36" s="25"/>
      <c r="B36" s="25"/>
      <c r="C36" s="25"/>
      <c r="D36" s="25"/>
      <c r="E36" s="25"/>
      <c r="F36" s="25">
        <f t="shared" si="1"/>
        <v>0</v>
      </c>
      <c r="G36" s="25"/>
    </row>
    <row r="37">
      <c r="A37" s="25"/>
      <c r="B37" s="25"/>
      <c r="C37" s="25"/>
      <c r="D37" s="25"/>
      <c r="E37" s="25"/>
      <c r="F37" s="25">
        <f t="shared" si="1"/>
        <v>0</v>
      </c>
      <c r="G37" s="25"/>
    </row>
    <row r="38">
      <c r="A38" s="25"/>
      <c r="B38" s="25"/>
      <c r="C38" s="25"/>
      <c r="D38" s="25"/>
      <c r="E38" s="25"/>
      <c r="F38" s="25">
        <f t="shared" si="1"/>
        <v>0</v>
      </c>
      <c r="G38" s="25"/>
    </row>
    <row r="39">
      <c r="A39" s="25"/>
      <c r="B39" s="25"/>
      <c r="C39" s="25"/>
      <c r="D39" s="25"/>
      <c r="E39" s="25"/>
      <c r="F39" s="25">
        <f t="shared" si="1"/>
        <v>0</v>
      </c>
      <c r="G39" s="25"/>
    </row>
    <row r="40">
      <c r="A40" s="25"/>
      <c r="B40" s="25"/>
      <c r="C40" s="25"/>
      <c r="D40" s="25"/>
      <c r="E40" s="25"/>
      <c r="F40" s="25">
        <f t="shared" si="1"/>
        <v>0</v>
      </c>
      <c r="G40" s="25"/>
    </row>
    <row r="41">
      <c r="A41" s="25"/>
      <c r="B41" s="25"/>
      <c r="C41" s="25"/>
      <c r="D41" s="25"/>
      <c r="E41" s="25"/>
      <c r="F41" s="25">
        <f t="shared" si="1"/>
        <v>0</v>
      </c>
      <c r="G41" s="25"/>
    </row>
    <row r="42">
      <c r="A42" s="25"/>
      <c r="B42" s="25"/>
      <c r="C42" s="25"/>
      <c r="D42" s="25"/>
      <c r="E42" s="25"/>
      <c r="F42" s="25">
        <f t="shared" si="1"/>
        <v>0</v>
      </c>
      <c r="G42" s="25"/>
    </row>
    <row r="43">
      <c r="A43" s="25"/>
      <c r="B43" s="25"/>
      <c r="C43" s="25"/>
      <c r="D43" s="25"/>
      <c r="E43" s="25"/>
      <c r="F43" s="25">
        <f t="shared" si="1"/>
        <v>0</v>
      </c>
      <c r="G43" s="25"/>
    </row>
    <row r="44">
      <c r="A44" s="25"/>
      <c r="B44" s="25"/>
      <c r="C44" s="25"/>
      <c r="D44" s="25"/>
      <c r="E44" s="25"/>
      <c r="F44" s="25">
        <f t="shared" si="1"/>
        <v>0</v>
      </c>
      <c r="G44" s="25"/>
    </row>
    <row r="45">
      <c r="A45" s="25"/>
      <c r="B45" s="25"/>
      <c r="C45" s="25"/>
      <c r="D45" s="25"/>
      <c r="E45" s="25"/>
      <c r="F45" s="25">
        <f t="shared" si="1"/>
        <v>0</v>
      </c>
      <c r="G45" s="25"/>
    </row>
    <row r="46">
      <c r="A46" s="25"/>
      <c r="B46" s="25"/>
      <c r="C46" s="25"/>
      <c r="D46" s="25"/>
      <c r="E46" s="25"/>
      <c r="F46" s="25">
        <f t="shared" si="1"/>
        <v>0</v>
      </c>
      <c r="G46" s="25"/>
    </row>
    <row r="47">
      <c r="A47" s="25"/>
      <c r="B47" s="25"/>
      <c r="C47" s="25"/>
      <c r="D47" s="25"/>
      <c r="E47" s="25"/>
      <c r="F47" s="25">
        <f t="shared" si="1"/>
        <v>0</v>
      </c>
      <c r="G47" s="25"/>
    </row>
    <row r="48">
      <c r="A48" s="25"/>
      <c r="B48" s="25"/>
      <c r="C48" s="25"/>
      <c r="D48" s="25"/>
      <c r="E48" s="25"/>
      <c r="F48" s="25">
        <f t="shared" si="1"/>
        <v>0</v>
      </c>
      <c r="G48" s="25"/>
    </row>
    <row r="49">
      <c r="A49" s="25"/>
      <c r="B49" s="25"/>
      <c r="C49" s="25"/>
      <c r="D49" s="25"/>
      <c r="E49" s="25"/>
      <c r="F49" s="25">
        <f t="shared" si="1"/>
        <v>0</v>
      </c>
      <c r="G49" s="25"/>
    </row>
    <row r="50">
      <c r="A50" s="25"/>
      <c r="B50" s="25"/>
      <c r="C50" s="25"/>
      <c r="D50" s="25"/>
      <c r="E50" s="25"/>
      <c r="F50" s="25">
        <f t="shared" si="1"/>
        <v>0</v>
      </c>
      <c r="G50" s="25"/>
    </row>
    <row r="51">
      <c r="A51" s="25"/>
      <c r="B51" s="25"/>
      <c r="C51" s="25"/>
      <c r="D51" s="25"/>
      <c r="E51" s="25"/>
      <c r="F51" s="25">
        <f t="shared" si="1"/>
        <v>0</v>
      </c>
      <c r="G51" s="25"/>
    </row>
    <row r="52">
      <c r="A52" s="25"/>
      <c r="B52" s="25"/>
      <c r="C52" s="25"/>
      <c r="D52" s="25"/>
      <c r="E52" s="25"/>
      <c r="F52" s="25">
        <f t="shared" si="1"/>
        <v>0</v>
      </c>
      <c r="G52" s="25"/>
    </row>
    <row r="53">
      <c r="A53" s="25"/>
      <c r="B53" s="25"/>
      <c r="C53" s="25"/>
      <c r="D53" s="25"/>
      <c r="E53" s="25"/>
      <c r="F53" s="25">
        <f t="shared" si="1"/>
        <v>0</v>
      </c>
      <c r="G53" s="25"/>
    </row>
    <row r="54">
      <c r="A54" s="25"/>
      <c r="B54" s="25"/>
      <c r="C54" s="25"/>
      <c r="D54" s="25"/>
      <c r="E54" s="25"/>
      <c r="F54" s="25">
        <f t="shared" si="1"/>
        <v>0</v>
      </c>
      <c r="G54" s="25"/>
    </row>
    <row r="55">
      <c r="A55" s="25"/>
      <c r="B55" s="25"/>
      <c r="C55" s="25"/>
      <c r="D55" s="25"/>
      <c r="E55" s="25"/>
      <c r="F55" s="25">
        <f t="shared" si="1"/>
        <v>0</v>
      </c>
      <c r="G55" s="25"/>
    </row>
    <row r="56">
      <c r="A56" s="25"/>
      <c r="B56" s="25"/>
      <c r="C56" s="25"/>
      <c r="D56" s="25"/>
      <c r="E56" s="25"/>
      <c r="F56" s="25">
        <f t="shared" si="1"/>
        <v>0</v>
      </c>
      <c r="G56" s="25"/>
    </row>
    <row r="57">
      <c r="A57" s="25"/>
      <c r="B57" s="25"/>
      <c r="C57" s="25"/>
      <c r="D57" s="25"/>
      <c r="E57" s="25"/>
      <c r="F57" s="25">
        <f t="shared" si="1"/>
        <v>0</v>
      </c>
      <c r="G57" s="25"/>
    </row>
    <row r="58">
      <c r="A58" s="25"/>
      <c r="B58" s="25"/>
      <c r="C58" s="25"/>
      <c r="D58" s="25"/>
      <c r="E58" s="25"/>
      <c r="F58" s="25">
        <f t="shared" si="1"/>
        <v>0</v>
      </c>
      <c r="G58" s="25"/>
    </row>
    <row r="59">
      <c r="A59" s="25"/>
      <c r="B59" s="25"/>
      <c r="C59" s="25"/>
      <c r="D59" s="25"/>
      <c r="E59" s="25"/>
      <c r="F59" s="25">
        <f t="shared" si="1"/>
        <v>0</v>
      </c>
      <c r="G59" s="25"/>
    </row>
    <row r="60">
      <c r="A60" s="25"/>
      <c r="B60" s="25"/>
      <c r="C60" s="25"/>
      <c r="D60" s="25"/>
      <c r="E60" s="25"/>
      <c r="F60" s="25">
        <f t="shared" si="1"/>
        <v>0</v>
      </c>
      <c r="G60" s="25"/>
    </row>
    <row r="61">
      <c r="A61" s="25"/>
      <c r="B61" s="25"/>
      <c r="C61" s="25"/>
      <c r="D61" s="25"/>
      <c r="E61" s="25"/>
      <c r="F61" s="25">
        <f t="shared" si="1"/>
        <v>0</v>
      </c>
      <c r="G61" s="25"/>
    </row>
    <row r="62">
      <c r="A62" s="25"/>
      <c r="B62" s="25"/>
      <c r="C62" s="25"/>
      <c r="D62" s="25"/>
      <c r="E62" s="25"/>
      <c r="F62" s="25">
        <f t="shared" si="1"/>
        <v>0</v>
      </c>
      <c r="G62" s="25"/>
    </row>
    <row r="63">
      <c r="A63" s="25"/>
      <c r="B63" s="25"/>
      <c r="C63" s="25"/>
      <c r="D63" s="25"/>
      <c r="E63" s="25"/>
      <c r="F63" s="25">
        <f t="shared" si="1"/>
        <v>0</v>
      </c>
      <c r="G63" s="25"/>
    </row>
    <row r="64">
      <c r="A64" s="25"/>
      <c r="B64" s="25"/>
      <c r="C64" s="25"/>
      <c r="D64" s="25"/>
      <c r="E64" s="25"/>
      <c r="F64" s="25">
        <f t="shared" si="1"/>
        <v>0</v>
      </c>
      <c r="G64" s="25"/>
    </row>
    <row r="65">
      <c r="A65" s="25"/>
      <c r="B65" s="25"/>
      <c r="C65" s="25"/>
      <c r="D65" s="25"/>
      <c r="E65" s="25"/>
      <c r="F65" s="25">
        <f t="shared" si="1"/>
        <v>0</v>
      </c>
      <c r="G65" s="2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1.25"/>
    <col customWidth="1" min="3" max="3" width="35.63"/>
  </cols>
  <sheetData>
    <row r="1">
      <c r="A1" s="44" t="s">
        <v>1319</v>
      </c>
      <c r="B1" s="44" t="s">
        <v>1320</v>
      </c>
      <c r="C1" s="45"/>
      <c r="D1" s="46" t="s">
        <v>1321</v>
      </c>
      <c r="E1" s="40"/>
      <c r="F1" s="47"/>
      <c r="G1" s="47"/>
    </row>
    <row r="2">
      <c r="A2" s="48"/>
      <c r="B2" s="48"/>
      <c r="C2" s="49" t="s">
        <v>961</v>
      </c>
      <c r="D2" s="48"/>
      <c r="E2" s="40"/>
      <c r="F2" s="5"/>
      <c r="G2" s="50"/>
      <c r="H2" s="51"/>
      <c r="I2" s="52"/>
      <c r="J2" s="51"/>
      <c r="K2" s="52"/>
    </row>
    <row r="3">
      <c r="A3" s="53">
        <v>1.0</v>
      </c>
      <c r="B3" s="40" t="s">
        <v>507</v>
      </c>
      <c r="C3" s="54" t="s">
        <v>1193</v>
      </c>
      <c r="D3" s="55" t="s">
        <v>1322</v>
      </c>
      <c r="E3" s="55">
        <v>3.0</v>
      </c>
      <c r="F3" s="5"/>
      <c r="G3" s="50"/>
      <c r="H3" s="52"/>
      <c r="I3" s="52"/>
      <c r="J3" s="51"/>
      <c r="K3" s="51"/>
    </row>
    <row r="4">
      <c r="A4" s="53">
        <v>2.0</v>
      </c>
      <c r="B4" s="40" t="s">
        <v>516</v>
      </c>
      <c r="C4" s="54" t="s">
        <v>515</v>
      </c>
      <c r="D4" s="55" t="s">
        <v>1323</v>
      </c>
      <c r="E4" s="55">
        <v>1.0</v>
      </c>
      <c r="F4" s="40"/>
      <c r="G4" s="56"/>
      <c r="H4" s="52"/>
      <c r="I4" s="52"/>
      <c r="J4" s="51"/>
      <c r="K4" s="51"/>
    </row>
    <row r="5">
      <c r="A5" s="53">
        <v>3.0</v>
      </c>
      <c r="B5" s="40" t="s">
        <v>525</v>
      </c>
      <c r="C5" s="54" t="s">
        <v>524</v>
      </c>
      <c r="D5" s="55" t="s">
        <v>1324</v>
      </c>
      <c r="E5" s="55">
        <v>0.0</v>
      </c>
      <c r="F5" s="40"/>
      <c r="G5" s="56"/>
      <c r="H5" s="52"/>
      <c r="I5" s="52"/>
      <c r="J5" s="52"/>
      <c r="K5" s="51"/>
    </row>
    <row r="6">
      <c r="A6" s="53">
        <v>4.0</v>
      </c>
      <c r="B6" s="40" t="s">
        <v>528</v>
      </c>
      <c r="C6" s="54" t="s">
        <v>527</v>
      </c>
      <c r="D6" s="55" t="s">
        <v>1325</v>
      </c>
      <c r="E6" s="55">
        <v>0.0</v>
      </c>
      <c r="F6" s="40"/>
      <c r="G6" s="56"/>
      <c r="H6" s="52"/>
      <c r="I6" s="52"/>
      <c r="J6" s="52"/>
      <c r="K6" s="51"/>
    </row>
    <row r="7">
      <c r="A7" s="53">
        <v>5.0</v>
      </c>
      <c r="B7" s="40" t="s">
        <v>534</v>
      </c>
      <c r="C7" s="54" t="s">
        <v>1197</v>
      </c>
      <c r="D7" s="55" t="s">
        <v>1326</v>
      </c>
      <c r="E7" s="55">
        <v>0.0</v>
      </c>
      <c r="F7" s="40"/>
      <c r="G7" s="56"/>
      <c r="H7" s="52"/>
      <c r="I7" s="52"/>
      <c r="J7" s="52"/>
      <c r="K7" s="51"/>
    </row>
    <row r="8">
      <c r="A8" s="53">
        <v>6.0</v>
      </c>
      <c r="B8" s="40" t="s">
        <v>543</v>
      </c>
      <c r="C8" s="54" t="s">
        <v>1199</v>
      </c>
      <c r="D8" s="55" t="s">
        <v>1327</v>
      </c>
      <c r="E8" s="55">
        <v>0.0</v>
      </c>
      <c r="F8" s="40"/>
      <c r="G8" s="56"/>
      <c r="H8" s="52"/>
      <c r="I8" s="52"/>
      <c r="J8" s="52"/>
      <c r="K8" s="51"/>
    </row>
    <row r="9">
      <c r="A9" s="53">
        <v>7.0</v>
      </c>
      <c r="B9" s="40" t="s">
        <v>549</v>
      </c>
      <c r="C9" s="54" t="s">
        <v>1201</v>
      </c>
      <c r="D9" s="55" t="s">
        <v>1328</v>
      </c>
      <c r="E9" s="55">
        <v>0.0</v>
      </c>
      <c r="F9" s="40"/>
      <c r="G9" s="56"/>
      <c r="H9" s="52"/>
      <c r="I9" s="52"/>
      <c r="J9" s="52"/>
      <c r="K9" s="51"/>
    </row>
    <row r="10">
      <c r="A10" s="53">
        <v>8.0</v>
      </c>
      <c r="B10" s="40" t="s">
        <v>558</v>
      </c>
      <c r="C10" s="54" t="s">
        <v>1203</v>
      </c>
      <c r="D10" s="55" t="s">
        <v>1329</v>
      </c>
      <c r="E10" s="55">
        <v>2.0</v>
      </c>
      <c r="F10" s="5"/>
      <c r="G10" s="56"/>
      <c r="H10" s="51"/>
      <c r="I10" s="52"/>
      <c r="J10" s="52"/>
      <c r="K10" s="51"/>
    </row>
    <row r="11">
      <c r="A11" s="53">
        <v>9.0</v>
      </c>
      <c r="B11" s="40" t="s">
        <v>579</v>
      </c>
      <c r="C11" s="54" t="s">
        <v>578</v>
      </c>
      <c r="D11" s="53" t="s">
        <v>1330</v>
      </c>
      <c r="E11" s="55">
        <v>2.0</v>
      </c>
      <c r="F11" s="40"/>
      <c r="G11" s="56"/>
      <c r="H11" s="52"/>
      <c r="I11" s="52"/>
      <c r="J11" s="51"/>
      <c r="K11" s="51"/>
    </row>
    <row r="12">
      <c r="A12" s="53">
        <v>10.0</v>
      </c>
      <c r="B12" s="40" t="s">
        <v>588</v>
      </c>
      <c r="C12" s="54" t="s">
        <v>1207</v>
      </c>
      <c r="D12" s="55" t="s">
        <v>1331</v>
      </c>
      <c r="E12" s="55">
        <v>1.0</v>
      </c>
      <c r="F12" s="40"/>
      <c r="G12" s="56"/>
      <c r="H12" s="52"/>
      <c r="I12" s="52"/>
      <c r="J12" s="51"/>
      <c r="K12" s="51"/>
    </row>
    <row r="13">
      <c r="A13" s="53">
        <v>11.0</v>
      </c>
      <c r="B13" s="40" t="s">
        <v>612</v>
      </c>
      <c r="C13" s="54" t="s">
        <v>611</v>
      </c>
      <c r="D13" s="53" t="s">
        <v>1332</v>
      </c>
      <c r="E13" s="55">
        <v>4.0</v>
      </c>
      <c r="F13" s="5"/>
      <c r="G13" s="50"/>
      <c r="H13" s="51"/>
      <c r="I13" s="52"/>
      <c r="J13" s="52"/>
      <c r="K13" s="51"/>
    </row>
    <row r="14">
      <c r="A14" s="53">
        <v>12.0</v>
      </c>
      <c r="B14" s="40" t="s">
        <v>54</v>
      </c>
      <c r="C14" s="45" t="s">
        <v>1051</v>
      </c>
      <c r="D14" s="57" t="s">
        <v>1333</v>
      </c>
      <c r="E14" s="55">
        <v>2.0</v>
      </c>
      <c r="F14" s="5"/>
      <c r="G14" s="56"/>
      <c r="H14" s="52"/>
      <c r="I14" s="52"/>
      <c r="J14" s="52"/>
      <c r="K14" s="51"/>
    </row>
    <row r="15">
      <c r="A15" s="53">
        <v>13.0</v>
      </c>
      <c r="B15" s="40" t="s">
        <v>58</v>
      </c>
      <c r="C15" s="45" t="s">
        <v>1052</v>
      </c>
      <c r="D15" s="55" t="s">
        <v>1334</v>
      </c>
      <c r="E15" s="55">
        <v>0.0</v>
      </c>
      <c r="F15" s="5"/>
      <c r="G15" s="56"/>
      <c r="H15" s="52"/>
      <c r="I15" s="52"/>
      <c r="J15" s="52"/>
      <c r="K15" s="51"/>
    </row>
    <row r="16">
      <c r="A16" s="53">
        <v>14.0</v>
      </c>
      <c r="B16" s="40" t="s">
        <v>95</v>
      </c>
      <c r="C16" s="45" t="s">
        <v>1064</v>
      </c>
      <c r="D16" s="55" t="s">
        <v>1335</v>
      </c>
      <c r="E16" s="55">
        <v>1.0</v>
      </c>
      <c r="F16" s="40"/>
      <c r="G16" s="56"/>
      <c r="H16" s="52"/>
      <c r="I16" s="52"/>
      <c r="J16" s="51"/>
      <c r="K16" s="51"/>
    </row>
    <row r="17">
      <c r="A17" s="53">
        <v>15.0</v>
      </c>
      <c r="B17" s="40" t="s">
        <v>129</v>
      </c>
      <c r="C17" s="5" t="s">
        <v>1336</v>
      </c>
      <c r="D17" s="55" t="s">
        <v>1337</v>
      </c>
      <c r="E17" s="55">
        <v>0.0</v>
      </c>
      <c r="F17" s="40"/>
      <c r="G17" s="56"/>
      <c r="H17" s="52"/>
      <c r="I17" s="52"/>
      <c r="J17" s="52"/>
      <c r="K17" s="51"/>
    </row>
    <row r="18">
      <c r="A18" s="53">
        <v>16.0</v>
      </c>
      <c r="B18" s="40" t="s">
        <v>144</v>
      </c>
      <c r="C18" s="45" t="s">
        <v>1087</v>
      </c>
      <c r="D18" s="55" t="s">
        <v>1338</v>
      </c>
      <c r="E18" s="55">
        <v>0.0</v>
      </c>
      <c r="F18" s="40"/>
      <c r="G18" s="56"/>
      <c r="H18" s="52"/>
      <c r="I18" s="52"/>
      <c r="J18" s="52"/>
      <c r="K18" s="51"/>
    </row>
    <row r="19">
      <c r="A19" s="53">
        <v>17.0</v>
      </c>
      <c r="B19" s="40" t="s">
        <v>220</v>
      </c>
      <c r="C19" s="54" t="s">
        <v>219</v>
      </c>
      <c r="D19" s="55" t="s">
        <v>1339</v>
      </c>
      <c r="E19" s="55">
        <v>1.0</v>
      </c>
      <c r="F19" s="40"/>
      <c r="G19" s="56"/>
      <c r="H19" s="51"/>
      <c r="I19" s="52"/>
      <c r="J19" s="52"/>
      <c r="K19" s="51"/>
    </row>
    <row r="20">
      <c r="A20" s="53">
        <v>18.0</v>
      </c>
      <c r="B20" s="40" t="s">
        <v>233</v>
      </c>
      <c r="C20" s="54" t="s">
        <v>232</v>
      </c>
      <c r="D20" s="55" t="s">
        <v>1340</v>
      </c>
      <c r="E20" s="55">
        <v>0.0</v>
      </c>
      <c r="F20" s="40"/>
      <c r="G20" s="56"/>
      <c r="H20" s="52"/>
      <c r="I20" s="52"/>
      <c r="J20" s="52"/>
      <c r="K20" s="51"/>
    </row>
    <row r="21">
      <c r="A21" s="53">
        <v>19.0</v>
      </c>
      <c r="B21" s="40" t="s">
        <v>266</v>
      </c>
      <c r="C21" s="54" t="s">
        <v>1127</v>
      </c>
      <c r="D21" s="55" t="s">
        <v>1341</v>
      </c>
      <c r="E21" s="55">
        <v>0.0</v>
      </c>
      <c r="F21" s="40"/>
      <c r="G21" s="56"/>
      <c r="H21" s="52"/>
      <c r="I21" s="52"/>
      <c r="J21" s="52"/>
      <c r="K21" s="51"/>
    </row>
    <row r="22">
      <c r="A22" s="53">
        <v>20.0</v>
      </c>
      <c r="B22" s="40" t="s">
        <v>295</v>
      </c>
      <c r="C22" s="54" t="s">
        <v>294</v>
      </c>
      <c r="D22" s="55" t="s">
        <v>1342</v>
      </c>
      <c r="E22" s="55">
        <v>0.0</v>
      </c>
      <c r="F22" s="40"/>
      <c r="G22" s="56"/>
      <c r="H22" s="52"/>
      <c r="I22" s="52"/>
      <c r="J22" s="52"/>
      <c r="K22" s="51"/>
    </row>
    <row r="23">
      <c r="A23" s="53">
        <v>21.0</v>
      </c>
      <c r="B23" s="40" t="s">
        <v>310</v>
      </c>
      <c r="C23" s="54" t="s">
        <v>309</v>
      </c>
      <c r="D23" s="55" t="s">
        <v>1343</v>
      </c>
      <c r="E23" s="55">
        <v>1.0</v>
      </c>
      <c r="F23" s="40"/>
      <c r="G23" s="56"/>
      <c r="H23" s="52"/>
      <c r="I23" s="52"/>
      <c r="J23" s="51"/>
      <c r="K23" s="51"/>
    </row>
    <row r="24">
      <c r="A24" s="53">
        <v>22.0</v>
      </c>
      <c r="B24" s="40" t="s">
        <v>322</v>
      </c>
      <c r="C24" s="54" t="s">
        <v>1138</v>
      </c>
      <c r="D24" s="57" t="s">
        <v>1344</v>
      </c>
      <c r="E24" s="55">
        <v>0.0</v>
      </c>
      <c r="F24" s="40"/>
      <c r="G24" s="56"/>
      <c r="H24" s="52"/>
      <c r="I24" s="52"/>
      <c r="J24" s="52"/>
      <c r="K24" s="51"/>
    </row>
    <row r="25">
      <c r="A25" s="53">
        <v>23.0</v>
      </c>
      <c r="B25" s="40" t="s">
        <v>343</v>
      </c>
      <c r="C25" s="54" t="s">
        <v>1225</v>
      </c>
      <c r="D25" s="55" t="s">
        <v>1345</v>
      </c>
      <c r="E25" s="55">
        <v>0.0</v>
      </c>
      <c r="F25" s="40"/>
      <c r="G25" s="56"/>
      <c r="H25" s="52"/>
      <c r="I25" s="52"/>
      <c r="J25" s="52"/>
      <c r="K25" s="51"/>
    </row>
    <row r="26">
      <c r="A26" s="53">
        <v>24.0</v>
      </c>
      <c r="B26" s="40" t="s">
        <v>358</v>
      </c>
      <c r="C26" s="54" t="s">
        <v>1233</v>
      </c>
      <c r="D26" s="55" t="s">
        <v>1346</v>
      </c>
      <c r="E26" s="55">
        <v>1.0</v>
      </c>
      <c r="F26" s="40"/>
      <c r="G26" s="56"/>
      <c r="H26" s="52"/>
      <c r="I26" s="52"/>
      <c r="J26" s="51"/>
      <c r="K26" s="51"/>
    </row>
    <row r="27">
      <c r="A27" s="53">
        <v>25.0</v>
      </c>
      <c r="B27" s="40" t="s">
        <v>361</v>
      </c>
      <c r="C27" s="54" t="s">
        <v>1235</v>
      </c>
      <c r="D27" s="55" t="s">
        <v>1347</v>
      </c>
      <c r="E27" s="55">
        <v>1.0</v>
      </c>
      <c r="F27" s="40"/>
      <c r="G27" s="56"/>
      <c r="H27" s="52"/>
      <c r="I27" s="52"/>
      <c r="J27" s="51"/>
      <c r="K27" s="51"/>
    </row>
    <row r="28">
      <c r="A28" s="53">
        <v>26.0</v>
      </c>
      <c r="B28" s="40" t="s">
        <v>364</v>
      </c>
      <c r="C28" s="54" t="s">
        <v>363</v>
      </c>
      <c r="D28" s="55" t="s">
        <v>1348</v>
      </c>
      <c r="E28" s="55">
        <v>0.0</v>
      </c>
      <c r="F28" s="40"/>
      <c r="G28" s="56"/>
      <c r="H28" s="52"/>
      <c r="I28" s="52"/>
      <c r="J28" s="52"/>
      <c r="K28" s="51"/>
    </row>
    <row r="29">
      <c r="A29" s="53">
        <v>27.0</v>
      </c>
      <c r="B29" s="40" t="s">
        <v>394</v>
      </c>
      <c r="C29" s="54" t="s">
        <v>1250</v>
      </c>
      <c r="D29" s="55" t="s">
        <v>1349</v>
      </c>
      <c r="E29" s="55">
        <v>0.0</v>
      </c>
      <c r="F29" s="40"/>
      <c r="G29" s="56"/>
      <c r="H29" s="52"/>
      <c r="I29" s="52"/>
      <c r="J29" s="52"/>
      <c r="K29" s="51"/>
    </row>
    <row r="30">
      <c r="A30" s="53">
        <v>28.0</v>
      </c>
      <c r="B30" s="40" t="s">
        <v>397</v>
      </c>
      <c r="C30" s="54" t="s">
        <v>1252</v>
      </c>
      <c r="D30" s="55" t="s">
        <v>1350</v>
      </c>
      <c r="E30" s="55">
        <v>2.0</v>
      </c>
      <c r="F30" s="40"/>
      <c r="G30" s="50"/>
      <c r="H30" s="52"/>
      <c r="I30" s="52"/>
      <c r="J30" s="51"/>
      <c r="K30" s="51"/>
    </row>
    <row r="31">
      <c r="A31" s="53">
        <v>29.0</v>
      </c>
      <c r="B31" s="40" t="s">
        <v>403</v>
      </c>
      <c r="C31" s="54" t="s">
        <v>402</v>
      </c>
      <c r="D31" s="55" t="s">
        <v>1351</v>
      </c>
      <c r="E31" s="55">
        <v>0.0</v>
      </c>
      <c r="F31" s="40"/>
      <c r="G31" s="56"/>
      <c r="H31" s="52"/>
      <c r="I31" s="52"/>
      <c r="J31" s="52"/>
      <c r="K31" s="51"/>
    </row>
    <row r="32">
      <c r="A32" s="53">
        <v>30.0</v>
      </c>
      <c r="B32" s="40" t="s">
        <v>642</v>
      </c>
      <c r="C32" s="54" t="s">
        <v>641</v>
      </c>
      <c r="D32" s="53" t="s">
        <v>1352</v>
      </c>
      <c r="E32" s="55">
        <v>1.0</v>
      </c>
      <c r="F32" s="40"/>
      <c r="G32" s="56"/>
      <c r="H32" s="52"/>
      <c r="I32" s="52"/>
      <c r="J32" s="52"/>
      <c r="K32" s="51"/>
    </row>
    <row r="33">
      <c r="A33" s="53">
        <v>31.0</v>
      </c>
      <c r="B33" s="40" t="s">
        <v>678</v>
      </c>
      <c r="C33" s="54" t="s">
        <v>1166</v>
      </c>
      <c r="D33" s="55" t="s">
        <v>1353</v>
      </c>
      <c r="E33" s="55">
        <v>0.0</v>
      </c>
      <c r="F33" s="40"/>
      <c r="G33" s="56"/>
      <c r="H33" s="52"/>
      <c r="I33" s="52"/>
      <c r="J33" s="52"/>
      <c r="K33" s="51"/>
    </row>
    <row r="34">
      <c r="A34" s="53">
        <v>32.0</v>
      </c>
      <c r="B34" s="40" t="s">
        <v>687</v>
      </c>
      <c r="C34" s="54" t="s">
        <v>686</v>
      </c>
      <c r="D34" s="55" t="s">
        <v>1354</v>
      </c>
      <c r="E34" s="55">
        <v>0.0</v>
      </c>
      <c r="F34" s="40"/>
      <c r="G34" s="56"/>
      <c r="H34" s="52"/>
      <c r="I34" s="52"/>
      <c r="J34" s="52"/>
      <c r="K34" s="51"/>
    </row>
    <row r="35">
      <c r="A35" s="53">
        <v>33.0</v>
      </c>
      <c r="B35" s="40" t="s">
        <v>690</v>
      </c>
      <c r="C35" s="54" t="s">
        <v>1167</v>
      </c>
      <c r="D35" s="55" t="s">
        <v>1355</v>
      </c>
      <c r="E35" s="55">
        <v>0.0</v>
      </c>
      <c r="F35" s="40"/>
      <c r="G35" s="56"/>
      <c r="H35" s="52"/>
      <c r="I35" s="52"/>
      <c r="J35" s="52"/>
      <c r="K35" s="51"/>
    </row>
    <row r="36">
      <c r="A36" s="53">
        <v>34.0</v>
      </c>
      <c r="B36" s="40" t="s">
        <v>696</v>
      </c>
      <c r="C36" s="54" t="s">
        <v>1169</v>
      </c>
      <c r="D36" s="53" t="s">
        <v>1356</v>
      </c>
      <c r="E36" s="55">
        <v>2.0</v>
      </c>
      <c r="F36" s="5"/>
      <c r="G36" s="56"/>
      <c r="H36" s="52"/>
      <c r="I36" s="52"/>
      <c r="J36" s="52"/>
      <c r="K36" s="51"/>
    </row>
    <row r="37">
      <c r="A37" s="53">
        <v>35.0</v>
      </c>
      <c r="B37" s="40" t="s">
        <v>735</v>
      </c>
      <c r="C37" s="54" t="s">
        <v>734</v>
      </c>
      <c r="D37" s="55" t="s">
        <v>1357</v>
      </c>
      <c r="E37" s="55">
        <v>0.0</v>
      </c>
      <c r="F37" s="40"/>
      <c r="G37" s="56"/>
      <c r="H37" s="52"/>
      <c r="I37" s="52"/>
      <c r="J37" s="52"/>
      <c r="K37" s="51"/>
    </row>
    <row r="38">
      <c r="A38" s="53">
        <v>36.0</v>
      </c>
      <c r="B38" s="40" t="s">
        <v>741</v>
      </c>
      <c r="C38" s="54" t="s">
        <v>1176</v>
      </c>
      <c r="D38" s="55" t="s">
        <v>1358</v>
      </c>
      <c r="E38" s="55">
        <v>2.0</v>
      </c>
      <c r="F38" s="40"/>
      <c r="G38" s="56"/>
      <c r="H38" s="51"/>
      <c r="I38" s="52"/>
      <c r="J38" s="51"/>
      <c r="K38" s="51"/>
    </row>
    <row r="39">
      <c r="A39" s="53">
        <v>37.0</v>
      </c>
      <c r="B39" s="40" t="s">
        <v>776</v>
      </c>
      <c r="C39" s="54" t="s">
        <v>775</v>
      </c>
      <c r="D39" s="55" t="s">
        <v>1359</v>
      </c>
      <c r="E39" s="55">
        <v>3.0</v>
      </c>
      <c r="F39" s="5"/>
      <c r="G39" s="56"/>
      <c r="H39" s="51"/>
      <c r="I39" s="52"/>
      <c r="J39" s="51"/>
      <c r="K39" s="51"/>
    </row>
    <row r="40">
      <c r="A40" s="53">
        <v>38.0</v>
      </c>
      <c r="B40" s="40" t="s">
        <v>908</v>
      </c>
      <c r="C40" s="45" t="s">
        <v>1301</v>
      </c>
      <c r="D40" s="55" t="s">
        <v>1360</v>
      </c>
      <c r="E40" s="55">
        <v>2.0</v>
      </c>
      <c r="F40" s="5"/>
      <c r="G40" s="56"/>
      <c r="H40" s="52"/>
      <c r="I40" s="52"/>
      <c r="J40" s="51"/>
      <c r="K40" s="51"/>
    </row>
    <row r="41">
      <c r="A41" s="53">
        <v>39.0</v>
      </c>
      <c r="B41" s="40" t="s">
        <v>911</v>
      </c>
      <c r="C41" s="45" t="s">
        <v>1302</v>
      </c>
      <c r="D41" s="55" t="s">
        <v>1361</v>
      </c>
      <c r="E41" s="55">
        <v>2.0</v>
      </c>
      <c r="F41" s="5"/>
      <c r="G41" s="56"/>
      <c r="H41" s="52"/>
      <c r="I41" s="52"/>
      <c r="J41" s="51"/>
      <c r="K41" s="51"/>
    </row>
    <row r="42">
      <c r="A42" s="53">
        <v>40.0</v>
      </c>
      <c r="B42" s="40" t="s">
        <v>926</v>
      </c>
      <c r="C42" s="45" t="s">
        <v>1307</v>
      </c>
      <c r="D42" s="55" t="s">
        <v>1362</v>
      </c>
      <c r="E42" s="55">
        <v>3.0</v>
      </c>
      <c r="F42" s="5"/>
      <c r="G42" s="56"/>
      <c r="H42" s="51"/>
      <c r="I42" s="52"/>
      <c r="J42" s="51"/>
      <c r="K42" s="51"/>
    </row>
    <row r="43">
      <c r="A43" s="53">
        <v>41.0</v>
      </c>
      <c r="B43" s="40" t="s">
        <v>929</v>
      </c>
      <c r="C43" s="45" t="s">
        <v>1308</v>
      </c>
      <c r="D43" s="55" t="s">
        <v>1363</v>
      </c>
      <c r="E43" s="55">
        <v>1.0</v>
      </c>
      <c r="F43" s="40"/>
      <c r="G43" s="56"/>
      <c r="H43" s="52"/>
      <c r="I43" s="52"/>
      <c r="J43" s="51"/>
      <c r="K43" s="51"/>
    </row>
    <row r="44">
      <c r="A44" s="53">
        <v>42.0</v>
      </c>
      <c r="B44" s="40" t="s">
        <v>932</v>
      </c>
      <c r="C44" s="45" t="s">
        <v>1309</v>
      </c>
      <c r="D44" s="55" t="s">
        <v>1364</v>
      </c>
      <c r="E44" s="55">
        <v>2.0</v>
      </c>
      <c r="F44" s="5"/>
      <c r="G44" s="56"/>
      <c r="H44" s="52"/>
      <c r="I44" s="52"/>
      <c r="J44" s="51"/>
      <c r="K44" s="51"/>
    </row>
    <row r="45">
      <c r="A45" s="53">
        <v>43.0</v>
      </c>
      <c r="B45" s="40" t="s">
        <v>935</v>
      </c>
      <c r="C45" s="45" t="s">
        <v>1310</v>
      </c>
      <c r="D45" s="55" t="s">
        <v>1365</v>
      </c>
      <c r="E45" s="55">
        <v>0.0</v>
      </c>
      <c r="F45" s="40"/>
      <c r="G45" s="56"/>
      <c r="H45" s="52"/>
      <c r="I45" s="52"/>
      <c r="J45" s="52"/>
      <c r="K45" s="51"/>
    </row>
    <row r="46">
      <c r="A46" s="53">
        <v>44.0</v>
      </c>
      <c r="B46" s="40" t="s">
        <v>953</v>
      </c>
      <c r="C46" s="45" t="s">
        <v>1366</v>
      </c>
      <c r="D46" s="55" t="s">
        <v>1367</v>
      </c>
      <c r="E46" s="55">
        <v>3.0</v>
      </c>
      <c r="F46" s="5"/>
      <c r="G46" s="50"/>
      <c r="H46" s="51"/>
      <c r="I46" s="52"/>
      <c r="J46" s="51"/>
      <c r="K46" s="51"/>
    </row>
    <row r="47">
      <c r="A47" s="53">
        <v>45.0</v>
      </c>
      <c r="B47" s="40" t="s">
        <v>956</v>
      </c>
      <c r="C47" s="45" t="s">
        <v>1317</v>
      </c>
      <c r="D47" s="55" t="s">
        <v>1368</v>
      </c>
      <c r="E47" s="55">
        <v>4.0</v>
      </c>
      <c r="F47" s="5"/>
      <c r="G47" s="50"/>
      <c r="H47" s="51"/>
      <c r="I47" s="52"/>
      <c r="J47" s="51"/>
      <c r="K47" s="51"/>
    </row>
    <row r="48">
      <c r="A48" s="53">
        <v>46.0</v>
      </c>
      <c r="B48" s="40" t="s">
        <v>833</v>
      </c>
      <c r="C48" s="54" t="s">
        <v>832</v>
      </c>
      <c r="D48" s="55" t="s">
        <v>1369</v>
      </c>
      <c r="E48" s="55">
        <v>0.0</v>
      </c>
      <c r="F48" s="40"/>
      <c r="G48" s="56"/>
      <c r="H48" s="52"/>
      <c r="I48" s="52"/>
      <c r="J48" s="52"/>
      <c r="K48" s="51"/>
    </row>
    <row r="49">
      <c r="A49" s="53">
        <v>47.0</v>
      </c>
      <c r="B49" s="40" t="s">
        <v>836</v>
      </c>
      <c r="C49" s="54" t="s">
        <v>835</v>
      </c>
      <c r="D49" s="55" t="s">
        <v>1370</v>
      </c>
      <c r="E49" s="55">
        <v>2.0</v>
      </c>
      <c r="F49" s="5"/>
      <c r="G49" s="56"/>
      <c r="H49" s="51"/>
      <c r="I49" s="52"/>
      <c r="J49" s="52"/>
      <c r="K49" s="51"/>
    </row>
    <row r="50">
      <c r="A50" s="53">
        <v>48.0</v>
      </c>
      <c r="B50" s="40" t="s">
        <v>842</v>
      </c>
      <c r="C50" s="54" t="s">
        <v>841</v>
      </c>
      <c r="D50" s="55" t="s">
        <v>1371</v>
      </c>
      <c r="E50" s="55">
        <v>1.0</v>
      </c>
      <c r="F50" s="40"/>
      <c r="G50" s="56"/>
      <c r="H50" s="52"/>
      <c r="I50" s="52"/>
      <c r="J50" s="51"/>
      <c r="K50" s="51"/>
    </row>
    <row r="51">
      <c r="A51" s="53">
        <v>49.0</v>
      </c>
      <c r="B51" s="40" t="s">
        <v>845</v>
      </c>
      <c r="C51" s="54" t="s">
        <v>1010</v>
      </c>
      <c r="D51" s="55" t="s">
        <v>1372</v>
      </c>
      <c r="E51" s="55">
        <v>0.0</v>
      </c>
      <c r="F51" s="40"/>
      <c r="G51" s="56"/>
      <c r="H51" s="52"/>
      <c r="I51" s="52"/>
      <c r="J51" s="52"/>
      <c r="K51" s="51"/>
    </row>
    <row r="52">
      <c r="A52" s="53">
        <v>50.0</v>
      </c>
      <c r="B52" s="40" t="s">
        <v>1002</v>
      </c>
      <c r="C52" s="45" t="s">
        <v>1373</v>
      </c>
      <c r="D52" s="55" t="s">
        <v>1374</v>
      </c>
      <c r="E52" s="55">
        <v>1.0</v>
      </c>
      <c r="F52" s="5"/>
      <c r="G52" s="56"/>
      <c r="H52" s="52"/>
      <c r="I52" s="52"/>
      <c r="J52" s="52"/>
      <c r="K52" s="51"/>
    </row>
    <row r="53">
      <c r="A53" s="53">
        <v>51.0</v>
      </c>
      <c r="B53" s="40" t="s">
        <v>1154</v>
      </c>
      <c r="C53" s="45" t="s">
        <v>1375</v>
      </c>
      <c r="D53" s="55" t="s">
        <v>1376</v>
      </c>
      <c r="E53" s="55">
        <v>3.0</v>
      </c>
      <c r="F53" s="5"/>
      <c r="G53" s="50"/>
      <c r="H53" s="52"/>
      <c r="I53" s="52"/>
      <c r="J53" s="51"/>
      <c r="K53" s="51"/>
    </row>
    <row r="54">
      <c r="A54" s="53">
        <v>52.0</v>
      </c>
      <c r="B54" s="40" t="s">
        <v>1020</v>
      </c>
      <c r="C54" s="45" t="s">
        <v>1377</v>
      </c>
      <c r="D54" s="55" t="s">
        <v>1378</v>
      </c>
      <c r="E54" s="55">
        <v>1.0</v>
      </c>
      <c r="F54" s="5"/>
      <c r="G54" s="56"/>
      <c r="H54" s="52"/>
      <c r="I54" s="52"/>
      <c r="J54" s="52"/>
      <c r="K54" s="51"/>
    </row>
    <row r="55">
      <c r="A55" s="53">
        <v>53.0</v>
      </c>
      <c r="B55" s="53">
        <v>1224110.0</v>
      </c>
      <c r="C55" s="5"/>
      <c r="D55" s="53" t="s">
        <v>1379</v>
      </c>
      <c r="E55" s="55">
        <v>4.0</v>
      </c>
      <c r="F55" s="5"/>
      <c r="G55" s="50"/>
      <c r="H55" s="51"/>
      <c r="I55" s="52"/>
      <c r="J55" s="51"/>
      <c r="K55" s="51"/>
    </row>
    <row r="56">
      <c r="A56" s="40"/>
      <c r="B56" s="40"/>
      <c r="C56" s="40"/>
      <c r="D56" s="55"/>
      <c r="E56" s="55"/>
      <c r="F56" s="40"/>
      <c r="G56" s="56"/>
      <c r="H56" s="52"/>
      <c r="I56" s="52"/>
      <c r="J56" s="52"/>
      <c r="K56" s="51"/>
    </row>
    <row r="57">
      <c r="A57" s="40"/>
      <c r="B57" s="40"/>
      <c r="C57" s="40"/>
      <c r="D57" s="55"/>
      <c r="E57" s="55"/>
      <c r="F57" s="40"/>
      <c r="G57" s="56"/>
      <c r="H57" s="52"/>
      <c r="I57" s="52"/>
      <c r="J57" s="52"/>
      <c r="K57" s="52"/>
    </row>
    <row r="58">
      <c r="A58" s="40"/>
      <c r="B58" s="40"/>
      <c r="C58" s="40"/>
      <c r="D58" s="55"/>
      <c r="E58" s="55"/>
      <c r="F58" s="40"/>
      <c r="G58" s="56"/>
      <c r="H58" s="52"/>
      <c r="I58" s="52"/>
      <c r="J58" s="52"/>
      <c r="K58" s="52"/>
    </row>
    <row r="59">
      <c r="A59" s="40"/>
      <c r="B59" s="40"/>
      <c r="C59" s="40"/>
      <c r="D59" s="55"/>
      <c r="E59" s="55"/>
      <c r="F59" s="40"/>
      <c r="G59" s="56"/>
      <c r="H59" s="52"/>
      <c r="I59" s="52"/>
      <c r="J59" s="52"/>
      <c r="K59" s="52"/>
    </row>
    <row r="60">
      <c r="A60" s="40"/>
      <c r="B60" s="40"/>
      <c r="C60" s="40"/>
      <c r="D60" s="55"/>
      <c r="E60" s="55"/>
      <c r="F60" s="40"/>
      <c r="G60" s="56"/>
      <c r="H60" s="52"/>
      <c r="I60" s="52"/>
      <c r="J60" s="52"/>
      <c r="K60" s="52"/>
    </row>
    <row r="61">
      <c r="A61" s="40"/>
      <c r="B61" s="40"/>
      <c r="C61" s="40"/>
      <c r="D61" s="55"/>
      <c r="E61" s="55"/>
      <c r="F61" s="40"/>
      <c r="G61" s="56"/>
      <c r="H61" s="52"/>
      <c r="I61" s="52"/>
      <c r="J61" s="52"/>
      <c r="K61" s="52"/>
    </row>
    <row r="62">
      <c r="A62" s="40"/>
      <c r="B62" s="40"/>
      <c r="C62" s="40"/>
      <c r="D62" s="55"/>
      <c r="E62" s="55"/>
      <c r="F62" s="40"/>
      <c r="G62" s="56"/>
      <c r="H62" s="52"/>
      <c r="I62" s="52"/>
      <c r="J62" s="52"/>
      <c r="K62" s="52"/>
    </row>
    <row r="63">
      <c r="A63" s="40"/>
      <c r="B63" s="40"/>
      <c r="C63" s="40"/>
      <c r="D63" s="55"/>
      <c r="E63" s="55"/>
      <c r="F63" s="40"/>
      <c r="G63" s="56"/>
      <c r="H63" s="52"/>
      <c r="I63" s="52"/>
      <c r="J63" s="52"/>
      <c r="K63" s="52"/>
    </row>
    <row r="64">
      <c r="A64" s="40"/>
      <c r="B64" s="40"/>
      <c r="C64" s="40"/>
      <c r="D64" s="55"/>
      <c r="E64" s="55"/>
      <c r="F64" s="40"/>
      <c r="G64" s="56"/>
      <c r="H64" s="52"/>
      <c r="I64" s="52"/>
      <c r="J64" s="52"/>
      <c r="K64" s="52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</sheetData>
  <mergeCells count="3">
    <mergeCell ref="A1:A2"/>
    <mergeCell ref="B1:B2"/>
    <mergeCell ref="D1:D2"/>
  </mergeCells>
  <conditionalFormatting sqref="K1:K999">
    <cfRule type="cellIs" dxfId="0" priority="1" operator="equal">
      <formula>0</formula>
    </cfRule>
  </conditionalFormatting>
  <conditionalFormatting sqref="E1:E999">
    <cfRule type="cellIs" dxfId="0" priority="2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0"/>
    <col customWidth="1" min="2" max="2" width="40.25"/>
    <col customWidth="1" min="4" max="4" width="35.38"/>
    <col customWidth="1" min="6" max="14" width="18.25"/>
  </cols>
  <sheetData>
    <row r="1">
      <c r="A1" s="59" t="s">
        <v>1380</v>
      </c>
      <c r="B1" s="60" t="s">
        <v>961</v>
      </c>
      <c r="C1" s="61" t="s">
        <v>1381</v>
      </c>
      <c r="D1" s="62"/>
      <c r="E1" s="62"/>
      <c r="F1" s="63"/>
      <c r="G1" s="64"/>
      <c r="H1" s="64"/>
      <c r="I1" s="63"/>
      <c r="J1" s="63"/>
      <c r="K1" s="65"/>
      <c r="L1" s="64"/>
      <c r="M1" s="64"/>
      <c r="N1" s="64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>
      <c r="A2" s="67">
        <v>80.0</v>
      </c>
      <c r="B2" s="35" t="s">
        <v>1382</v>
      </c>
      <c r="C2" s="68" t="s">
        <v>1</v>
      </c>
      <c r="D2" s="65">
        <v>4.0</v>
      </c>
      <c r="E2" s="69">
        <f t="shared" ref="E2:E107" si="1">(D2/9)*100</f>
        <v>44.44444444</v>
      </c>
      <c r="F2" s="69"/>
      <c r="G2" s="69"/>
      <c r="H2" s="69"/>
      <c r="I2" s="69"/>
      <c r="J2" s="69"/>
      <c r="K2" s="65"/>
      <c r="L2" s="65"/>
      <c r="M2" s="65"/>
      <c r="N2" s="69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>
      <c r="A3" s="67">
        <v>90.0</v>
      </c>
      <c r="B3" s="35" t="s">
        <v>1383</v>
      </c>
      <c r="C3" s="68" t="s">
        <v>5</v>
      </c>
      <c r="D3" s="65">
        <v>2.0</v>
      </c>
      <c r="E3" s="69">
        <f t="shared" si="1"/>
        <v>22.22222222</v>
      </c>
      <c r="F3" s="69"/>
      <c r="G3" s="69"/>
      <c r="H3" s="69"/>
      <c r="I3" s="69"/>
      <c r="J3" s="69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>
      <c r="A4" s="67">
        <v>89.0</v>
      </c>
      <c r="B4" s="35" t="s">
        <v>1384</v>
      </c>
      <c r="C4" s="68" t="s">
        <v>9</v>
      </c>
      <c r="D4" s="65">
        <v>2.0</v>
      </c>
      <c r="E4" s="69">
        <f t="shared" si="1"/>
        <v>22.22222222</v>
      </c>
      <c r="F4" s="69"/>
      <c r="G4" s="69"/>
      <c r="H4" s="69"/>
      <c r="I4" s="69"/>
      <c r="J4" s="69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</row>
    <row r="5">
      <c r="A5" s="67">
        <v>1.0</v>
      </c>
      <c r="B5" s="70" t="s">
        <v>176</v>
      </c>
      <c r="C5" s="71" t="s">
        <v>177</v>
      </c>
      <c r="D5" s="72">
        <v>8.0</v>
      </c>
      <c r="E5" s="69">
        <f t="shared" si="1"/>
        <v>88.88888889</v>
      </c>
      <c r="F5" s="69"/>
      <c r="G5" s="69"/>
      <c r="H5" s="69"/>
      <c r="I5" s="69"/>
      <c r="J5" s="69"/>
      <c r="K5" s="65"/>
      <c r="L5" s="69"/>
      <c r="M5" s="69"/>
      <c r="N5" s="69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</row>
    <row r="6">
      <c r="A6" s="67">
        <v>2.0</v>
      </c>
      <c r="B6" s="70" t="s">
        <v>179</v>
      </c>
      <c r="C6" s="71" t="s">
        <v>180</v>
      </c>
      <c r="D6" s="72">
        <v>7.0</v>
      </c>
      <c r="E6" s="69">
        <f t="shared" si="1"/>
        <v>77.77777778</v>
      </c>
      <c r="F6" s="69"/>
      <c r="G6" s="69"/>
      <c r="H6" s="69"/>
      <c r="I6" s="69"/>
      <c r="J6" s="69"/>
      <c r="K6" s="65"/>
      <c r="L6" s="69"/>
      <c r="M6" s="69"/>
      <c r="N6" s="69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</row>
    <row r="7">
      <c r="A7" s="67">
        <v>3.0</v>
      </c>
      <c r="B7" s="70" t="s">
        <v>182</v>
      </c>
      <c r="C7" s="71" t="s">
        <v>183</v>
      </c>
      <c r="D7" s="72">
        <v>6.0</v>
      </c>
      <c r="E7" s="69">
        <f t="shared" si="1"/>
        <v>66.66666667</v>
      </c>
      <c r="F7" s="69"/>
      <c r="G7" s="69"/>
      <c r="H7" s="69"/>
      <c r="I7" s="69"/>
      <c r="J7" s="69"/>
      <c r="K7" s="65"/>
      <c r="L7" s="65"/>
      <c r="M7" s="69"/>
      <c r="N7" s="69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>
      <c r="A8" s="67">
        <v>4.0</v>
      </c>
      <c r="B8" s="70" t="s">
        <v>1101</v>
      </c>
      <c r="C8" s="71" t="s">
        <v>186</v>
      </c>
      <c r="D8" s="72">
        <v>2.0</v>
      </c>
      <c r="E8" s="69">
        <f t="shared" si="1"/>
        <v>22.22222222</v>
      </c>
      <c r="F8" s="69"/>
      <c r="G8" s="69"/>
      <c r="H8" s="69"/>
      <c r="I8" s="69"/>
      <c r="J8" s="69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</row>
    <row r="9">
      <c r="A9" s="67">
        <v>5.0</v>
      </c>
      <c r="B9" s="70" t="s">
        <v>189</v>
      </c>
      <c r="C9" s="71" t="s">
        <v>190</v>
      </c>
      <c r="D9" s="72">
        <v>4.0</v>
      </c>
      <c r="E9" s="69">
        <f t="shared" si="1"/>
        <v>44.44444444</v>
      </c>
      <c r="F9" s="69"/>
      <c r="G9" s="69"/>
      <c r="H9" s="69"/>
      <c r="I9" s="69"/>
      <c r="J9" s="69"/>
      <c r="K9" s="65"/>
      <c r="L9" s="69"/>
      <c r="M9" s="65"/>
      <c r="N9" s="69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</row>
    <row r="10">
      <c r="A10" s="67">
        <v>6.0</v>
      </c>
      <c r="B10" s="70" t="s">
        <v>192</v>
      </c>
      <c r="C10" s="71" t="s">
        <v>193</v>
      </c>
      <c r="D10" s="72">
        <v>8.0</v>
      </c>
      <c r="E10" s="69">
        <f t="shared" si="1"/>
        <v>88.88888889</v>
      </c>
      <c r="F10" s="69"/>
      <c r="G10" s="69"/>
      <c r="H10" s="69"/>
      <c r="I10" s="69"/>
      <c r="J10" s="69"/>
      <c r="K10" s="65"/>
      <c r="L10" s="69"/>
      <c r="M10" s="69"/>
      <c r="N10" s="69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</row>
    <row r="11">
      <c r="A11" s="67">
        <v>7.0</v>
      </c>
      <c r="B11" s="70" t="s">
        <v>1385</v>
      </c>
      <c r="C11" s="71" t="s">
        <v>196</v>
      </c>
      <c r="D11" s="72">
        <v>8.0</v>
      </c>
      <c r="E11" s="69">
        <f t="shared" si="1"/>
        <v>88.88888889</v>
      </c>
      <c r="F11" s="69"/>
      <c r="G11" s="69"/>
      <c r="H11" s="69"/>
      <c r="I11" s="69"/>
      <c r="J11" s="69"/>
      <c r="K11" s="65"/>
      <c r="L11" s="69"/>
      <c r="M11" s="69"/>
      <c r="N11" s="69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</row>
    <row r="12">
      <c r="A12" s="67">
        <v>8.0</v>
      </c>
      <c r="B12" s="70" t="s">
        <v>1386</v>
      </c>
      <c r="C12" s="71" t="s">
        <v>199</v>
      </c>
      <c r="D12" s="72">
        <v>7.0</v>
      </c>
      <c r="E12" s="69">
        <f t="shared" si="1"/>
        <v>77.77777778</v>
      </c>
      <c r="F12" s="69"/>
      <c r="G12" s="69"/>
      <c r="H12" s="69"/>
      <c r="I12" s="69"/>
      <c r="J12" s="69"/>
      <c r="K12" s="65"/>
      <c r="L12" s="69"/>
      <c r="M12" s="69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</row>
    <row r="13">
      <c r="A13" s="67">
        <v>9.0</v>
      </c>
      <c r="B13" s="70" t="s">
        <v>1106</v>
      </c>
      <c r="C13" s="71" t="s">
        <v>202</v>
      </c>
      <c r="D13" s="72">
        <v>7.0</v>
      </c>
      <c r="E13" s="69">
        <f t="shared" si="1"/>
        <v>77.77777778</v>
      </c>
      <c r="F13" s="69"/>
      <c r="G13" s="69"/>
      <c r="H13" s="69"/>
      <c r="I13" s="69"/>
      <c r="J13" s="69"/>
      <c r="K13" s="65"/>
      <c r="L13" s="69"/>
      <c r="M13" s="69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</row>
    <row r="14">
      <c r="A14" s="67">
        <v>10.0</v>
      </c>
      <c r="B14" s="70" t="s">
        <v>204</v>
      </c>
      <c r="C14" s="71" t="s">
        <v>205</v>
      </c>
      <c r="D14" s="72">
        <v>7.0</v>
      </c>
      <c r="E14" s="69">
        <f t="shared" si="1"/>
        <v>77.77777778</v>
      </c>
      <c r="F14" s="69"/>
      <c r="G14" s="69"/>
      <c r="H14" s="69"/>
      <c r="I14" s="69"/>
      <c r="J14" s="69"/>
      <c r="K14" s="65"/>
      <c r="L14" s="69"/>
      <c r="M14" s="69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</row>
    <row r="15">
      <c r="A15" s="67">
        <v>11.0</v>
      </c>
      <c r="B15" s="70" t="s">
        <v>207</v>
      </c>
      <c r="C15" s="71" t="s">
        <v>208</v>
      </c>
      <c r="D15" s="72">
        <v>9.0</v>
      </c>
      <c r="E15" s="69">
        <f t="shared" si="1"/>
        <v>100</v>
      </c>
      <c r="F15" s="69"/>
      <c r="G15" s="69"/>
      <c r="H15" s="69"/>
      <c r="I15" s="69"/>
      <c r="J15" s="69"/>
      <c r="K15" s="69"/>
      <c r="L15" s="69"/>
      <c r="M15" s="69"/>
      <c r="N15" s="69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</row>
    <row r="16">
      <c r="A16" s="67">
        <v>12.0</v>
      </c>
      <c r="B16" s="70" t="s">
        <v>1107</v>
      </c>
      <c r="C16" s="71" t="s">
        <v>211</v>
      </c>
      <c r="D16" s="72">
        <v>5.0</v>
      </c>
      <c r="E16" s="69">
        <f t="shared" si="1"/>
        <v>55.55555556</v>
      </c>
      <c r="F16" s="69"/>
      <c r="G16" s="69"/>
      <c r="H16" s="69"/>
      <c r="I16" s="69"/>
      <c r="J16" s="69"/>
      <c r="K16" s="65"/>
      <c r="L16" s="69"/>
      <c r="M16" s="69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</row>
    <row r="17">
      <c r="A17" s="67">
        <v>13.0</v>
      </c>
      <c r="B17" s="70" t="s">
        <v>1108</v>
      </c>
      <c r="C17" s="71" t="s">
        <v>214</v>
      </c>
      <c r="D17" s="72">
        <v>7.0</v>
      </c>
      <c r="E17" s="69">
        <f t="shared" si="1"/>
        <v>77.77777778</v>
      </c>
      <c r="F17" s="69"/>
      <c r="G17" s="69"/>
      <c r="H17" s="69"/>
      <c r="I17" s="69"/>
      <c r="J17" s="69"/>
      <c r="K17" s="65"/>
      <c r="L17" s="69"/>
      <c r="M17" s="69"/>
      <c r="N17" s="69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</row>
    <row r="18">
      <c r="A18" s="67">
        <v>14.0</v>
      </c>
      <c r="B18" s="70" t="s">
        <v>216</v>
      </c>
      <c r="C18" s="71" t="s">
        <v>217</v>
      </c>
      <c r="D18" s="72">
        <v>6.0</v>
      </c>
      <c r="E18" s="69">
        <f t="shared" si="1"/>
        <v>66.66666667</v>
      </c>
      <c r="F18" s="69"/>
      <c r="G18" s="69"/>
      <c r="H18" s="69"/>
      <c r="I18" s="69"/>
      <c r="J18" s="69"/>
      <c r="K18" s="65"/>
      <c r="L18" s="65"/>
      <c r="M18" s="69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</row>
    <row r="19">
      <c r="A19" s="67">
        <v>15.0</v>
      </c>
      <c r="B19" s="70" t="s">
        <v>219</v>
      </c>
      <c r="C19" s="71" t="s">
        <v>220</v>
      </c>
      <c r="D19" s="72">
        <v>5.0</v>
      </c>
      <c r="E19" s="69">
        <f t="shared" si="1"/>
        <v>55.55555556</v>
      </c>
      <c r="F19" s="69"/>
      <c r="G19" s="69"/>
      <c r="H19" s="69"/>
      <c r="I19" s="69"/>
      <c r="J19" s="69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</row>
    <row r="20">
      <c r="A20" s="67">
        <v>16.0</v>
      </c>
      <c r="B20" s="70" t="s">
        <v>1109</v>
      </c>
      <c r="C20" s="71" t="s">
        <v>224</v>
      </c>
      <c r="D20" s="72">
        <v>9.0</v>
      </c>
      <c r="E20" s="69">
        <f t="shared" si="1"/>
        <v>100</v>
      </c>
      <c r="F20" s="69"/>
      <c r="G20" s="69"/>
      <c r="H20" s="69"/>
      <c r="I20" s="69"/>
      <c r="J20" s="69"/>
      <c r="K20" s="69"/>
      <c r="L20" s="69"/>
      <c r="M20" s="69"/>
      <c r="N20" s="69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</row>
    <row r="21">
      <c r="A21" s="67">
        <v>17.0</v>
      </c>
      <c r="B21" s="70" t="s">
        <v>226</v>
      </c>
      <c r="C21" s="71" t="s">
        <v>227</v>
      </c>
      <c r="D21" s="72">
        <v>5.0</v>
      </c>
      <c r="E21" s="69">
        <f t="shared" si="1"/>
        <v>55.55555556</v>
      </c>
      <c r="F21" s="69"/>
      <c r="G21" s="69"/>
      <c r="H21" s="69"/>
      <c r="I21" s="69"/>
      <c r="J21" s="69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</row>
    <row r="22">
      <c r="A22" s="67">
        <v>18.0</v>
      </c>
      <c r="B22" s="70" t="s">
        <v>1111</v>
      </c>
      <c r="C22" s="71" t="s">
        <v>230</v>
      </c>
      <c r="D22" s="72">
        <v>4.0</v>
      </c>
      <c r="E22" s="69">
        <f t="shared" si="1"/>
        <v>44.44444444</v>
      </c>
      <c r="F22" s="69"/>
      <c r="G22" s="69"/>
      <c r="H22" s="69"/>
      <c r="I22" s="69"/>
      <c r="J22" s="69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</row>
    <row r="23">
      <c r="A23" s="67">
        <v>19.0</v>
      </c>
      <c r="B23" s="70" t="s">
        <v>232</v>
      </c>
      <c r="C23" s="71" t="s">
        <v>233</v>
      </c>
      <c r="D23" s="72">
        <v>7.0</v>
      </c>
      <c r="E23" s="69">
        <f t="shared" si="1"/>
        <v>77.77777778</v>
      </c>
      <c r="F23" s="69"/>
      <c r="G23" s="69"/>
      <c r="H23" s="69"/>
      <c r="I23" s="69"/>
      <c r="J23" s="69"/>
      <c r="K23" s="69"/>
      <c r="L23" s="69"/>
      <c r="M23" s="65"/>
      <c r="N23" s="69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</row>
    <row r="24">
      <c r="A24" s="67">
        <v>20.0</v>
      </c>
      <c r="B24" s="70" t="s">
        <v>235</v>
      </c>
      <c r="C24" s="71" t="s">
        <v>236</v>
      </c>
      <c r="D24" s="72">
        <v>6.0</v>
      </c>
      <c r="E24" s="69">
        <f t="shared" si="1"/>
        <v>66.66666667</v>
      </c>
      <c r="F24" s="69"/>
      <c r="G24" s="69"/>
      <c r="H24" s="69"/>
      <c r="I24" s="69"/>
      <c r="J24" s="69"/>
      <c r="K24" s="65"/>
      <c r="L24" s="69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</row>
    <row r="25">
      <c r="A25" s="67">
        <v>21.0</v>
      </c>
      <c r="B25" s="70" t="s">
        <v>1114</v>
      </c>
      <c r="C25" s="71" t="s">
        <v>239</v>
      </c>
      <c r="D25" s="72">
        <v>8.0</v>
      </c>
      <c r="E25" s="69">
        <f t="shared" si="1"/>
        <v>88.88888889</v>
      </c>
      <c r="F25" s="69"/>
      <c r="G25" s="69"/>
      <c r="H25" s="69"/>
      <c r="I25" s="69"/>
      <c r="J25" s="69"/>
      <c r="K25" s="65"/>
      <c r="L25" s="69"/>
      <c r="M25" s="69"/>
      <c r="N25" s="69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</row>
    <row r="26">
      <c r="A26" s="67">
        <v>22.0</v>
      </c>
      <c r="B26" s="70" t="s">
        <v>241</v>
      </c>
      <c r="C26" s="71" t="s">
        <v>242</v>
      </c>
      <c r="D26" s="72">
        <v>6.0</v>
      </c>
      <c r="E26" s="69">
        <f t="shared" si="1"/>
        <v>66.66666667</v>
      </c>
      <c r="F26" s="69"/>
      <c r="G26" s="69"/>
      <c r="H26" s="69"/>
      <c r="I26" s="69"/>
      <c r="J26" s="69"/>
      <c r="K26" s="65"/>
      <c r="L26" s="69"/>
      <c r="M26" s="69"/>
      <c r="N26" s="69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</row>
    <row r="27">
      <c r="A27" s="67">
        <v>23.0</v>
      </c>
      <c r="B27" s="70" t="s">
        <v>244</v>
      </c>
      <c r="C27" s="71" t="s">
        <v>245</v>
      </c>
      <c r="D27" s="72">
        <v>8.0</v>
      </c>
      <c r="E27" s="69">
        <f t="shared" si="1"/>
        <v>88.88888889</v>
      </c>
      <c r="F27" s="69"/>
      <c r="G27" s="69"/>
      <c r="H27" s="69"/>
      <c r="I27" s="69"/>
      <c r="J27" s="69"/>
      <c r="K27" s="65"/>
      <c r="L27" s="69"/>
      <c r="M27" s="69"/>
      <c r="N27" s="69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</row>
    <row r="28">
      <c r="A28" s="67">
        <v>24.0</v>
      </c>
      <c r="B28" s="70" t="s">
        <v>1118</v>
      </c>
      <c r="C28" s="71" t="s">
        <v>248</v>
      </c>
      <c r="D28" s="72">
        <v>7.0</v>
      </c>
      <c r="E28" s="69">
        <f t="shared" si="1"/>
        <v>77.77777778</v>
      </c>
      <c r="F28" s="69"/>
      <c r="G28" s="69"/>
      <c r="H28" s="69"/>
      <c r="I28" s="69"/>
      <c r="J28" s="69"/>
      <c r="K28" s="65"/>
      <c r="L28" s="69"/>
      <c r="M28" s="69"/>
      <c r="N28" s="69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</row>
    <row r="29">
      <c r="A29" s="67">
        <v>25.0</v>
      </c>
      <c r="B29" s="70" t="s">
        <v>250</v>
      </c>
      <c r="C29" s="71" t="s">
        <v>251</v>
      </c>
      <c r="D29" s="72">
        <v>8.0</v>
      </c>
      <c r="E29" s="69">
        <f t="shared" si="1"/>
        <v>88.88888889</v>
      </c>
      <c r="F29" s="69"/>
      <c r="G29" s="69"/>
      <c r="H29" s="69"/>
      <c r="I29" s="69"/>
      <c r="J29" s="69"/>
      <c r="K29" s="65"/>
      <c r="L29" s="69"/>
      <c r="M29" s="69"/>
      <c r="N29" s="69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</row>
    <row r="30">
      <c r="A30" s="67">
        <v>26.0</v>
      </c>
      <c r="B30" s="70" t="s">
        <v>1121</v>
      </c>
      <c r="C30" s="71" t="s">
        <v>254</v>
      </c>
      <c r="D30" s="72">
        <v>9.0</v>
      </c>
      <c r="E30" s="69">
        <f t="shared" si="1"/>
        <v>100</v>
      </c>
      <c r="F30" s="69"/>
      <c r="G30" s="69"/>
      <c r="H30" s="69"/>
      <c r="I30" s="69"/>
      <c r="J30" s="69"/>
      <c r="K30" s="69"/>
      <c r="L30" s="69"/>
      <c r="M30" s="69"/>
      <c r="N30" s="69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</row>
    <row r="31">
      <c r="A31" s="67">
        <v>27.0</v>
      </c>
      <c r="B31" s="70" t="s">
        <v>1123</v>
      </c>
      <c r="C31" s="71" t="s">
        <v>257</v>
      </c>
      <c r="D31" s="72">
        <v>8.0</v>
      </c>
      <c r="E31" s="69">
        <f t="shared" si="1"/>
        <v>88.88888889</v>
      </c>
      <c r="F31" s="69"/>
      <c r="G31" s="69"/>
      <c r="H31" s="69"/>
      <c r="I31" s="69"/>
      <c r="J31" s="69"/>
      <c r="K31" s="69"/>
      <c r="L31" s="65"/>
      <c r="M31" s="69"/>
      <c r="N31" s="69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</row>
    <row r="32">
      <c r="A32" s="67">
        <v>28.0</v>
      </c>
      <c r="B32" s="70" t="s">
        <v>259</v>
      </c>
      <c r="C32" s="71" t="s">
        <v>260</v>
      </c>
      <c r="D32" s="72">
        <v>7.0</v>
      </c>
      <c r="E32" s="69">
        <f t="shared" si="1"/>
        <v>77.77777778</v>
      </c>
      <c r="F32" s="69"/>
      <c r="G32" s="69"/>
      <c r="H32" s="69"/>
      <c r="I32" s="69"/>
      <c r="J32" s="69"/>
      <c r="K32" s="69"/>
      <c r="L32" s="65"/>
      <c r="M32" s="69"/>
      <c r="N32" s="69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</row>
    <row r="33">
      <c r="A33" s="67">
        <v>29.0</v>
      </c>
      <c r="B33" s="70" t="s">
        <v>1126</v>
      </c>
      <c r="C33" s="71" t="s">
        <v>263</v>
      </c>
      <c r="D33" s="72">
        <v>9.0</v>
      </c>
      <c r="E33" s="69">
        <f t="shared" si="1"/>
        <v>100</v>
      </c>
      <c r="F33" s="69"/>
      <c r="G33" s="69"/>
      <c r="H33" s="69"/>
      <c r="I33" s="69"/>
      <c r="J33" s="69"/>
      <c r="K33" s="69"/>
      <c r="L33" s="69"/>
      <c r="M33" s="69"/>
      <c r="N33" s="69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</row>
    <row r="34">
      <c r="A34" s="67">
        <v>30.0</v>
      </c>
      <c r="B34" s="70" t="s">
        <v>1127</v>
      </c>
      <c r="C34" s="71" t="s">
        <v>266</v>
      </c>
      <c r="D34" s="72">
        <v>7.0</v>
      </c>
      <c r="E34" s="69">
        <f t="shared" si="1"/>
        <v>77.77777778</v>
      </c>
      <c r="F34" s="69"/>
      <c r="G34" s="69"/>
      <c r="H34" s="69"/>
      <c r="I34" s="69"/>
      <c r="J34" s="69"/>
      <c r="K34" s="69"/>
      <c r="L34" s="69"/>
      <c r="M34" s="69"/>
      <c r="N34" s="69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</row>
    <row r="35">
      <c r="A35" s="67">
        <v>31.0</v>
      </c>
      <c r="B35" s="70" t="s">
        <v>268</v>
      </c>
      <c r="C35" s="71" t="s">
        <v>269</v>
      </c>
      <c r="D35" s="72">
        <v>6.0</v>
      </c>
      <c r="E35" s="69">
        <f t="shared" si="1"/>
        <v>66.66666667</v>
      </c>
      <c r="F35" s="69"/>
      <c r="G35" s="69"/>
      <c r="H35" s="69"/>
      <c r="I35" s="69"/>
      <c r="J35" s="69"/>
      <c r="K35" s="65"/>
      <c r="L35" s="69"/>
      <c r="M35" s="69"/>
      <c r="N35" s="69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</row>
    <row r="36">
      <c r="A36" s="67">
        <v>32.0</v>
      </c>
      <c r="B36" s="70" t="s">
        <v>1128</v>
      </c>
      <c r="C36" s="71" t="s">
        <v>272</v>
      </c>
      <c r="D36" s="72">
        <v>7.0</v>
      </c>
      <c r="E36" s="69">
        <f t="shared" si="1"/>
        <v>77.77777778</v>
      </c>
      <c r="F36" s="69"/>
      <c r="G36" s="69"/>
      <c r="H36" s="69"/>
      <c r="I36" s="69"/>
      <c r="J36" s="69"/>
      <c r="K36" s="65"/>
      <c r="L36" s="69"/>
      <c r="M36" s="69"/>
      <c r="N36" s="69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</row>
    <row r="37">
      <c r="A37" s="67">
        <v>33.0</v>
      </c>
      <c r="B37" s="70" t="s">
        <v>1129</v>
      </c>
      <c r="C37" s="71" t="s">
        <v>275</v>
      </c>
      <c r="D37" s="72">
        <v>9.0</v>
      </c>
      <c r="E37" s="69">
        <f t="shared" si="1"/>
        <v>100</v>
      </c>
      <c r="F37" s="69"/>
      <c r="G37" s="69"/>
      <c r="H37" s="69"/>
      <c r="I37" s="69"/>
      <c r="J37" s="69"/>
      <c r="K37" s="69"/>
      <c r="L37" s="69"/>
      <c r="M37" s="69"/>
      <c r="N37" s="69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</row>
    <row r="38">
      <c r="A38" s="67">
        <v>34.0</v>
      </c>
      <c r="B38" s="70" t="s">
        <v>1130</v>
      </c>
      <c r="C38" s="71" t="s">
        <v>278</v>
      </c>
      <c r="D38" s="72">
        <v>8.0</v>
      </c>
      <c r="E38" s="69">
        <f t="shared" si="1"/>
        <v>88.88888889</v>
      </c>
      <c r="F38" s="69"/>
      <c r="G38" s="69"/>
      <c r="H38" s="69"/>
      <c r="I38" s="69"/>
      <c r="J38" s="69"/>
      <c r="K38" s="65"/>
      <c r="L38" s="69"/>
      <c r="M38" s="69"/>
      <c r="N38" s="69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</row>
    <row r="39">
      <c r="A39" s="67">
        <v>35.0</v>
      </c>
      <c r="B39" s="70" t="s">
        <v>280</v>
      </c>
      <c r="C39" s="71" t="s">
        <v>281</v>
      </c>
      <c r="D39" s="72">
        <v>8.0</v>
      </c>
      <c r="E39" s="69">
        <f t="shared" si="1"/>
        <v>88.88888889</v>
      </c>
      <c r="F39" s="69"/>
      <c r="G39" s="69"/>
      <c r="H39" s="69"/>
      <c r="I39" s="69"/>
      <c r="J39" s="69"/>
      <c r="K39" s="69"/>
      <c r="L39" s="69"/>
      <c r="M39" s="69"/>
      <c r="N39" s="69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</row>
    <row r="40">
      <c r="A40" s="67">
        <v>36.0</v>
      </c>
      <c r="B40" s="70" t="s">
        <v>283</v>
      </c>
      <c r="C40" s="71" t="s">
        <v>284</v>
      </c>
      <c r="D40" s="72">
        <v>7.0</v>
      </c>
      <c r="E40" s="69">
        <f t="shared" si="1"/>
        <v>77.77777778</v>
      </c>
      <c r="F40" s="69"/>
      <c r="G40" s="69"/>
      <c r="H40" s="69"/>
      <c r="I40" s="69"/>
      <c r="J40" s="69"/>
      <c r="K40" s="65"/>
      <c r="L40" s="69"/>
      <c r="M40" s="69"/>
      <c r="N40" s="69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</row>
    <row r="41">
      <c r="A41" s="67">
        <v>37.0</v>
      </c>
      <c r="B41" s="70" t="s">
        <v>1131</v>
      </c>
      <c r="C41" s="71" t="s">
        <v>287</v>
      </c>
      <c r="D41" s="72">
        <v>6.0</v>
      </c>
      <c r="E41" s="69">
        <f t="shared" si="1"/>
        <v>66.66666667</v>
      </c>
      <c r="F41" s="69"/>
      <c r="G41" s="69"/>
      <c r="H41" s="69"/>
      <c r="I41" s="69"/>
      <c r="J41" s="69"/>
      <c r="K41" s="65"/>
      <c r="L41" s="69"/>
      <c r="M41" s="69"/>
      <c r="N41" s="69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</row>
    <row r="42">
      <c r="A42" s="67">
        <v>38.0</v>
      </c>
      <c r="B42" s="70" t="s">
        <v>1132</v>
      </c>
      <c r="C42" s="71" t="s">
        <v>290</v>
      </c>
      <c r="D42" s="72">
        <v>8.0</v>
      </c>
      <c r="E42" s="69">
        <f t="shared" si="1"/>
        <v>88.88888889</v>
      </c>
      <c r="F42" s="69"/>
      <c r="G42" s="69"/>
      <c r="H42" s="69"/>
      <c r="I42" s="69"/>
      <c r="J42" s="69"/>
      <c r="K42" s="65"/>
      <c r="L42" s="69"/>
      <c r="M42" s="69"/>
      <c r="N42" s="69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</row>
    <row r="43">
      <c r="A43" s="67">
        <v>39.0</v>
      </c>
      <c r="B43" s="70" t="s">
        <v>1133</v>
      </c>
      <c r="C43" s="71" t="s">
        <v>293</v>
      </c>
      <c r="D43" s="72">
        <v>9.0</v>
      </c>
      <c r="E43" s="69">
        <f t="shared" si="1"/>
        <v>100</v>
      </c>
      <c r="F43" s="69"/>
      <c r="G43" s="69"/>
      <c r="H43" s="69"/>
      <c r="I43" s="69"/>
      <c r="J43" s="69"/>
      <c r="K43" s="69"/>
      <c r="L43" s="69"/>
      <c r="M43" s="69"/>
      <c r="N43" s="69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</row>
    <row r="44">
      <c r="A44" s="67">
        <v>40.0</v>
      </c>
      <c r="B44" s="70" t="s">
        <v>294</v>
      </c>
      <c r="C44" s="71" t="s">
        <v>295</v>
      </c>
      <c r="D44" s="72">
        <v>7.0</v>
      </c>
      <c r="E44" s="69">
        <f t="shared" si="1"/>
        <v>77.77777778</v>
      </c>
      <c r="F44" s="69"/>
      <c r="G44" s="69"/>
      <c r="H44" s="69"/>
      <c r="I44" s="69"/>
      <c r="J44" s="69"/>
      <c r="K44" s="65"/>
      <c r="L44" s="69"/>
      <c r="M44" s="69"/>
      <c r="N44" s="69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</row>
    <row r="45">
      <c r="A45" s="67">
        <v>41.0</v>
      </c>
      <c r="B45" s="70" t="s">
        <v>1134</v>
      </c>
      <c r="C45" s="71" t="s">
        <v>298</v>
      </c>
      <c r="D45" s="72">
        <v>8.0</v>
      </c>
      <c r="E45" s="69">
        <f t="shared" si="1"/>
        <v>88.88888889</v>
      </c>
      <c r="F45" s="69"/>
      <c r="G45" s="69"/>
      <c r="H45" s="69"/>
      <c r="I45" s="69"/>
      <c r="J45" s="69"/>
      <c r="K45" s="69"/>
      <c r="L45" s="69"/>
      <c r="M45" s="69"/>
      <c r="N45" s="69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</row>
    <row r="46">
      <c r="A46" s="67">
        <v>42.0</v>
      </c>
      <c r="B46" s="70" t="s">
        <v>1135</v>
      </c>
      <c r="C46" s="71" t="s">
        <v>301</v>
      </c>
      <c r="D46" s="72">
        <v>5.0</v>
      </c>
      <c r="E46" s="69">
        <f t="shared" si="1"/>
        <v>55.55555556</v>
      </c>
      <c r="F46" s="69"/>
      <c r="G46" s="69"/>
      <c r="H46" s="69"/>
      <c r="I46" s="69"/>
      <c r="J46" s="69"/>
      <c r="K46" s="65"/>
      <c r="L46" s="69"/>
      <c r="M46" s="69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</row>
    <row r="47">
      <c r="A47" s="67">
        <v>43.0</v>
      </c>
      <c r="B47" s="70" t="s">
        <v>1387</v>
      </c>
      <c r="C47" s="71" t="s">
        <v>304</v>
      </c>
      <c r="D47" s="72">
        <v>8.0</v>
      </c>
      <c r="E47" s="69">
        <f t="shared" si="1"/>
        <v>88.88888889</v>
      </c>
      <c r="F47" s="69"/>
      <c r="G47" s="69"/>
      <c r="H47" s="69"/>
      <c r="I47" s="69"/>
      <c r="J47" s="69"/>
      <c r="K47" s="65"/>
      <c r="L47" s="69"/>
      <c r="M47" s="69"/>
      <c r="N47" s="69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</row>
    <row r="48">
      <c r="A48" s="67">
        <v>44.0</v>
      </c>
      <c r="B48" s="70" t="s">
        <v>306</v>
      </c>
      <c r="C48" s="71" t="s">
        <v>307</v>
      </c>
      <c r="D48" s="72">
        <v>7.0</v>
      </c>
      <c r="E48" s="69">
        <f t="shared" si="1"/>
        <v>77.77777778</v>
      </c>
      <c r="F48" s="69"/>
      <c r="G48" s="69"/>
      <c r="H48" s="69"/>
      <c r="I48" s="69"/>
      <c r="J48" s="69"/>
      <c r="K48" s="69"/>
      <c r="L48" s="65"/>
      <c r="M48" s="69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</row>
    <row r="49">
      <c r="A49" s="67">
        <v>45.0</v>
      </c>
      <c r="B49" s="70" t="s">
        <v>309</v>
      </c>
      <c r="C49" s="71" t="s">
        <v>310</v>
      </c>
      <c r="D49" s="72">
        <v>9.0</v>
      </c>
      <c r="E49" s="69">
        <f t="shared" si="1"/>
        <v>100</v>
      </c>
      <c r="F49" s="69"/>
      <c r="G49" s="69"/>
      <c r="H49" s="69"/>
      <c r="I49" s="69"/>
      <c r="J49" s="69"/>
      <c r="K49" s="69"/>
      <c r="L49" s="69"/>
      <c r="M49" s="69"/>
      <c r="N49" s="69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</row>
    <row r="50">
      <c r="A50" s="67">
        <v>46.0</v>
      </c>
      <c r="B50" s="70" t="s">
        <v>1137</v>
      </c>
      <c r="C50" s="71" t="s">
        <v>313</v>
      </c>
      <c r="D50" s="72">
        <v>9.0</v>
      </c>
      <c r="E50" s="69">
        <f t="shared" si="1"/>
        <v>100</v>
      </c>
      <c r="F50" s="69"/>
      <c r="G50" s="73"/>
      <c r="H50" s="69"/>
      <c r="I50" s="69"/>
      <c r="J50" s="69"/>
      <c r="K50" s="69"/>
      <c r="L50" s="69"/>
      <c r="M50" s="69"/>
      <c r="N50" s="69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</row>
    <row r="51">
      <c r="A51" s="67">
        <v>47.0</v>
      </c>
      <c r="B51" s="70" t="s">
        <v>315</v>
      </c>
      <c r="C51" s="71" t="s">
        <v>316</v>
      </c>
      <c r="D51" s="72">
        <v>6.0</v>
      </c>
      <c r="E51" s="69">
        <f t="shared" si="1"/>
        <v>66.66666667</v>
      </c>
      <c r="F51" s="69"/>
      <c r="G51" s="69"/>
      <c r="H51" s="69"/>
      <c r="I51" s="69"/>
      <c r="J51" s="69"/>
      <c r="K51" s="69"/>
      <c r="L51" s="65"/>
      <c r="M51" s="65"/>
      <c r="N51" s="69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</row>
    <row r="52">
      <c r="A52" s="67">
        <v>48.0</v>
      </c>
      <c r="B52" s="70" t="s">
        <v>318</v>
      </c>
      <c r="C52" s="71" t="s">
        <v>319</v>
      </c>
      <c r="D52" s="72">
        <v>7.0</v>
      </c>
      <c r="E52" s="69">
        <f t="shared" si="1"/>
        <v>77.77777778</v>
      </c>
      <c r="F52" s="69"/>
      <c r="G52" s="69"/>
      <c r="H52" s="69"/>
      <c r="I52" s="69"/>
      <c r="J52" s="69"/>
      <c r="K52" s="65"/>
      <c r="L52" s="69"/>
      <c r="M52" s="69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</row>
    <row r="53">
      <c r="A53" s="67">
        <v>49.0</v>
      </c>
      <c r="B53" s="70" t="s">
        <v>1138</v>
      </c>
      <c r="C53" s="71" t="s">
        <v>322</v>
      </c>
      <c r="D53" s="72">
        <v>7.0</v>
      </c>
      <c r="E53" s="69">
        <f t="shared" si="1"/>
        <v>77.77777778</v>
      </c>
      <c r="F53" s="69"/>
      <c r="G53" s="69"/>
      <c r="H53" s="69"/>
      <c r="I53" s="69"/>
      <c r="J53" s="69"/>
      <c r="K53" s="65"/>
      <c r="L53" s="69"/>
      <c r="M53" s="69"/>
      <c r="N53" s="69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</row>
    <row r="54">
      <c r="A54" s="67">
        <v>50.0</v>
      </c>
      <c r="B54" s="70" t="s">
        <v>324</v>
      </c>
      <c r="C54" s="71" t="s">
        <v>325</v>
      </c>
      <c r="D54" s="72">
        <v>8.0</v>
      </c>
      <c r="E54" s="69">
        <f t="shared" si="1"/>
        <v>88.88888889</v>
      </c>
      <c r="F54" s="69"/>
      <c r="G54" s="69"/>
      <c r="H54" s="69"/>
      <c r="I54" s="69"/>
      <c r="J54" s="69"/>
      <c r="K54" s="69"/>
      <c r="L54" s="69"/>
      <c r="M54" s="69"/>
      <c r="N54" s="69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</row>
    <row r="55">
      <c r="A55" s="67">
        <v>51.0</v>
      </c>
      <c r="B55" s="70" t="s">
        <v>1139</v>
      </c>
      <c r="C55" s="71" t="s">
        <v>328</v>
      </c>
      <c r="D55" s="72">
        <v>5.0</v>
      </c>
      <c r="E55" s="69">
        <f t="shared" si="1"/>
        <v>55.55555556</v>
      </c>
      <c r="F55" s="69"/>
      <c r="G55" s="69"/>
      <c r="H55" s="69"/>
      <c r="I55" s="69"/>
      <c r="J55" s="69"/>
      <c r="K55" s="65"/>
      <c r="L55" s="69"/>
      <c r="M55" s="69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</row>
    <row r="56">
      <c r="A56" s="67">
        <v>52.0</v>
      </c>
      <c r="B56" s="70" t="s">
        <v>644</v>
      </c>
      <c r="C56" s="71" t="s">
        <v>645</v>
      </c>
      <c r="D56" s="72">
        <v>8.0</v>
      </c>
      <c r="E56" s="69">
        <f t="shared" si="1"/>
        <v>88.88888889</v>
      </c>
      <c r="F56" s="69"/>
      <c r="G56" s="69"/>
      <c r="H56" s="69"/>
      <c r="I56" s="69"/>
      <c r="J56" s="69"/>
      <c r="K56" s="65"/>
      <c r="L56" s="69"/>
      <c r="M56" s="69"/>
      <c r="N56" s="69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</row>
    <row r="57">
      <c r="A57" s="67">
        <v>53.0</v>
      </c>
      <c r="B57" s="70" t="s">
        <v>1161</v>
      </c>
      <c r="C57" s="71" t="s">
        <v>648</v>
      </c>
      <c r="D57" s="72">
        <v>7.0</v>
      </c>
      <c r="E57" s="69">
        <f t="shared" si="1"/>
        <v>77.77777778</v>
      </c>
      <c r="F57" s="69"/>
      <c r="G57" s="69"/>
      <c r="H57" s="69"/>
      <c r="I57" s="69"/>
      <c r="J57" s="69"/>
      <c r="K57" s="69"/>
      <c r="L57" s="69"/>
      <c r="M57" s="69"/>
      <c r="N57" s="69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</row>
    <row r="58">
      <c r="A58" s="67">
        <v>54.0</v>
      </c>
      <c r="B58" s="70" t="s">
        <v>1162</v>
      </c>
      <c r="C58" s="71" t="s">
        <v>651</v>
      </c>
      <c r="D58" s="72">
        <v>9.0</v>
      </c>
      <c r="E58" s="69">
        <f t="shared" si="1"/>
        <v>100</v>
      </c>
      <c r="F58" s="69"/>
      <c r="G58" s="69"/>
      <c r="H58" s="69"/>
      <c r="I58" s="69"/>
      <c r="J58" s="69"/>
      <c r="K58" s="69"/>
      <c r="L58" s="69"/>
      <c r="M58" s="69"/>
      <c r="N58" s="69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</row>
    <row r="59">
      <c r="A59" s="67">
        <v>55.0</v>
      </c>
      <c r="B59" s="70" t="s">
        <v>653</v>
      </c>
      <c r="C59" s="71" t="s">
        <v>654</v>
      </c>
      <c r="D59" s="72">
        <v>9.0</v>
      </c>
      <c r="E59" s="69">
        <f t="shared" si="1"/>
        <v>100</v>
      </c>
      <c r="F59" s="69"/>
      <c r="G59" s="69"/>
      <c r="H59" s="69"/>
      <c r="I59" s="69"/>
      <c r="J59" s="69"/>
      <c r="K59" s="69"/>
      <c r="L59" s="69"/>
      <c r="M59" s="69"/>
      <c r="N59" s="69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</row>
    <row r="60">
      <c r="A60" s="67">
        <v>56.0</v>
      </c>
      <c r="B60" s="70" t="s">
        <v>656</v>
      </c>
      <c r="C60" s="71" t="s">
        <v>657</v>
      </c>
      <c r="D60" s="72">
        <v>8.0</v>
      </c>
      <c r="E60" s="69">
        <f t="shared" si="1"/>
        <v>88.88888889</v>
      </c>
      <c r="F60" s="69"/>
      <c r="G60" s="69"/>
      <c r="H60" s="69"/>
      <c r="I60" s="69"/>
      <c r="J60" s="69"/>
      <c r="K60" s="69"/>
      <c r="L60" s="69"/>
      <c r="M60" s="69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</row>
    <row r="61">
      <c r="A61" s="67">
        <v>57.0</v>
      </c>
      <c r="B61" s="70" t="s">
        <v>659</v>
      </c>
      <c r="C61" s="71" t="s">
        <v>660</v>
      </c>
      <c r="D61" s="72">
        <v>9.0</v>
      </c>
      <c r="E61" s="69">
        <f t="shared" si="1"/>
        <v>100</v>
      </c>
      <c r="F61" s="69"/>
      <c r="G61" s="69"/>
      <c r="H61" s="69"/>
      <c r="I61" s="69"/>
      <c r="J61" s="69"/>
      <c r="K61" s="69"/>
      <c r="L61" s="69"/>
      <c r="M61" s="69"/>
      <c r="N61" s="69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</row>
    <row r="62">
      <c r="A62" s="67">
        <v>58.0</v>
      </c>
      <c r="B62" s="70" t="s">
        <v>1163</v>
      </c>
      <c r="C62" s="71" t="s">
        <v>663</v>
      </c>
      <c r="D62" s="72">
        <v>9.0</v>
      </c>
      <c r="E62" s="69">
        <f t="shared" si="1"/>
        <v>100</v>
      </c>
      <c r="F62" s="69"/>
      <c r="G62" s="69"/>
      <c r="H62" s="69"/>
      <c r="I62" s="69"/>
      <c r="J62" s="69"/>
      <c r="K62" s="69"/>
      <c r="L62" s="69"/>
      <c r="M62" s="69"/>
      <c r="N62" s="69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</row>
    <row r="63">
      <c r="A63" s="67">
        <v>59.0</v>
      </c>
      <c r="B63" s="70" t="s">
        <v>1164</v>
      </c>
      <c r="C63" s="71" t="s">
        <v>666</v>
      </c>
      <c r="D63" s="72">
        <v>9.0</v>
      </c>
      <c r="E63" s="69">
        <f t="shared" si="1"/>
        <v>100</v>
      </c>
      <c r="F63" s="69"/>
      <c r="G63" s="69"/>
      <c r="H63" s="69"/>
      <c r="I63" s="69"/>
      <c r="J63" s="69"/>
      <c r="K63" s="69"/>
      <c r="L63" s="69"/>
      <c r="M63" s="69"/>
      <c r="N63" s="69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</row>
    <row r="64">
      <c r="A64" s="67">
        <v>60.0</v>
      </c>
      <c r="B64" s="70" t="s">
        <v>668</v>
      </c>
      <c r="C64" s="71" t="s">
        <v>669</v>
      </c>
      <c r="D64" s="72">
        <v>8.0</v>
      </c>
      <c r="E64" s="69">
        <f t="shared" si="1"/>
        <v>88.88888889</v>
      </c>
      <c r="F64" s="69"/>
      <c r="G64" s="69"/>
      <c r="H64" s="69"/>
      <c r="I64" s="69"/>
      <c r="J64" s="69"/>
      <c r="K64" s="65"/>
      <c r="L64" s="69"/>
      <c r="M64" s="69"/>
      <c r="N64" s="69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</row>
    <row r="65">
      <c r="A65" s="67">
        <v>61.0</v>
      </c>
      <c r="B65" s="70" t="s">
        <v>671</v>
      </c>
      <c r="C65" s="71" t="s">
        <v>672</v>
      </c>
      <c r="D65" s="72">
        <v>8.0</v>
      </c>
      <c r="E65" s="69">
        <f t="shared" si="1"/>
        <v>88.88888889</v>
      </c>
      <c r="F65" s="69"/>
      <c r="G65" s="69"/>
      <c r="H65" s="69"/>
      <c r="I65" s="69"/>
      <c r="J65" s="69"/>
      <c r="K65" s="69"/>
      <c r="L65" s="69"/>
      <c r="M65" s="69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</row>
    <row r="66">
      <c r="A66" s="67">
        <v>62.0</v>
      </c>
      <c r="B66" s="70" t="s">
        <v>1165</v>
      </c>
      <c r="C66" s="71" t="s">
        <v>675</v>
      </c>
      <c r="D66" s="72">
        <v>8.0</v>
      </c>
      <c r="E66" s="69">
        <f t="shared" si="1"/>
        <v>88.88888889</v>
      </c>
      <c r="F66" s="69"/>
      <c r="G66" s="69"/>
      <c r="H66" s="69"/>
      <c r="I66" s="69"/>
      <c r="J66" s="69"/>
      <c r="K66" s="65"/>
      <c r="L66" s="69"/>
      <c r="M66" s="69"/>
      <c r="N66" s="69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</row>
    <row r="67">
      <c r="A67" s="67">
        <v>63.0</v>
      </c>
      <c r="B67" s="70" t="s">
        <v>1166</v>
      </c>
      <c r="C67" s="71" t="s">
        <v>678</v>
      </c>
      <c r="D67" s="72">
        <v>5.0</v>
      </c>
      <c r="E67" s="69">
        <f t="shared" si="1"/>
        <v>55.55555556</v>
      </c>
      <c r="F67" s="69"/>
      <c r="G67" s="69"/>
      <c r="H67" s="69"/>
      <c r="I67" s="69"/>
      <c r="J67" s="69"/>
      <c r="K67" s="65"/>
      <c r="L67" s="69"/>
      <c r="M67" s="69"/>
      <c r="N67" s="69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</row>
    <row r="68">
      <c r="A68" s="67">
        <v>64.0</v>
      </c>
      <c r="B68" s="70" t="s">
        <v>680</v>
      </c>
      <c r="C68" s="71" t="s">
        <v>681</v>
      </c>
      <c r="D68" s="72">
        <v>9.0</v>
      </c>
      <c r="E68" s="69">
        <f t="shared" si="1"/>
        <v>100</v>
      </c>
      <c r="F68" s="69"/>
      <c r="G68" s="69"/>
      <c r="H68" s="69"/>
      <c r="I68" s="69"/>
      <c r="J68" s="69"/>
      <c r="K68" s="69"/>
      <c r="L68" s="69"/>
      <c r="M68" s="69"/>
      <c r="N68" s="69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</row>
    <row r="69">
      <c r="A69" s="67">
        <v>65.0</v>
      </c>
      <c r="B69" s="70" t="s">
        <v>683</v>
      </c>
      <c r="C69" s="71" t="s">
        <v>684</v>
      </c>
      <c r="D69" s="72">
        <v>8.0</v>
      </c>
      <c r="E69" s="69">
        <f t="shared" si="1"/>
        <v>88.88888889</v>
      </c>
      <c r="F69" s="69"/>
      <c r="G69" s="69"/>
      <c r="H69" s="69"/>
      <c r="I69" s="69"/>
      <c r="J69" s="69"/>
      <c r="K69" s="65"/>
      <c r="L69" s="69"/>
      <c r="M69" s="69"/>
      <c r="N69" s="69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</row>
    <row r="70">
      <c r="A70" s="67">
        <v>66.0</v>
      </c>
      <c r="B70" s="70" t="s">
        <v>686</v>
      </c>
      <c r="C70" s="71" t="s">
        <v>687</v>
      </c>
      <c r="D70" s="72">
        <v>8.0</v>
      </c>
      <c r="E70" s="69">
        <f t="shared" si="1"/>
        <v>88.88888889</v>
      </c>
      <c r="F70" s="69"/>
      <c r="G70" s="69"/>
      <c r="H70" s="69"/>
      <c r="I70" s="69"/>
      <c r="J70" s="69"/>
      <c r="K70" s="65"/>
      <c r="L70" s="69"/>
      <c r="M70" s="69"/>
      <c r="N70" s="69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</row>
    <row r="71">
      <c r="A71" s="67">
        <v>67.0</v>
      </c>
      <c r="B71" s="70" t="s">
        <v>1167</v>
      </c>
      <c r="C71" s="71" t="s">
        <v>690</v>
      </c>
      <c r="D71" s="72">
        <v>8.0</v>
      </c>
      <c r="E71" s="69">
        <f t="shared" si="1"/>
        <v>88.88888889</v>
      </c>
      <c r="F71" s="69"/>
      <c r="G71" s="69"/>
      <c r="H71" s="69"/>
      <c r="I71" s="69"/>
      <c r="J71" s="69"/>
      <c r="K71" s="65"/>
      <c r="L71" s="69"/>
      <c r="M71" s="69"/>
      <c r="N71" s="69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</row>
    <row r="72">
      <c r="A72" s="67">
        <v>68.0</v>
      </c>
      <c r="B72" s="70" t="s">
        <v>1168</v>
      </c>
      <c r="C72" s="71" t="s">
        <v>693</v>
      </c>
      <c r="D72" s="72">
        <v>9.0</v>
      </c>
      <c r="E72" s="69">
        <f t="shared" si="1"/>
        <v>100</v>
      </c>
      <c r="F72" s="69"/>
      <c r="G72" s="69"/>
      <c r="H72" s="69"/>
      <c r="I72" s="69"/>
      <c r="J72" s="69"/>
      <c r="K72" s="69"/>
      <c r="L72" s="69"/>
      <c r="M72" s="69"/>
      <c r="N72" s="69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</row>
    <row r="73">
      <c r="A73" s="67">
        <v>69.0</v>
      </c>
      <c r="B73" s="70" t="s">
        <v>1169</v>
      </c>
      <c r="C73" s="71" t="s">
        <v>696</v>
      </c>
      <c r="D73" s="72">
        <v>9.0</v>
      </c>
      <c r="E73" s="69">
        <f t="shared" si="1"/>
        <v>100</v>
      </c>
      <c r="F73" s="69"/>
      <c r="G73" s="69"/>
      <c r="H73" s="69"/>
      <c r="I73" s="69"/>
      <c r="J73" s="69"/>
      <c r="K73" s="69"/>
      <c r="L73" s="69"/>
      <c r="M73" s="69"/>
      <c r="N73" s="69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</row>
    <row r="74">
      <c r="A74" s="67">
        <v>70.0</v>
      </c>
      <c r="B74" s="70" t="s">
        <v>1170</v>
      </c>
      <c r="C74" s="71" t="s">
        <v>699</v>
      </c>
      <c r="D74" s="72">
        <v>9.0</v>
      </c>
      <c r="E74" s="69">
        <f t="shared" si="1"/>
        <v>100</v>
      </c>
      <c r="F74" s="69"/>
      <c r="G74" s="69"/>
      <c r="H74" s="69"/>
      <c r="I74" s="69"/>
      <c r="J74" s="69"/>
      <c r="K74" s="69"/>
      <c r="L74" s="69"/>
      <c r="M74" s="69"/>
      <c r="N74" s="69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</row>
    <row r="75">
      <c r="A75" s="67">
        <v>71.0</v>
      </c>
      <c r="B75" s="70" t="s">
        <v>701</v>
      </c>
      <c r="C75" s="71" t="s">
        <v>702</v>
      </c>
      <c r="D75" s="72">
        <v>6.0</v>
      </c>
      <c r="E75" s="69">
        <f t="shared" si="1"/>
        <v>66.66666667</v>
      </c>
      <c r="F75" s="69"/>
      <c r="G75" s="69"/>
      <c r="H75" s="69"/>
      <c r="I75" s="69"/>
      <c r="J75" s="69"/>
      <c r="K75" s="65"/>
      <c r="L75" s="69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</row>
    <row r="76">
      <c r="A76" s="67">
        <v>72.0</v>
      </c>
      <c r="B76" s="70" t="s">
        <v>1171</v>
      </c>
      <c r="C76" s="71" t="s">
        <v>705</v>
      </c>
      <c r="D76" s="72">
        <v>9.0</v>
      </c>
      <c r="E76" s="69">
        <f t="shared" si="1"/>
        <v>100</v>
      </c>
      <c r="F76" s="69"/>
      <c r="G76" s="69"/>
      <c r="H76" s="69"/>
      <c r="I76" s="69"/>
      <c r="J76" s="69"/>
      <c r="K76" s="69"/>
      <c r="L76" s="69"/>
      <c r="M76" s="69"/>
      <c r="N76" s="69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</row>
    <row r="77">
      <c r="A77" s="67">
        <v>73.0</v>
      </c>
      <c r="B77" s="70" t="s">
        <v>707</v>
      </c>
      <c r="C77" s="71" t="s">
        <v>708</v>
      </c>
      <c r="D77" s="72">
        <v>8.0</v>
      </c>
      <c r="E77" s="69">
        <f t="shared" si="1"/>
        <v>88.88888889</v>
      </c>
      <c r="F77" s="69"/>
      <c r="G77" s="69"/>
      <c r="H77" s="69"/>
      <c r="I77" s="69"/>
      <c r="J77" s="69"/>
      <c r="K77" s="69"/>
      <c r="L77" s="69"/>
      <c r="M77" s="69"/>
      <c r="N77" s="69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</row>
    <row r="78">
      <c r="A78" s="67">
        <v>74.0</v>
      </c>
      <c r="B78" s="70" t="s">
        <v>1172</v>
      </c>
      <c r="C78" s="71" t="s">
        <v>711</v>
      </c>
      <c r="D78" s="72">
        <v>8.0</v>
      </c>
      <c r="E78" s="69">
        <f t="shared" si="1"/>
        <v>88.88888889</v>
      </c>
      <c r="F78" s="69"/>
      <c r="G78" s="69"/>
      <c r="H78" s="69"/>
      <c r="I78" s="69"/>
      <c r="J78" s="69"/>
      <c r="K78" s="69"/>
      <c r="L78" s="69"/>
      <c r="M78" s="69"/>
      <c r="N78" s="69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</row>
    <row r="79">
      <c r="A79" s="67">
        <v>75.0</v>
      </c>
      <c r="B79" s="70" t="s">
        <v>713</v>
      </c>
      <c r="C79" s="71" t="s">
        <v>714</v>
      </c>
      <c r="D79" s="72">
        <v>9.0</v>
      </c>
      <c r="E79" s="69">
        <f t="shared" si="1"/>
        <v>100</v>
      </c>
      <c r="F79" s="69"/>
      <c r="G79" s="69"/>
      <c r="H79" s="69"/>
      <c r="I79" s="69"/>
      <c r="J79" s="69"/>
      <c r="K79" s="69"/>
      <c r="L79" s="69"/>
      <c r="M79" s="69"/>
      <c r="N79" s="69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</row>
    <row r="80">
      <c r="A80" s="67">
        <v>76.0</v>
      </c>
      <c r="B80" s="70" t="s">
        <v>1173</v>
      </c>
      <c r="C80" s="71" t="s">
        <v>717</v>
      </c>
      <c r="D80" s="72">
        <v>9.0</v>
      </c>
      <c r="E80" s="69">
        <f t="shared" si="1"/>
        <v>100</v>
      </c>
      <c r="F80" s="69"/>
      <c r="G80" s="69"/>
      <c r="H80" s="69"/>
      <c r="I80" s="69"/>
      <c r="J80" s="69"/>
      <c r="K80" s="69"/>
      <c r="L80" s="69"/>
      <c r="M80" s="69"/>
      <c r="N80" s="69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</row>
    <row r="81">
      <c r="A81" s="67">
        <v>77.0</v>
      </c>
      <c r="B81" s="70" t="s">
        <v>1174</v>
      </c>
      <c r="C81" s="71" t="s">
        <v>720</v>
      </c>
      <c r="D81" s="72">
        <v>8.0</v>
      </c>
      <c r="E81" s="69">
        <f t="shared" si="1"/>
        <v>88.88888889</v>
      </c>
      <c r="F81" s="69"/>
      <c r="G81" s="69"/>
      <c r="H81" s="69"/>
      <c r="I81" s="69"/>
      <c r="J81" s="69"/>
      <c r="K81" s="69"/>
      <c r="L81" s="65"/>
      <c r="M81" s="69"/>
      <c r="N81" s="69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</row>
    <row r="82">
      <c r="A82" s="67">
        <v>108.0</v>
      </c>
      <c r="B82" s="35" t="s">
        <v>722</v>
      </c>
      <c r="C82" s="68" t="s">
        <v>723</v>
      </c>
      <c r="D82" s="65">
        <v>6.0</v>
      </c>
      <c r="E82" s="69">
        <f t="shared" si="1"/>
        <v>66.66666667</v>
      </c>
      <c r="F82" s="69"/>
      <c r="G82" s="69"/>
      <c r="H82" s="69"/>
      <c r="I82" s="69"/>
      <c r="J82" s="69"/>
      <c r="K82" s="65"/>
      <c r="L82" s="69"/>
      <c r="M82" s="69"/>
      <c r="N82" s="69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</row>
    <row r="83">
      <c r="A83" s="67">
        <v>105.0</v>
      </c>
      <c r="B83" s="35" t="s">
        <v>1388</v>
      </c>
      <c r="C83" s="68" t="s">
        <v>729</v>
      </c>
      <c r="D83" s="65">
        <v>9.0</v>
      </c>
      <c r="E83" s="69">
        <f t="shared" si="1"/>
        <v>100</v>
      </c>
      <c r="F83" s="69"/>
      <c r="G83" s="69"/>
      <c r="H83" s="69"/>
      <c r="I83" s="69"/>
      <c r="J83" s="69"/>
      <c r="K83" s="69"/>
      <c r="L83" s="69"/>
      <c r="M83" s="69"/>
      <c r="N83" s="69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</row>
    <row r="84">
      <c r="A84" s="67">
        <v>98.0</v>
      </c>
      <c r="B84" s="35" t="s">
        <v>1389</v>
      </c>
      <c r="C84" s="68" t="s">
        <v>732</v>
      </c>
      <c r="D84" s="65">
        <v>7.0</v>
      </c>
      <c r="E84" s="69">
        <f t="shared" si="1"/>
        <v>77.77777778</v>
      </c>
      <c r="F84" s="69"/>
      <c r="G84" s="69"/>
      <c r="H84" s="69"/>
      <c r="I84" s="69"/>
      <c r="J84" s="69"/>
      <c r="K84" s="65"/>
      <c r="L84" s="69"/>
      <c r="M84" s="69"/>
      <c r="N84" s="69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</row>
    <row r="85">
      <c r="A85" s="67">
        <v>99.0</v>
      </c>
      <c r="B85" s="35" t="s">
        <v>734</v>
      </c>
      <c r="C85" s="68" t="s">
        <v>735</v>
      </c>
      <c r="D85" s="65">
        <v>6.0</v>
      </c>
      <c r="E85" s="69">
        <f t="shared" si="1"/>
        <v>66.66666667</v>
      </c>
      <c r="F85" s="69"/>
      <c r="G85" s="69"/>
      <c r="H85" s="69"/>
      <c r="I85" s="69"/>
      <c r="J85" s="69"/>
      <c r="K85" s="65"/>
      <c r="L85" s="69"/>
      <c r="M85" s="69"/>
      <c r="N85" s="69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</row>
    <row r="86">
      <c r="A86" s="74">
        <v>110.0</v>
      </c>
      <c r="B86" s="35" t="s">
        <v>1390</v>
      </c>
      <c r="C86" s="68" t="s">
        <v>738</v>
      </c>
      <c r="D86" s="65">
        <v>8.0</v>
      </c>
      <c r="E86" s="69">
        <f t="shared" si="1"/>
        <v>88.88888889</v>
      </c>
      <c r="F86" s="69"/>
      <c r="G86" s="69"/>
      <c r="H86" s="69"/>
      <c r="I86" s="69"/>
      <c r="J86" s="69"/>
      <c r="K86" s="65"/>
      <c r="L86" s="69"/>
      <c r="M86" s="69"/>
      <c r="N86" s="69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</row>
    <row r="87">
      <c r="A87" s="67">
        <v>88.0</v>
      </c>
      <c r="B87" s="35" t="s">
        <v>1391</v>
      </c>
      <c r="C87" s="68" t="s">
        <v>741</v>
      </c>
      <c r="D87" s="65">
        <v>7.0</v>
      </c>
      <c r="E87" s="69">
        <f t="shared" si="1"/>
        <v>77.77777778</v>
      </c>
      <c r="F87" s="69"/>
      <c r="G87" s="69"/>
      <c r="H87" s="69"/>
      <c r="I87" s="69"/>
      <c r="J87" s="69"/>
      <c r="K87" s="69"/>
      <c r="L87" s="69"/>
      <c r="M87" s="69"/>
      <c r="N87" s="69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</row>
    <row r="88">
      <c r="A88" s="67">
        <v>81.0</v>
      </c>
      <c r="B88" s="35" t="s">
        <v>1177</v>
      </c>
      <c r="C88" s="68" t="s">
        <v>744</v>
      </c>
      <c r="D88" s="65">
        <v>7.0</v>
      </c>
      <c r="E88" s="69">
        <f t="shared" si="1"/>
        <v>77.77777778</v>
      </c>
      <c r="F88" s="69"/>
      <c r="G88" s="69"/>
      <c r="H88" s="69"/>
      <c r="I88" s="69"/>
      <c r="J88" s="69"/>
      <c r="K88" s="65"/>
      <c r="L88" s="69"/>
      <c r="M88" s="69"/>
      <c r="N88" s="69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</row>
    <row r="89">
      <c r="A89" s="67">
        <v>103.0</v>
      </c>
      <c r="B89" s="35" t="s">
        <v>746</v>
      </c>
      <c r="C89" s="68" t="s">
        <v>747</v>
      </c>
      <c r="D89" s="65">
        <v>8.0</v>
      </c>
      <c r="E89" s="69">
        <f t="shared" si="1"/>
        <v>88.88888889</v>
      </c>
      <c r="F89" s="69"/>
      <c r="G89" s="69"/>
      <c r="H89" s="69"/>
      <c r="I89" s="69"/>
      <c r="J89" s="69"/>
      <c r="K89" s="69"/>
      <c r="L89" s="69"/>
      <c r="M89" s="69"/>
      <c r="N89" s="69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</row>
    <row r="90">
      <c r="A90" s="67">
        <v>91.0</v>
      </c>
      <c r="B90" s="35" t="s">
        <v>1392</v>
      </c>
      <c r="C90" s="68" t="s">
        <v>750</v>
      </c>
      <c r="D90" s="65">
        <v>7.0</v>
      </c>
      <c r="E90" s="69">
        <f t="shared" si="1"/>
        <v>77.77777778</v>
      </c>
      <c r="F90" s="69"/>
      <c r="G90" s="69"/>
      <c r="H90" s="69"/>
      <c r="I90" s="69"/>
      <c r="J90" s="69"/>
      <c r="K90" s="65"/>
      <c r="L90" s="69"/>
      <c r="M90" s="69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</row>
    <row r="91">
      <c r="A91" s="67">
        <v>100.0</v>
      </c>
      <c r="B91" s="35" t="s">
        <v>1393</v>
      </c>
      <c r="C91" s="68" t="s">
        <v>753</v>
      </c>
      <c r="D91" s="65">
        <v>7.0</v>
      </c>
      <c r="E91" s="69">
        <f t="shared" si="1"/>
        <v>77.77777778</v>
      </c>
      <c r="F91" s="69"/>
      <c r="G91" s="69"/>
      <c r="H91" s="69"/>
      <c r="I91" s="69"/>
      <c r="J91" s="69"/>
      <c r="K91" s="65"/>
      <c r="L91" s="69"/>
      <c r="M91" s="69"/>
      <c r="N91" s="69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</row>
    <row r="92">
      <c r="A92" s="74">
        <v>109.0</v>
      </c>
      <c r="B92" s="35" t="s">
        <v>1394</v>
      </c>
      <c r="C92" s="68" t="s">
        <v>756</v>
      </c>
      <c r="D92" s="65">
        <v>8.0</v>
      </c>
      <c r="E92" s="69">
        <f t="shared" si="1"/>
        <v>88.88888889</v>
      </c>
      <c r="F92" s="69"/>
      <c r="G92" s="69"/>
      <c r="H92" s="69"/>
      <c r="I92" s="69"/>
      <c r="J92" s="69"/>
      <c r="K92" s="69"/>
      <c r="L92" s="69"/>
      <c r="M92" s="69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</row>
    <row r="93">
      <c r="A93" s="67">
        <v>86.0</v>
      </c>
      <c r="B93" s="35" t="s">
        <v>1395</v>
      </c>
      <c r="C93" s="68" t="s">
        <v>759</v>
      </c>
      <c r="D93" s="65">
        <v>9.0</v>
      </c>
      <c r="E93" s="69">
        <f t="shared" si="1"/>
        <v>100</v>
      </c>
      <c r="F93" s="69"/>
      <c r="G93" s="69"/>
      <c r="H93" s="69"/>
      <c r="I93" s="69"/>
      <c r="J93" s="69"/>
      <c r="K93" s="69"/>
      <c r="L93" s="69"/>
      <c r="M93" s="69"/>
      <c r="N93" s="69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</row>
    <row r="94">
      <c r="A94" s="67">
        <v>94.0</v>
      </c>
      <c r="B94" s="35" t="s">
        <v>1396</v>
      </c>
      <c r="C94" s="68" t="s">
        <v>762</v>
      </c>
      <c r="D94" s="65">
        <v>3.0</v>
      </c>
      <c r="E94" s="69">
        <f t="shared" si="1"/>
        <v>33.33333333</v>
      </c>
      <c r="F94" s="69"/>
      <c r="G94" s="69"/>
      <c r="H94" s="69"/>
      <c r="I94" s="69"/>
      <c r="J94" s="69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</row>
    <row r="95">
      <c r="A95" s="67">
        <v>95.0</v>
      </c>
      <c r="B95" s="35" t="s">
        <v>764</v>
      </c>
      <c r="C95" s="68" t="s">
        <v>765</v>
      </c>
      <c r="D95" s="65">
        <v>6.0</v>
      </c>
      <c r="E95" s="69">
        <f t="shared" si="1"/>
        <v>66.66666667</v>
      </c>
      <c r="F95" s="69"/>
      <c r="G95" s="69"/>
      <c r="H95" s="69"/>
      <c r="I95" s="69"/>
      <c r="J95" s="69"/>
      <c r="K95" s="65"/>
      <c r="L95" s="69"/>
      <c r="M95" s="69"/>
      <c r="N95" s="69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</row>
    <row r="96">
      <c r="A96" s="67">
        <v>97.0</v>
      </c>
      <c r="B96" s="35" t="s">
        <v>1397</v>
      </c>
      <c r="C96" s="68" t="s">
        <v>768</v>
      </c>
      <c r="D96" s="65">
        <v>5.0</v>
      </c>
      <c r="E96" s="69">
        <f t="shared" si="1"/>
        <v>55.55555556</v>
      </c>
      <c r="F96" s="69"/>
      <c r="G96" s="69"/>
      <c r="H96" s="69"/>
      <c r="I96" s="69"/>
      <c r="J96" s="69"/>
      <c r="K96" s="65"/>
      <c r="L96" s="69"/>
      <c r="M96" s="69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</row>
    <row r="97">
      <c r="A97" s="67">
        <v>87.0</v>
      </c>
      <c r="B97" s="35" t="s">
        <v>1398</v>
      </c>
      <c r="C97" s="68" t="s">
        <v>771</v>
      </c>
      <c r="D97" s="65">
        <v>8.0</v>
      </c>
      <c r="E97" s="69">
        <f t="shared" si="1"/>
        <v>88.88888889</v>
      </c>
      <c r="F97" s="69"/>
      <c r="G97" s="69"/>
      <c r="H97" s="69"/>
      <c r="I97" s="69"/>
      <c r="J97" s="69"/>
      <c r="K97" s="65"/>
      <c r="L97" s="69"/>
      <c r="M97" s="69"/>
      <c r="N97" s="69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</row>
    <row r="98">
      <c r="A98" s="67">
        <v>93.0</v>
      </c>
      <c r="B98" s="35" t="s">
        <v>1181</v>
      </c>
      <c r="C98" s="68" t="s">
        <v>774</v>
      </c>
      <c r="D98" s="65">
        <v>7.0</v>
      </c>
      <c r="E98" s="69">
        <f t="shared" si="1"/>
        <v>77.77777778</v>
      </c>
      <c r="F98" s="69"/>
      <c r="G98" s="69"/>
      <c r="H98" s="69"/>
      <c r="I98" s="69"/>
      <c r="J98" s="69"/>
      <c r="K98" s="69"/>
      <c r="L98" s="69"/>
      <c r="M98" s="69"/>
      <c r="N98" s="69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</row>
    <row r="99">
      <c r="A99" s="67">
        <v>82.0</v>
      </c>
      <c r="B99" s="35" t="s">
        <v>775</v>
      </c>
      <c r="C99" s="68" t="s">
        <v>776</v>
      </c>
      <c r="D99" s="65">
        <v>4.0</v>
      </c>
      <c r="E99" s="69">
        <f t="shared" si="1"/>
        <v>44.44444444</v>
      </c>
      <c r="F99" s="69"/>
      <c r="G99" s="69"/>
      <c r="H99" s="69"/>
      <c r="I99" s="69"/>
      <c r="J99" s="69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</row>
    <row r="100">
      <c r="A100" s="67">
        <v>96.0</v>
      </c>
      <c r="B100" s="35" t="s">
        <v>778</v>
      </c>
      <c r="C100" s="68" t="s">
        <v>779</v>
      </c>
      <c r="D100" s="65">
        <v>5.0</v>
      </c>
      <c r="E100" s="69">
        <f t="shared" si="1"/>
        <v>55.55555556</v>
      </c>
      <c r="F100" s="69"/>
      <c r="G100" s="69"/>
      <c r="H100" s="69"/>
      <c r="I100" s="69"/>
      <c r="J100" s="69"/>
      <c r="K100" s="65"/>
      <c r="L100" s="69"/>
      <c r="M100" s="69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</row>
    <row r="101">
      <c r="A101" s="67">
        <v>84.0</v>
      </c>
      <c r="B101" s="35" t="s">
        <v>784</v>
      </c>
      <c r="C101" s="68" t="s">
        <v>785</v>
      </c>
      <c r="D101" s="65">
        <v>8.0</v>
      </c>
      <c r="E101" s="69">
        <f t="shared" si="1"/>
        <v>88.88888889</v>
      </c>
      <c r="F101" s="69"/>
      <c r="G101" s="69"/>
      <c r="H101" s="69"/>
      <c r="I101" s="69"/>
      <c r="J101" s="69"/>
      <c r="K101" s="69"/>
      <c r="L101" s="69"/>
      <c r="M101" s="69"/>
      <c r="N101" s="69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</row>
    <row r="102">
      <c r="A102" s="67">
        <v>104.0</v>
      </c>
      <c r="B102" s="35" t="s">
        <v>1183</v>
      </c>
      <c r="C102" s="68" t="s">
        <v>788</v>
      </c>
      <c r="D102" s="65">
        <v>8.0</v>
      </c>
      <c r="E102" s="69">
        <f t="shared" si="1"/>
        <v>88.88888889</v>
      </c>
      <c r="F102" s="69"/>
      <c r="G102" s="69"/>
      <c r="H102" s="69"/>
      <c r="I102" s="69"/>
      <c r="J102" s="69"/>
      <c r="K102" s="65"/>
      <c r="L102" s="69"/>
      <c r="M102" s="69"/>
      <c r="N102" s="69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</row>
    <row r="103">
      <c r="A103" s="67">
        <v>83.0</v>
      </c>
      <c r="B103" s="35" t="s">
        <v>790</v>
      </c>
      <c r="C103" s="68" t="s">
        <v>791</v>
      </c>
      <c r="D103" s="65">
        <v>7.0</v>
      </c>
      <c r="E103" s="69">
        <f t="shared" si="1"/>
        <v>77.77777778</v>
      </c>
      <c r="F103" s="69"/>
      <c r="G103" s="69"/>
      <c r="H103" s="69"/>
      <c r="I103" s="69"/>
      <c r="J103" s="69"/>
      <c r="K103" s="65"/>
      <c r="L103" s="69"/>
      <c r="M103" s="69"/>
      <c r="N103" s="69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</row>
    <row r="104">
      <c r="A104" s="67">
        <v>101.0</v>
      </c>
      <c r="B104" s="35" t="s">
        <v>1399</v>
      </c>
      <c r="C104" s="68" t="s">
        <v>794</v>
      </c>
      <c r="D104" s="65">
        <v>6.0</v>
      </c>
      <c r="E104" s="69">
        <f t="shared" si="1"/>
        <v>66.66666667</v>
      </c>
      <c r="F104" s="69"/>
      <c r="G104" s="69"/>
      <c r="H104" s="69"/>
      <c r="I104" s="69"/>
      <c r="J104" s="69"/>
      <c r="K104" s="65"/>
      <c r="L104" s="65"/>
      <c r="M104" s="69"/>
      <c r="N104" s="69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</row>
    <row r="105">
      <c r="A105" s="67">
        <v>102.0</v>
      </c>
      <c r="B105" s="35" t="s">
        <v>1400</v>
      </c>
      <c r="C105" s="68" t="s">
        <v>797</v>
      </c>
      <c r="D105" s="65">
        <v>8.0</v>
      </c>
      <c r="E105" s="69">
        <f t="shared" si="1"/>
        <v>88.88888889</v>
      </c>
      <c r="F105" s="69"/>
      <c r="G105" s="69"/>
      <c r="H105" s="69"/>
      <c r="I105" s="69"/>
      <c r="J105" s="69"/>
      <c r="K105" s="65"/>
      <c r="L105" s="69"/>
      <c r="M105" s="69"/>
      <c r="N105" s="69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</row>
    <row r="106">
      <c r="A106" s="67">
        <v>78.0</v>
      </c>
      <c r="B106" s="70" t="s">
        <v>799</v>
      </c>
      <c r="C106" s="71" t="s">
        <v>800</v>
      </c>
      <c r="D106" s="72">
        <v>6.0</v>
      </c>
      <c r="E106" s="69">
        <f t="shared" si="1"/>
        <v>66.66666667</v>
      </c>
      <c r="F106" s="69"/>
      <c r="G106" s="69"/>
      <c r="H106" s="69"/>
      <c r="I106" s="69"/>
      <c r="J106" s="69"/>
      <c r="K106" s="69"/>
      <c r="L106" s="69"/>
      <c r="M106" s="69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</row>
    <row r="107">
      <c r="A107" s="67">
        <v>79.0</v>
      </c>
      <c r="B107" s="70" t="s">
        <v>1278</v>
      </c>
      <c r="C107" s="71" t="s">
        <v>803</v>
      </c>
      <c r="D107" s="72">
        <v>9.0</v>
      </c>
      <c r="E107" s="69">
        <f t="shared" si="1"/>
        <v>100</v>
      </c>
      <c r="F107" s="69"/>
      <c r="G107" s="69"/>
      <c r="H107" s="69"/>
      <c r="I107" s="69"/>
      <c r="J107" s="69"/>
      <c r="K107" s="69"/>
      <c r="L107" s="69"/>
      <c r="M107" s="69"/>
      <c r="N107" s="69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</row>
    <row r="108">
      <c r="A108" s="74"/>
      <c r="B108" s="35"/>
      <c r="C108" s="75"/>
      <c r="D108" s="65"/>
      <c r="E108" s="65"/>
      <c r="F108" s="65"/>
      <c r="G108" s="69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</row>
    <row r="109">
      <c r="A109" s="67"/>
      <c r="B109" s="35"/>
      <c r="C109" s="7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</row>
    <row r="110">
      <c r="A110" s="67"/>
      <c r="B110" s="35"/>
      <c r="C110" s="7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</row>
  </sheetData>
  <autoFilter ref="$A$1:$J$110">
    <sortState ref="A1:J110">
      <sortCondition ref="C1:C110"/>
    </sortState>
  </autoFilter>
  <conditionalFormatting sqref="H2:J107">
    <cfRule type="cellIs" dxfId="0" priority="1" operator="equal">
      <formula>"a"</formula>
    </cfRule>
  </conditionalFormatting>
  <conditionalFormatting sqref="E1:E1000">
    <cfRule type="cellIs" dxfId="0" priority="2" operator="lessThan">
      <formula>30</formula>
    </cfRule>
  </conditionalFormatting>
  <printOptions gridLines="1" horizontalCentered="1"/>
  <pageMargins bottom="0.75" footer="0.0" header="0.0" left="0.7" right="0.7" top="0.75"/>
  <pageSetup paperSize="9" scale="75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40.25"/>
    <col customWidth="1" hidden="1" min="6" max="13" width="16.75"/>
  </cols>
  <sheetData>
    <row r="1">
      <c r="A1" s="76" t="s">
        <v>1401</v>
      </c>
      <c r="B1" s="77" t="s">
        <v>961</v>
      </c>
      <c r="C1" s="77" t="s">
        <v>1381</v>
      </c>
      <c r="D1" s="77" t="s">
        <v>1402</v>
      </c>
      <c r="E1" s="77" t="s">
        <v>1403</v>
      </c>
      <c r="F1" s="78">
        <v>45877.0</v>
      </c>
      <c r="G1" s="22" t="s">
        <v>1404</v>
      </c>
      <c r="H1" s="22" t="s">
        <v>1405</v>
      </c>
      <c r="I1" s="79" t="s">
        <v>1406</v>
      </c>
      <c r="J1" s="22" t="s">
        <v>1407</v>
      </c>
      <c r="K1" s="22" t="s">
        <v>1408</v>
      </c>
      <c r="L1" s="22" t="s">
        <v>1409</v>
      </c>
      <c r="M1" s="80">
        <v>45788.0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81">
        <v>1.0</v>
      </c>
      <c r="B2" s="82" t="s">
        <v>1218</v>
      </c>
      <c r="C2" s="82" t="s">
        <v>331</v>
      </c>
      <c r="D2" s="82" t="s">
        <v>332</v>
      </c>
      <c r="E2" s="82" t="s">
        <v>1410</v>
      </c>
      <c r="F2" s="20" t="s">
        <v>1411</v>
      </c>
      <c r="G2" s="20" t="s">
        <v>1411</v>
      </c>
      <c r="H2" s="20" t="s">
        <v>1411</v>
      </c>
      <c r="I2" s="83" t="s">
        <v>1411</v>
      </c>
      <c r="J2" s="37"/>
      <c r="K2" s="20" t="s">
        <v>1412</v>
      </c>
      <c r="L2" s="20" t="s">
        <v>1412</v>
      </c>
      <c r="M2" s="20" t="s">
        <v>1412</v>
      </c>
      <c r="N2" s="3">
        <f t="shared" ref="N2:N105" si="1">SUMPRODUCT(LEN(F2:M2)-LEN(SUBSTITUTE(LOWER(F2:M2), "p", "")))</f>
        <v>7</v>
      </c>
      <c r="O2" s="3">
        <f t="shared" ref="O2:O105" si="2">(N2/8)*100</f>
        <v>87.5</v>
      </c>
    </row>
    <row r="3">
      <c r="A3" s="81">
        <v>2.0</v>
      </c>
      <c r="B3" s="82" t="s">
        <v>1220</v>
      </c>
      <c r="C3" s="82" t="s">
        <v>334</v>
      </c>
      <c r="D3" s="82" t="s">
        <v>335</v>
      </c>
      <c r="E3" s="82" t="s">
        <v>1410</v>
      </c>
      <c r="F3" s="20" t="s">
        <v>1411</v>
      </c>
      <c r="G3" s="20" t="s">
        <v>1411</v>
      </c>
      <c r="H3" s="20" t="s">
        <v>1411</v>
      </c>
      <c r="I3" s="83" t="s">
        <v>1411</v>
      </c>
      <c r="J3" s="20" t="s">
        <v>1412</v>
      </c>
      <c r="K3" s="20" t="s">
        <v>1412</v>
      </c>
      <c r="L3" s="31"/>
      <c r="M3" s="31"/>
      <c r="N3" s="3">
        <f t="shared" si="1"/>
        <v>6</v>
      </c>
      <c r="O3" s="3">
        <f t="shared" si="2"/>
        <v>75</v>
      </c>
    </row>
    <row r="4">
      <c r="A4" s="81">
        <v>3.0</v>
      </c>
      <c r="B4" s="82" t="s">
        <v>336</v>
      </c>
      <c r="C4" s="82" t="s">
        <v>337</v>
      </c>
      <c r="D4" s="82" t="s">
        <v>338</v>
      </c>
      <c r="E4" s="82" t="s">
        <v>1410</v>
      </c>
      <c r="F4" s="20" t="s">
        <v>1411</v>
      </c>
      <c r="G4" s="20" t="s">
        <v>1411</v>
      </c>
      <c r="H4" s="20" t="s">
        <v>1411</v>
      </c>
      <c r="I4" s="83" t="s">
        <v>1411</v>
      </c>
      <c r="J4" s="20" t="s">
        <v>1412</v>
      </c>
      <c r="K4" s="20" t="s">
        <v>1412</v>
      </c>
      <c r="L4" s="20" t="s">
        <v>1412</v>
      </c>
      <c r="M4" s="20" t="s">
        <v>1412</v>
      </c>
      <c r="N4" s="3">
        <f t="shared" si="1"/>
        <v>8</v>
      </c>
      <c r="O4" s="3">
        <f t="shared" si="2"/>
        <v>100</v>
      </c>
    </row>
    <row r="5">
      <c r="A5" s="81">
        <v>4.0</v>
      </c>
      <c r="B5" s="82" t="s">
        <v>1223</v>
      </c>
      <c r="C5" s="82" t="s">
        <v>340</v>
      </c>
      <c r="D5" s="82" t="s">
        <v>341</v>
      </c>
      <c r="E5" s="82" t="s">
        <v>1410</v>
      </c>
      <c r="F5" s="20" t="s">
        <v>1411</v>
      </c>
      <c r="G5" s="20" t="s">
        <v>1411</v>
      </c>
      <c r="H5" s="20" t="s">
        <v>1411</v>
      </c>
      <c r="I5" s="83" t="s">
        <v>1411</v>
      </c>
      <c r="J5" s="20" t="s">
        <v>1412</v>
      </c>
      <c r="K5" s="20" t="s">
        <v>1412</v>
      </c>
      <c r="L5" s="20" t="s">
        <v>1412</v>
      </c>
      <c r="M5" s="20" t="s">
        <v>1412</v>
      </c>
      <c r="N5" s="3">
        <f t="shared" si="1"/>
        <v>8</v>
      </c>
      <c r="O5" s="3">
        <f t="shared" si="2"/>
        <v>100</v>
      </c>
    </row>
    <row r="6">
      <c r="A6" s="81">
        <v>5.0</v>
      </c>
      <c r="B6" s="82" t="s">
        <v>1225</v>
      </c>
      <c r="C6" s="82" t="s">
        <v>343</v>
      </c>
      <c r="D6" s="82" t="s">
        <v>344</v>
      </c>
      <c r="E6" s="82" t="s">
        <v>1410</v>
      </c>
      <c r="F6" s="20" t="s">
        <v>1411</v>
      </c>
      <c r="G6" s="20" t="s">
        <v>1411</v>
      </c>
      <c r="H6" s="20" t="s">
        <v>1411</v>
      </c>
      <c r="I6" s="83" t="s">
        <v>1411</v>
      </c>
      <c r="J6" s="20" t="s">
        <v>1412</v>
      </c>
      <c r="K6" s="20" t="s">
        <v>1412</v>
      </c>
      <c r="L6" s="20" t="s">
        <v>1412</v>
      </c>
      <c r="M6" s="20" t="s">
        <v>1412</v>
      </c>
      <c r="N6" s="3">
        <f t="shared" si="1"/>
        <v>8</v>
      </c>
      <c r="O6" s="3">
        <f t="shared" si="2"/>
        <v>100</v>
      </c>
    </row>
    <row r="7">
      <c r="A7" s="81">
        <v>6.0</v>
      </c>
      <c r="B7" s="82" t="s">
        <v>1227</v>
      </c>
      <c r="C7" s="82" t="s">
        <v>346</v>
      </c>
      <c r="D7" s="82" t="s">
        <v>347</v>
      </c>
      <c r="E7" s="82" t="s">
        <v>1410</v>
      </c>
      <c r="F7" s="20" t="s">
        <v>1411</v>
      </c>
      <c r="G7" s="20" t="s">
        <v>1411</v>
      </c>
      <c r="H7" s="20" t="s">
        <v>1411</v>
      </c>
      <c r="I7" s="83" t="s">
        <v>1411</v>
      </c>
      <c r="J7" s="20" t="s">
        <v>1412</v>
      </c>
      <c r="K7" s="20" t="s">
        <v>1412</v>
      </c>
      <c r="L7" s="20" t="s">
        <v>1412</v>
      </c>
      <c r="M7" s="20" t="s">
        <v>1412</v>
      </c>
      <c r="N7" s="3">
        <f t="shared" si="1"/>
        <v>8</v>
      </c>
      <c r="O7" s="3">
        <f t="shared" si="2"/>
        <v>100</v>
      </c>
    </row>
    <row r="8">
      <c r="A8" s="81">
        <v>7.0</v>
      </c>
      <c r="B8" s="82" t="s">
        <v>348</v>
      </c>
      <c r="C8" s="82" t="s">
        <v>349</v>
      </c>
      <c r="D8" s="82" t="s">
        <v>350</v>
      </c>
      <c r="E8" s="82" t="s">
        <v>1410</v>
      </c>
      <c r="F8" s="20" t="s">
        <v>1411</v>
      </c>
      <c r="G8" s="20" t="s">
        <v>1411</v>
      </c>
      <c r="H8" s="20" t="s">
        <v>1411</v>
      </c>
      <c r="I8" s="83" t="s">
        <v>1411</v>
      </c>
      <c r="J8" s="20" t="s">
        <v>1412</v>
      </c>
      <c r="K8" s="20" t="s">
        <v>1412</v>
      </c>
      <c r="L8" s="37"/>
      <c r="M8" s="37"/>
      <c r="N8" s="3">
        <f t="shared" si="1"/>
        <v>6</v>
      </c>
      <c r="O8" s="3">
        <f t="shared" si="2"/>
        <v>75</v>
      </c>
    </row>
    <row r="9">
      <c r="A9" s="81">
        <v>8.0</v>
      </c>
      <c r="B9" s="82" t="s">
        <v>1230</v>
      </c>
      <c r="C9" s="82" t="s">
        <v>352</v>
      </c>
      <c r="D9" s="82" t="s">
        <v>353</v>
      </c>
      <c r="E9" s="82" t="s">
        <v>1410</v>
      </c>
      <c r="F9" s="20" t="s">
        <v>1411</v>
      </c>
      <c r="G9" s="20" t="s">
        <v>1411</v>
      </c>
      <c r="H9" s="20" t="s">
        <v>1411</v>
      </c>
      <c r="I9" s="83" t="s">
        <v>1411</v>
      </c>
      <c r="J9" s="20" t="s">
        <v>1412</v>
      </c>
      <c r="K9" s="20" t="s">
        <v>1412</v>
      </c>
      <c r="L9" s="20" t="s">
        <v>1412</v>
      </c>
      <c r="M9" s="20" t="s">
        <v>1412</v>
      </c>
      <c r="N9" s="3">
        <f t="shared" si="1"/>
        <v>8</v>
      </c>
      <c r="O9" s="3">
        <f t="shared" si="2"/>
        <v>100</v>
      </c>
    </row>
    <row r="10">
      <c r="A10" s="81">
        <v>9.0</v>
      </c>
      <c r="B10" s="82" t="s">
        <v>354</v>
      </c>
      <c r="C10" s="82" t="s">
        <v>355</v>
      </c>
      <c r="D10" s="82" t="s">
        <v>356</v>
      </c>
      <c r="E10" s="82" t="s">
        <v>1410</v>
      </c>
      <c r="F10" s="20" t="s">
        <v>1411</v>
      </c>
      <c r="G10" s="20" t="s">
        <v>1411</v>
      </c>
      <c r="H10" s="20" t="s">
        <v>1411</v>
      </c>
      <c r="I10" s="83" t="s">
        <v>1411</v>
      </c>
      <c r="J10" s="20" t="s">
        <v>1412</v>
      </c>
      <c r="K10" s="31"/>
      <c r="L10" s="20" t="s">
        <v>1412</v>
      </c>
      <c r="M10" s="31"/>
      <c r="N10" s="3">
        <f t="shared" si="1"/>
        <v>6</v>
      </c>
      <c r="O10" s="3">
        <f t="shared" si="2"/>
        <v>75</v>
      </c>
    </row>
    <row r="11">
      <c r="A11" s="81">
        <v>10.0</v>
      </c>
      <c r="B11" s="82" t="s">
        <v>1233</v>
      </c>
      <c r="C11" s="82" t="s">
        <v>358</v>
      </c>
      <c r="D11" s="82" t="s">
        <v>359</v>
      </c>
      <c r="E11" s="82" t="s">
        <v>1410</v>
      </c>
      <c r="F11" s="20" t="s">
        <v>1411</v>
      </c>
      <c r="G11" s="20" t="s">
        <v>1411</v>
      </c>
      <c r="H11" s="20" t="s">
        <v>1411</v>
      </c>
      <c r="I11" s="83" t="s">
        <v>1411</v>
      </c>
      <c r="J11" s="20" t="s">
        <v>1412</v>
      </c>
      <c r="K11" s="20" t="s">
        <v>1412</v>
      </c>
      <c r="L11" s="20" t="s">
        <v>1412</v>
      </c>
      <c r="M11" s="20" t="s">
        <v>1412</v>
      </c>
      <c r="N11" s="3">
        <f t="shared" si="1"/>
        <v>8</v>
      </c>
      <c r="O11" s="3">
        <f t="shared" si="2"/>
        <v>100</v>
      </c>
    </row>
    <row r="12">
      <c r="A12" s="81">
        <v>11.0</v>
      </c>
      <c r="B12" s="82" t="s">
        <v>1235</v>
      </c>
      <c r="C12" s="82" t="s">
        <v>361</v>
      </c>
      <c r="D12" s="82" t="s">
        <v>362</v>
      </c>
      <c r="E12" s="82" t="s">
        <v>1410</v>
      </c>
      <c r="F12" s="20" t="s">
        <v>1411</v>
      </c>
      <c r="G12" s="20" t="s">
        <v>1411</v>
      </c>
      <c r="H12" s="20" t="s">
        <v>1411</v>
      </c>
      <c r="I12" s="83" t="s">
        <v>1411</v>
      </c>
      <c r="J12" s="20" t="s">
        <v>1412</v>
      </c>
      <c r="K12" s="20" t="s">
        <v>1412</v>
      </c>
      <c r="L12" s="20" t="s">
        <v>1412</v>
      </c>
      <c r="M12" s="20" t="s">
        <v>1412</v>
      </c>
      <c r="N12" s="3">
        <f t="shared" si="1"/>
        <v>8</v>
      </c>
      <c r="O12" s="3">
        <f t="shared" si="2"/>
        <v>100</v>
      </c>
    </row>
    <row r="13">
      <c r="A13" s="81">
        <v>12.0</v>
      </c>
      <c r="B13" s="82" t="s">
        <v>363</v>
      </c>
      <c r="C13" s="82" t="s">
        <v>364</v>
      </c>
      <c r="D13" s="82" t="s">
        <v>365</v>
      </c>
      <c r="E13" s="82" t="s">
        <v>1410</v>
      </c>
      <c r="F13" s="20" t="s">
        <v>1411</v>
      </c>
      <c r="G13" s="20" t="s">
        <v>1411</v>
      </c>
      <c r="H13" s="20" t="s">
        <v>1411</v>
      </c>
      <c r="I13" s="83" t="s">
        <v>1411</v>
      </c>
      <c r="J13" s="20" t="s">
        <v>1412</v>
      </c>
      <c r="K13" s="20" t="s">
        <v>1412</v>
      </c>
      <c r="L13" s="20" t="s">
        <v>1412</v>
      </c>
      <c r="M13" s="20" t="s">
        <v>1412</v>
      </c>
      <c r="N13" s="3">
        <f t="shared" si="1"/>
        <v>8</v>
      </c>
      <c r="O13" s="3">
        <f t="shared" si="2"/>
        <v>100</v>
      </c>
    </row>
    <row r="14">
      <c r="A14" s="81">
        <v>13.0</v>
      </c>
      <c r="B14" s="82" t="s">
        <v>366</v>
      </c>
      <c r="C14" s="82" t="s">
        <v>367</v>
      </c>
      <c r="D14" s="82" t="s">
        <v>368</v>
      </c>
      <c r="E14" s="82" t="s">
        <v>1410</v>
      </c>
      <c r="F14" s="20" t="s">
        <v>1411</v>
      </c>
      <c r="G14" s="20" t="s">
        <v>1411</v>
      </c>
      <c r="H14" s="20" t="s">
        <v>1411</v>
      </c>
      <c r="I14" s="83" t="s">
        <v>1411</v>
      </c>
      <c r="J14" s="20" t="s">
        <v>1412</v>
      </c>
      <c r="K14" s="20" t="s">
        <v>1412</v>
      </c>
      <c r="L14" s="20" t="s">
        <v>1412</v>
      </c>
      <c r="M14" s="20" t="s">
        <v>1412</v>
      </c>
      <c r="N14" s="3">
        <f t="shared" si="1"/>
        <v>8</v>
      </c>
      <c r="O14" s="3">
        <f t="shared" si="2"/>
        <v>100</v>
      </c>
    </row>
    <row r="15">
      <c r="A15" s="81">
        <v>14.0</v>
      </c>
      <c r="B15" s="82" t="s">
        <v>369</v>
      </c>
      <c r="C15" s="82" t="s">
        <v>370</v>
      </c>
      <c r="D15" s="82" t="s">
        <v>371</v>
      </c>
      <c r="E15" s="82" t="s">
        <v>1410</v>
      </c>
      <c r="F15" s="20" t="s">
        <v>1411</v>
      </c>
      <c r="G15" s="20" t="s">
        <v>1411</v>
      </c>
      <c r="H15" s="20" t="s">
        <v>1411</v>
      </c>
      <c r="I15" s="83" t="s">
        <v>1411</v>
      </c>
      <c r="J15" s="20" t="s">
        <v>1412</v>
      </c>
      <c r="K15" s="31"/>
      <c r="L15" s="20" t="s">
        <v>1412</v>
      </c>
      <c r="M15" s="31"/>
      <c r="N15" s="3">
        <f t="shared" si="1"/>
        <v>6</v>
      </c>
      <c r="O15" s="3">
        <f t="shared" si="2"/>
        <v>75</v>
      </c>
    </row>
    <row r="16">
      <c r="A16" s="81">
        <v>15.0</v>
      </c>
      <c r="B16" s="82" t="s">
        <v>1239</v>
      </c>
      <c r="C16" s="82" t="s">
        <v>373</v>
      </c>
      <c r="D16" s="82" t="s">
        <v>1413</v>
      </c>
      <c r="E16" s="82" t="s">
        <v>1410</v>
      </c>
      <c r="F16" s="20" t="s">
        <v>1411</v>
      </c>
      <c r="G16" s="20" t="s">
        <v>1411</v>
      </c>
      <c r="H16" s="20" t="s">
        <v>1411</v>
      </c>
      <c r="I16" s="83" t="s">
        <v>1411</v>
      </c>
      <c r="J16" s="20" t="s">
        <v>1412</v>
      </c>
      <c r="K16" s="20" t="s">
        <v>1412</v>
      </c>
      <c r="L16" s="20" t="s">
        <v>1412</v>
      </c>
      <c r="M16" s="20" t="s">
        <v>1412</v>
      </c>
      <c r="N16" s="3">
        <f t="shared" si="1"/>
        <v>8</v>
      </c>
      <c r="O16" s="3">
        <f t="shared" si="2"/>
        <v>100</v>
      </c>
    </row>
    <row r="17">
      <c r="A17" s="81">
        <v>16.0</v>
      </c>
      <c r="B17" s="82" t="s">
        <v>1241</v>
      </c>
      <c r="C17" s="82" t="s">
        <v>376</v>
      </c>
      <c r="D17" s="82" t="s">
        <v>377</v>
      </c>
      <c r="E17" s="82" t="s">
        <v>1410</v>
      </c>
      <c r="F17" s="37" t="s">
        <v>1414</v>
      </c>
      <c r="G17" s="37" t="s">
        <v>1414</v>
      </c>
      <c r="H17" s="37" t="s">
        <v>1414</v>
      </c>
      <c r="I17" s="84" t="s">
        <v>1414</v>
      </c>
      <c r="J17" s="31"/>
      <c r="K17" s="31"/>
      <c r="L17" s="31"/>
      <c r="M17" s="31"/>
      <c r="N17" s="3">
        <f t="shared" si="1"/>
        <v>0</v>
      </c>
      <c r="O17" s="3">
        <f t="shared" si="2"/>
        <v>0</v>
      </c>
    </row>
    <row r="18">
      <c r="A18" s="81">
        <v>17.0</v>
      </c>
      <c r="B18" s="82" t="s">
        <v>1243</v>
      </c>
      <c r="C18" s="82" t="s">
        <v>379</v>
      </c>
      <c r="D18" s="82" t="s">
        <v>380</v>
      </c>
      <c r="E18" s="82" t="s">
        <v>1410</v>
      </c>
      <c r="F18" s="20" t="s">
        <v>1411</v>
      </c>
      <c r="G18" s="20" t="s">
        <v>1411</v>
      </c>
      <c r="H18" s="20" t="s">
        <v>1411</v>
      </c>
      <c r="I18" s="83" t="s">
        <v>1411</v>
      </c>
      <c r="J18" s="20" t="s">
        <v>1412</v>
      </c>
      <c r="K18" s="20" t="s">
        <v>1412</v>
      </c>
      <c r="L18" s="20" t="s">
        <v>1412</v>
      </c>
      <c r="M18" s="20" t="s">
        <v>1412</v>
      </c>
      <c r="N18" s="3">
        <f t="shared" si="1"/>
        <v>8</v>
      </c>
      <c r="O18" s="3">
        <f t="shared" si="2"/>
        <v>100</v>
      </c>
    </row>
    <row r="19">
      <c r="A19" s="81">
        <v>18.0</v>
      </c>
      <c r="B19" s="82" t="s">
        <v>1245</v>
      </c>
      <c r="C19" s="82" t="s">
        <v>382</v>
      </c>
      <c r="D19" s="82" t="s">
        <v>383</v>
      </c>
      <c r="E19" s="82" t="s">
        <v>1410</v>
      </c>
      <c r="F19" s="20" t="s">
        <v>1411</v>
      </c>
      <c r="G19" s="20" t="s">
        <v>1411</v>
      </c>
      <c r="H19" s="20" t="s">
        <v>1411</v>
      </c>
      <c r="I19" s="83" t="s">
        <v>1411</v>
      </c>
      <c r="J19" s="20" t="s">
        <v>1412</v>
      </c>
      <c r="K19" s="31"/>
      <c r="L19" s="20" t="s">
        <v>1412</v>
      </c>
      <c r="M19" s="31"/>
      <c r="N19" s="3">
        <f t="shared" si="1"/>
        <v>6</v>
      </c>
      <c r="O19" s="3">
        <f t="shared" si="2"/>
        <v>75</v>
      </c>
    </row>
    <row r="20">
      <c r="A20" s="81">
        <v>19.0</v>
      </c>
      <c r="B20" s="82" t="s">
        <v>384</v>
      </c>
      <c r="C20" s="82" t="s">
        <v>385</v>
      </c>
      <c r="D20" s="82" t="s">
        <v>386</v>
      </c>
      <c r="E20" s="82" t="s">
        <v>1410</v>
      </c>
      <c r="F20" s="20" t="s">
        <v>1411</v>
      </c>
      <c r="G20" s="20" t="s">
        <v>1411</v>
      </c>
      <c r="H20" s="20" t="s">
        <v>1411</v>
      </c>
      <c r="I20" s="83" t="s">
        <v>1411</v>
      </c>
      <c r="J20" s="20" t="s">
        <v>1412</v>
      </c>
      <c r="K20" s="20" t="s">
        <v>1412</v>
      </c>
      <c r="L20" s="20" t="s">
        <v>1412</v>
      </c>
      <c r="M20" s="31"/>
      <c r="N20" s="3">
        <f t="shared" si="1"/>
        <v>7</v>
      </c>
      <c r="O20" s="3">
        <f t="shared" si="2"/>
        <v>87.5</v>
      </c>
    </row>
    <row r="21">
      <c r="A21" s="81">
        <v>20.0</v>
      </c>
      <c r="B21" s="82" t="s">
        <v>387</v>
      </c>
      <c r="C21" s="82" t="s">
        <v>388</v>
      </c>
      <c r="D21" s="82" t="s">
        <v>389</v>
      </c>
      <c r="E21" s="82" t="s">
        <v>1410</v>
      </c>
      <c r="F21" s="20" t="s">
        <v>1411</v>
      </c>
      <c r="G21" s="20" t="s">
        <v>1411</v>
      </c>
      <c r="H21" s="20" t="s">
        <v>1411</v>
      </c>
      <c r="I21" s="83" t="s">
        <v>1411</v>
      </c>
      <c r="J21" s="20" t="s">
        <v>1412</v>
      </c>
      <c r="K21" s="20" t="s">
        <v>1412</v>
      </c>
      <c r="L21" s="20" t="s">
        <v>1412</v>
      </c>
      <c r="M21" s="20" t="s">
        <v>1412</v>
      </c>
      <c r="N21" s="3">
        <f t="shared" si="1"/>
        <v>8</v>
      </c>
      <c r="O21" s="3">
        <f t="shared" si="2"/>
        <v>100</v>
      </c>
    </row>
    <row r="22">
      <c r="A22" s="81">
        <v>21.0</v>
      </c>
      <c r="B22" s="82" t="s">
        <v>390</v>
      </c>
      <c r="C22" s="82" t="s">
        <v>391</v>
      </c>
      <c r="D22" s="82" t="s">
        <v>392</v>
      </c>
      <c r="E22" s="82" t="s">
        <v>1410</v>
      </c>
      <c r="F22" s="20" t="s">
        <v>1411</v>
      </c>
      <c r="G22" s="20" t="s">
        <v>1411</v>
      </c>
      <c r="H22" s="20" t="s">
        <v>1411</v>
      </c>
      <c r="I22" s="83" t="s">
        <v>1411</v>
      </c>
      <c r="J22" s="20" t="s">
        <v>1412</v>
      </c>
      <c r="K22" s="20" t="s">
        <v>1412</v>
      </c>
      <c r="L22" s="20" t="s">
        <v>1412</v>
      </c>
      <c r="M22" s="20" t="s">
        <v>1412</v>
      </c>
      <c r="N22" s="3">
        <f t="shared" si="1"/>
        <v>8</v>
      </c>
      <c r="O22" s="3">
        <f t="shared" si="2"/>
        <v>100</v>
      </c>
    </row>
    <row r="23">
      <c r="A23" s="81">
        <v>22.0</v>
      </c>
      <c r="B23" s="82" t="s">
        <v>1250</v>
      </c>
      <c r="C23" s="82" t="s">
        <v>394</v>
      </c>
      <c r="D23" s="82" t="s">
        <v>1415</v>
      </c>
      <c r="E23" s="82" t="s">
        <v>1410</v>
      </c>
      <c r="F23" s="20" t="s">
        <v>1411</v>
      </c>
      <c r="G23" s="20" t="s">
        <v>1411</v>
      </c>
      <c r="H23" s="20" t="s">
        <v>1411</v>
      </c>
      <c r="I23" s="83" t="s">
        <v>1411</v>
      </c>
      <c r="J23" s="20" t="s">
        <v>1412</v>
      </c>
      <c r="K23" s="20" t="s">
        <v>1412</v>
      </c>
      <c r="L23" s="20" t="s">
        <v>1412</v>
      </c>
      <c r="M23" s="20" t="s">
        <v>1412</v>
      </c>
      <c r="N23" s="3">
        <f t="shared" si="1"/>
        <v>8</v>
      </c>
      <c r="O23" s="3">
        <f t="shared" si="2"/>
        <v>100</v>
      </c>
    </row>
    <row r="24">
      <c r="A24" s="81">
        <v>23.0</v>
      </c>
      <c r="B24" s="82" t="s">
        <v>1252</v>
      </c>
      <c r="C24" s="82" t="s">
        <v>397</v>
      </c>
      <c r="D24" s="82" t="s">
        <v>398</v>
      </c>
      <c r="E24" s="82" t="s">
        <v>1410</v>
      </c>
      <c r="F24" s="20" t="s">
        <v>1411</v>
      </c>
      <c r="G24" s="20" t="s">
        <v>1411</v>
      </c>
      <c r="H24" s="20" t="s">
        <v>1411</v>
      </c>
      <c r="I24" s="83" t="s">
        <v>1411</v>
      </c>
      <c r="J24" s="20" t="s">
        <v>1412</v>
      </c>
      <c r="K24" s="20" t="s">
        <v>1412</v>
      </c>
      <c r="L24" s="20" t="s">
        <v>1412</v>
      </c>
      <c r="M24" s="31"/>
      <c r="N24" s="3">
        <f t="shared" si="1"/>
        <v>7</v>
      </c>
      <c r="O24" s="3">
        <f t="shared" si="2"/>
        <v>87.5</v>
      </c>
    </row>
    <row r="25">
      <c r="A25" s="81">
        <v>24.0</v>
      </c>
      <c r="B25" s="82" t="s">
        <v>399</v>
      </c>
      <c r="C25" s="82" t="s">
        <v>400</v>
      </c>
      <c r="D25" s="82" t="s">
        <v>401</v>
      </c>
      <c r="E25" s="82" t="s">
        <v>1410</v>
      </c>
      <c r="F25" s="20" t="s">
        <v>1411</v>
      </c>
      <c r="G25" s="20"/>
      <c r="H25" s="20" t="s">
        <v>1411</v>
      </c>
      <c r="I25" s="83" t="s">
        <v>1411</v>
      </c>
      <c r="J25" s="31"/>
      <c r="K25" s="31"/>
      <c r="L25" s="31"/>
      <c r="M25" s="31"/>
      <c r="N25" s="3">
        <f t="shared" si="1"/>
        <v>3</v>
      </c>
      <c r="O25" s="3">
        <f t="shared" si="2"/>
        <v>37.5</v>
      </c>
    </row>
    <row r="26">
      <c r="A26" s="81">
        <v>25.0</v>
      </c>
      <c r="B26" s="82" t="s">
        <v>402</v>
      </c>
      <c r="C26" s="82" t="s">
        <v>403</v>
      </c>
      <c r="D26" s="82" t="s">
        <v>404</v>
      </c>
      <c r="E26" s="82" t="s">
        <v>1410</v>
      </c>
      <c r="F26" s="20" t="s">
        <v>1411</v>
      </c>
      <c r="G26" s="20" t="s">
        <v>1411</v>
      </c>
      <c r="H26" s="20" t="s">
        <v>1411</v>
      </c>
      <c r="I26" s="83" t="s">
        <v>1411</v>
      </c>
      <c r="J26" s="20" t="s">
        <v>1412</v>
      </c>
      <c r="K26" s="20" t="s">
        <v>1412</v>
      </c>
      <c r="L26" s="20" t="s">
        <v>1412</v>
      </c>
      <c r="M26" s="20" t="s">
        <v>1412</v>
      </c>
      <c r="N26" s="3">
        <f t="shared" si="1"/>
        <v>8</v>
      </c>
      <c r="O26" s="3">
        <f t="shared" si="2"/>
        <v>100</v>
      </c>
    </row>
    <row r="27">
      <c r="A27" s="81">
        <v>26.0</v>
      </c>
      <c r="B27" s="82" t="s">
        <v>405</v>
      </c>
      <c r="C27" s="82" t="s">
        <v>406</v>
      </c>
      <c r="D27" s="82" t="s">
        <v>407</v>
      </c>
      <c r="E27" s="82" t="s">
        <v>1410</v>
      </c>
      <c r="F27" s="20" t="s">
        <v>1411</v>
      </c>
      <c r="G27" s="20" t="s">
        <v>1411</v>
      </c>
      <c r="H27" s="20" t="s">
        <v>1411</v>
      </c>
      <c r="I27" s="83" t="s">
        <v>1411</v>
      </c>
      <c r="J27" s="20" t="s">
        <v>1412</v>
      </c>
      <c r="K27" s="31"/>
      <c r="L27" s="20" t="s">
        <v>1412</v>
      </c>
      <c r="M27" s="20" t="s">
        <v>1412</v>
      </c>
      <c r="N27" s="3">
        <f t="shared" si="1"/>
        <v>7</v>
      </c>
      <c r="O27" s="3">
        <f t="shared" si="2"/>
        <v>87.5</v>
      </c>
    </row>
    <row r="28">
      <c r="A28" s="81">
        <v>27.0</v>
      </c>
      <c r="B28" s="82" t="s">
        <v>408</v>
      </c>
      <c r="C28" s="82" t="s">
        <v>409</v>
      </c>
      <c r="D28" s="82" t="s">
        <v>410</v>
      </c>
      <c r="E28" s="82" t="s">
        <v>1410</v>
      </c>
      <c r="F28" s="20" t="s">
        <v>1411</v>
      </c>
      <c r="G28" s="20" t="s">
        <v>1411</v>
      </c>
      <c r="H28" s="20" t="s">
        <v>1411</v>
      </c>
      <c r="I28" s="83" t="s">
        <v>1411</v>
      </c>
      <c r="J28" s="20" t="s">
        <v>1412</v>
      </c>
      <c r="K28" s="20" t="s">
        <v>1412</v>
      </c>
      <c r="L28" s="20" t="s">
        <v>1412</v>
      </c>
      <c r="M28" s="20" t="s">
        <v>1412</v>
      </c>
      <c r="N28" s="3">
        <f t="shared" si="1"/>
        <v>8</v>
      </c>
      <c r="O28" s="3">
        <f t="shared" si="2"/>
        <v>100</v>
      </c>
    </row>
    <row r="29">
      <c r="A29" s="81">
        <v>28.0</v>
      </c>
      <c r="B29" s="82" t="s">
        <v>411</v>
      </c>
      <c r="C29" s="82" t="s">
        <v>412</v>
      </c>
      <c r="D29" s="82" t="s">
        <v>413</v>
      </c>
      <c r="E29" s="82" t="s">
        <v>1410</v>
      </c>
      <c r="F29" s="20" t="s">
        <v>1411</v>
      </c>
      <c r="G29" s="20" t="s">
        <v>1411</v>
      </c>
      <c r="H29" s="20" t="s">
        <v>1411</v>
      </c>
      <c r="I29" s="83" t="s">
        <v>1411</v>
      </c>
      <c r="J29" s="20" t="s">
        <v>1412</v>
      </c>
      <c r="K29" s="20" t="s">
        <v>1412</v>
      </c>
      <c r="L29" s="20" t="s">
        <v>1412</v>
      </c>
      <c r="M29" s="20" t="s">
        <v>1412</v>
      </c>
      <c r="N29" s="3">
        <f t="shared" si="1"/>
        <v>8</v>
      </c>
      <c r="O29" s="3">
        <f t="shared" si="2"/>
        <v>100</v>
      </c>
    </row>
    <row r="30">
      <c r="A30" s="81">
        <v>29.0</v>
      </c>
      <c r="B30" s="82" t="s">
        <v>1258</v>
      </c>
      <c r="C30" s="82" t="s">
        <v>415</v>
      </c>
      <c r="D30" s="82" t="s">
        <v>416</v>
      </c>
      <c r="E30" s="82" t="s">
        <v>1410</v>
      </c>
      <c r="F30" s="20" t="s">
        <v>1411</v>
      </c>
      <c r="G30" s="20" t="s">
        <v>1411</v>
      </c>
      <c r="H30" s="20" t="s">
        <v>1411</v>
      </c>
      <c r="I30" s="83" t="s">
        <v>1411</v>
      </c>
      <c r="J30" s="20" t="s">
        <v>1412</v>
      </c>
      <c r="K30" s="20" t="s">
        <v>1412</v>
      </c>
      <c r="L30" s="20" t="s">
        <v>1412</v>
      </c>
      <c r="M30" s="20" t="s">
        <v>1412</v>
      </c>
      <c r="N30" s="3">
        <f t="shared" si="1"/>
        <v>8</v>
      </c>
      <c r="O30" s="3">
        <f t="shared" si="2"/>
        <v>100</v>
      </c>
    </row>
    <row r="31">
      <c r="A31" s="81">
        <v>30.0</v>
      </c>
      <c r="B31" s="82" t="s">
        <v>417</v>
      </c>
      <c r="C31" s="82" t="s">
        <v>418</v>
      </c>
      <c r="D31" s="82" t="s">
        <v>419</v>
      </c>
      <c r="E31" s="82" t="s">
        <v>1410</v>
      </c>
      <c r="F31" s="20" t="s">
        <v>1411</v>
      </c>
      <c r="G31" s="20" t="s">
        <v>1411</v>
      </c>
      <c r="H31" s="20" t="s">
        <v>1411</v>
      </c>
      <c r="I31" s="83" t="s">
        <v>1411</v>
      </c>
      <c r="J31" s="20" t="s">
        <v>1412</v>
      </c>
      <c r="K31" s="31"/>
      <c r="L31" s="20" t="s">
        <v>1412</v>
      </c>
      <c r="M31" s="31"/>
      <c r="N31" s="3">
        <f t="shared" si="1"/>
        <v>6</v>
      </c>
      <c r="O31" s="3">
        <f t="shared" si="2"/>
        <v>75</v>
      </c>
    </row>
    <row r="32">
      <c r="A32" s="81">
        <v>31.0</v>
      </c>
      <c r="B32" s="82" t="s">
        <v>420</v>
      </c>
      <c r="C32" s="82" t="s">
        <v>421</v>
      </c>
      <c r="D32" s="82" t="s">
        <v>422</v>
      </c>
      <c r="E32" s="82" t="s">
        <v>1410</v>
      </c>
      <c r="F32" s="20" t="s">
        <v>1411</v>
      </c>
      <c r="G32" s="20" t="s">
        <v>1411</v>
      </c>
      <c r="H32" s="20" t="s">
        <v>1411</v>
      </c>
      <c r="I32" s="83" t="s">
        <v>1411</v>
      </c>
      <c r="J32" s="20" t="s">
        <v>1412</v>
      </c>
      <c r="K32" s="20" t="s">
        <v>1412</v>
      </c>
      <c r="L32" s="20" t="s">
        <v>1412</v>
      </c>
      <c r="M32" s="20" t="s">
        <v>1412</v>
      </c>
      <c r="N32" s="3">
        <f t="shared" si="1"/>
        <v>8</v>
      </c>
      <c r="O32" s="3">
        <f t="shared" si="2"/>
        <v>100</v>
      </c>
    </row>
    <row r="33">
      <c r="A33" s="81">
        <v>32.0</v>
      </c>
      <c r="B33" s="82" t="s">
        <v>1261</v>
      </c>
      <c r="C33" s="82" t="s">
        <v>424</v>
      </c>
      <c r="D33" s="82" t="s">
        <v>1416</v>
      </c>
      <c r="E33" s="82" t="s">
        <v>1410</v>
      </c>
      <c r="F33" s="20" t="s">
        <v>1411</v>
      </c>
      <c r="G33" s="20" t="s">
        <v>1411</v>
      </c>
      <c r="H33" s="20" t="s">
        <v>1411</v>
      </c>
      <c r="I33" s="83" t="s">
        <v>1411</v>
      </c>
      <c r="J33" s="20" t="s">
        <v>1412</v>
      </c>
      <c r="K33" s="20" t="s">
        <v>1412</v>
      </c>
      <c r="L33" s="20" t="s">
        <v>1412</v>
      </c>
      <c r="M33" s="20" t="s">
        <v>1412</v>
      </c>
      <c r="N33" s="3">
        <f t="shared" si="1"/>
        <v>8</v>
      </c>
      <c r="O33" s="3">
        <f t="shared" si="2"/>
        <v>100</v>
      </c>
    </row>
    <row r="34">
      <c r="A34" s="81">
        <v>33.0</v>
      </c>
      <c r="B34" s="82" t="s">
        <v>1263</v>
      </c>
      <c r="C34" s="82" t="s">
        <v>427</v>
      </c>
      <c r="D34" s="82" t="s">
        <v>428</v>
      </c>
      <c r="E34" s="82" t="s">
        <v>1410</v>
      </c>
      <c r="F34" s="20" t="s">
        <v>1411</v>
      </c>
      <c r="G34" s="20" t="s">
        <v>1411</v>
      </c>
      <c r="H34" s="20" t="s">
        <v>1411</v>
      </c>
      <c r="I34" s="83" t="s">
        <v>1411</v>
      </c>
      <c r="J34" s="20" t="s">
        <v>1412</v>
      </c>
      <c r="K34" s="20" t="s">
        <v>1412</v>
      </c>
      <c r="L34" s="20" t="s">
        <v>1412</v>
      </c>
      <c r="M34" s="20" t="s">
        <v>1412</v>
      </c>
      <c r="N34" s="3">
        <f t="shared" si="1"/>
        <v>8</v>
      </c>
      <c r="O34" s="3">
        <f t="shared" si="2"/>
        <v>100</v>
      </c>
    </row>
    <row r="35">
      <c r="A35" s="81">
        <v>34.0</v>
      </c>
      <c r="B35" s="82" t="s">
        <v>429</v>
      </c>
      <c r="C35" s="82" t="s">
        <v>430</v>
      </c>
      <c r="D35" s="82" t="s">
        <v>431</v>
      </c>
      <c r="E35" s="82" t="s">
        <v>1410</v>
      </c>
      <c r="F35" s="20" t="s">
        <v>1411</v>
      </c>
      <c r="G35" s="20" t="s">
        <v>1411</v>
      </c>
      <c r="H35" s="20" t="s">
        <v>1411</v>
      </c>
      <c r="I35" s="83" t="s">
        <v>1411</v>
      </c>
      <c r="J35" s="20" t="s">
        <v>1412</v>
      </c>
      <c r="K35" s="20" t="s">
        <v>1412</v>
      </c>
      <c r="L35" s="20" t="s">
        <v>1412</v>
      </c>
      <c r="M35" s="20" t="s">
        <v>1412</v>
      </c>
      <c r="N35" s="3">
        <f t="shared" si="1"/>
        <v>8</v>
      </c>
      <c r="O35" s="3">
        <f t="shared" si="2"/>
        <v>100</v>
      </c>
    </row>
    <row r="36">
      <c r="A36" s="81">
        <v>35.0</v>
      </c>
      <c r="B36" s="82" t="s">
        <v>432</v>
      </c>
      <c r="C36" s="82" t="s">
        <v>433</v>
      </c>
      <c r="D36" s="82" t="s">
        <v>434</v>
      </c>
      <c r="E36" s="82" t="s">
        <v>1410</v>
      </c>
      <c r="F36" s="20" t="s">
        <v>1411</v>
      </c>
      <c r="G36" s="20" t="s">
        <v>1411</v>
      </c>
      <c r="H36" s="20" t="s">
        <v>1411</v>
      </c>
      <c r="I36" s="83" t="s">
        <v>1411</v>
      </c>
      <c r="J36" s="20" t="s">
        <v>1412</v>
      </c>
      <c r="K36" s="20" t="s">
        <v>1412</v>
      </c>
      <c r="L36" s="20" t="s">
        <v>1412</v>
      </c>
      <c r="M36" s="20" t="s">
        <v>1412</v>
      </c>
      <c r="N36" s="3">
        <f t="shared" si="1"/>
        <v>8</v>
      </c>
      <c r="O36" s="3">
        <f t="shared" si="2"/>
        <v>100</v>
      </c>
    </row>
    <row r="37">
      <c r="A37" s="81">
        <v>36.0</v>
      </c>
      <c r="B37" s="82" t="s">
        <v>435</v>
      </c>
      <c r="C37" s="82" t="s">
        <v>436</v>
      </c>
      <c r="D37" s="82" t="s">
        <v>437</v>
      </c>
      <c r="E37" s="82" t="s">
        <v>1410</v>
      </c>
      <c r="F37" s="20" t="s">
        <v>1411</v>
      </c>
      <c r="G37" s="20" t="s">
        <v>1411</v>
      </c>
      <c r="H37" s="20" t="s">
        <v>1411</v>
      </c>
      <c r="I37" s="83" t="s">
        <v>1411</v>
      </c>
      <c r="J37" s="20" t="s">
        <v>1412</v>
      </c>
      <c r="K37" s="20" t="s">
        <v>1412</v>
      </c>
      <c r="L37" s="20" t="s">
        <v>1412</v>
      </c>
      <c r="M37" s="20" t="s">
        <v>1412</v>
      </c>
      <c r="N37" s="3">
        <f t="shared" si="1"/>
        <v>8</v>
      </c>
      <c r="O37" s="3">
        <f t="shared" si="2"/>
        <v>100</v>
      </c>
    </row>
    <row r="38">
      <c r="A38" s="81">
        <v>37.0</v>
      </c>
      <c r="B38" s="82" t="s">
        <v>438</v>
      </c>
      <c r="C38" s="82" t="s">
        <v>439</v>
      </c>
      <c r="D38" s="82" t="s">
        <v>440</v>
      </c>
      <c r="E38" s="82" t="s">
        <v>1410</v>
      </c>
      <c r="F38" s="20" t="s">
        <v>1411</v>
      </c>
      <c r="G38" s="20" t="s">
        <v>1411</v>
      </c>
      <c r="H38" s="20" t="s">
        <v>1411</v>
      </c>
      <c r="I38" s="83" t="s">
        <v>1411</v>
      </c>
      <c r="J38" s="20" t="s">
        <v>1412</v>
      </c>
      <c r="K38" s="20" t="s">
        <v>1412</v>
      </c>
      <c r="L38" s="20" t="s">
        <v>1412</v>
      </c>
      <c r="M38" s="31"/>
      <c r="N38" s="3">
        <f t="shared" si="1"/>
        <v>7</v>
      </c>
      <c r="O38" s="3">
        <f t="shared" si="2"/>
        <v>87.5</v>
      </c>
    </row>
    <row r="39">
      <c r="A39" s="81">
        <v>38.0</v>
      </c>
      <c r="B39" s="82" t="s">
        <v>1268</v>
      </c>
      <c r="C39" s="82" t="s">
        <v>442</v>
      </c>
      <c r="D39" s="82" t="s">
        <v>443</v>
      </c>
      <c r="E39" s="82" t="s">
        <v>1410</v>
      </c>
      <c r="F39" s="20" t="s">
        <v>1411</v>
      </c>
      <c r="G39" s="20" t="s">
        <v>1411</v>
      </c>
      <c r="H39" s="37" t="s">
        <v>1414</v>
      </c>
      <c r="I39" s="83" t="s">
        <v>1411</v>
      </c>
      <c r="J39" s="20" t="s">
        <v>1412</v>
      </c>
      <c r="K39" s="20" t="s">
        <v>1412</v>
      </c>
      <c r="L39" s="20" t="s">
        <v>1412</v>
      </c>
      <c r="M39" s="20" t="s">
        <v>1412</v>
      </c>
      <c r="N39" s="3">
        <f t="shared" si="1"/>
        <v>7</v>
      </c>
      <c r="O39" s="3">
        <f t="shared" si="2"/>
        <v>87.5</v>
      </c>
    </row>
    <row r="40">
      <c r="A40" s="81">
        <v>39.0</v>
      </c>
      <c r="B40" s="82" t="s">
        <v>444</v>
      </c>
      <c r="C40" s="82" t="s">
        <v>445</v>
      </c>
      <c r="D40" s="82" t="s">
        <v>446</v>
      </c>
      <c r="E40" s="82" t="s">
        <v>1410</v>
      </c>
      <c r="F40" s="20" t="s">
        <v>1411</v>
      </c>
      <c r="G40" s="20" t="s">
        <v>1411</v>
      </c>
      <c r="H40" s="20" t="s">
        <v>1411</v>
      </c>
      <c r="I40" s="83" t="s">
        <v>1411</v>
      </c>
      <c r="J40" s="20" t="s">
        <v>1412</v>
      </c>
      <c r="K40" s="20" t="s">
        <v>1412</v>
      </c>
      <c r="L40" s="20" t="s">
        <v>1412</v>
      </c>
      <c r="M40" s="20" t="s">
        <v>1412</v>
      </c>
      <c r="N40" s="3">
        <f t="shared" si="1"/>
        <v>8</v>
      </c>
      <c r="O40" s="3">
        <f t="shared" si="2"/>
        <v>100</v>
      </c>
    </row>
    <row r="41">
      <c r="A41" s="81">
        <v>40.0</v>
      </c>
      <c r="B41" s="82" t="s">
        <v>1269</v>
      </c>
      <c r="C41" s="82" t="s">
        <v>448</v>
      </c>
      <c r="D41" s="82" t="s">
        <v>449</v>
      </c>
      <c r="E41" s="82" t="s">
        <v>1410</v>
      </c>
      <c r="F41" s="20" t="s">
        <v>1411</v>
      </c>
      <c r="G41" s="20" t="s">
        <v>1411</v>
      </c>
      <c r="H41" s="20" t="s">
        <v>1411</v>
      </c>
      <c r="I41" s="84" t="s">
        <v>1414</v>
      </c>
      <c r="J41" s="31"/>
      <c r="K41" s="31"/>
      <c r="L41" s="31"/>
      <c r="M41" s="31"/>
      <c r="N41" s="3">
        <f t="shared" si="1"/>
        <v>3</v>
      </c>
      <c r="O41" s="3">
        <f t="shared" si="2"/>
        <v>37.5</v>
      </c>
    </row>
    <row r="42">
      <c r="A42" s="81">
        <v>41.0</v>
      </c>
      <c r="B42" s="82" t="s">
        <v>1271</v>
      </c>
      <c r="C42" s="82" t="s">
        <v>451</v>
      </c>
      <c r="D42" s="82" t="s">
        <v>452</v>
      </c>
      <c r="E42" s="82" t="s">
        <v>1410</v>
      </c>
      <c r="F42" s="20" t="s">
        <v>1411</v>
      </c>
      <c r="G42" s="20" t="s">
        <v>1411</v>
      </c>
      <c r="H42" s="20" t="s">
        <v>1411</v>
      </c>
      <c r="I42" s="84" t="s">
        <v>1414</v>
      </c>
      <c r="J42" s="20" t="s">
        <v>1412</v>
      </c>
      <c r="K42" s="20" t="s">
        <v>1412</v>
      </c>
      <c r="L42" s="20" t="s">
        <v>1412</v>
      </c>
      <c r="M42" s="20" t="s">
        <v>1412</v>
      </c>
      <c r="N42" s="3">
        <f t="shared" si="1"/>
        <v>7</v>
      </c>
      <c r="O42" s="3">
        <f t="shared" si="2"/>
        <v>87.5</v>
      </c>
    </row>
    <row r="43">
      <c r="A43" s="81">
        <v>42.0</v>
      </c>
      <c r="B43" s="82" t="s">
        <v>453</v>
      </c>
      <c r="C43" s="82" t="s">
        <v>454</v>
      </c>
      <c r="D43" s="82" t="s">
        <v>455</v>
      </c>
      <c r="E43" s="82" t="s">
        <v>1410</v>
      </c>
      <c r="F43" s="20" t="s">
        <v>1411</v>
      </c>
      <c r="G43" s="20" t="s">
        <v>1411</v>
      </c>
      <c r="H43" s="20" t="s">
        <v>1411</v>
      </c>
      <c r="I43" s="83" t="s">
        <v>1411</v>
      </c>
      <c r="J43" s="20" t="s">
        <v>1412</v>
      </c>
      <c r="K43" s="20" t="s">
        <v>1412</v>
      </c>
      <c r="L43" s="20" t="s">
        <v>1412</v>
      </c>
      <c r="M43" s="20" t="s">
        <v>1412</v>
      </c>
      <c r="N43" s="3">
        <f t="shared" si="1"/>
        <v>8</v>
      </c>
      <c r="O43" s="3">
        <f t="shared" si="2"/>
        <v>100</v>
      </c>
    </row>
    <row r="44">
      <c r="A44" s="81">
        <v>43.0</v>
      </c>
      <c r="B44" s="82" t="s">
        <v>456</v>
      </c>
      <c r="C44" s="82" t="s">
        <v>457</v>
      </c>
      <c r="D44" s="82" t="s">
        <v>458</v>
      </c>
      <c r="E44" s="82" t="s">
        <v>1410</v>
      </c>
      <c r="F44" s="20" t="s">
        <v>1411</v>
      </c>
      <c r="G44" s="20" t="s">
        <v>1411</v>
      </c>
      <c r="H44" s="20" t="s">
        <v>1411</v>
      </c>
      <c r="I44" s="83" t="s">
        <v>1411</v>
      </c>
      <c r="J44" s="20" t="s">
        <v>1412</v>
      </c>
      <c r="K44" s="20" t="s">
        <v>1412</v>
      </c>
      <c r="L44" s="20" t="s">
        <v>1412</v>
      </c>
      <c r="M44" s="20" t="s">
        <v>1412</v>
      </c>
      <c r="N44" s="3">
        <f t="shared" si="1"/>
        <v>8</v>
      </c>
      <c r="O44" s="3">
        <f t="shared" si="2"/>
        <v>100</v>
      </c>
    </row>
    <row r="45">
      <c r="A45" s="81">
        <v>44.0</v>
      </c>
      <c r="B45" s="82" t="s">
        <v>1274</v>
      </c>
      <c r="C45" s="82" t="s">
        <v>460</v>
      </c>
      <c r="D45" s="82" t="s">
        <v>461</v>
      </c>
      <c r="E45" s="82" t="s">
        <v>1410</v>
      </c>
      <c r="F45" s="20" t="s">
        <v>1411</v>
      </c>
      <c r="G45" s="20" t="s">
        <v>1411</v>
      </c>
      <c r="H45" s="20" t="s">
        <v>1411</v>
      </c>
      <c r="I45" s="83" t="s">
        <v>1411</v>
      </c>
      <c r="J45" s="20" t="s">
        <v>1412</v>
      </c>
      <c r="K45" s="20" t="s">
        <v>1412</v>
      </c>
      <c r="L45" s="20" t="s">
        <v>1412</v>
      </c>
      <c r="M45" s="20" t="s">
        <v>1412</v>
      </c>
      <c r="N45" s="3">
        <f t="shared" si="1"/>
        <v>8</v>
      </c>
      <c r="O45" s="3">
        <f t="shared" si="2"/>
        <v>100</v>
      </c>
    </row>
    <row r="46">
      <c r="A46" s="81">
        <v>45.0</v>
      </c>
      <c r="B46" s="82" t="s">
        <v>1276</v>
      </c>
      <c r="C46" s="82" t="s">
        <v>463</v>
      </c>
      <c r="D46" s="82" t="s">
        <v>464</v>
      </c>
      <c r="E46" s="82" t="s">
        <v>1410</v>
      </c>
      <c r="F46" s="20" t="s">
        <v>1411</v>
      </c>
      <c r="G46" s="20" t="s">
        <v>1411</v>
      </c>
      <c r="H46" s="20" t="s">
        <v>1411</v>
      </c>
      <c r="I46" s="83" t="s">
        <v>1411</v>
      </c>
      <c r="J46" s="31"/>
      <c r="K46" s="20" t="s">
        <v>1412</v>
      </c>
      <c r="L46" s="20" t="s">
        <v>1412</v>
      </c>
      <c r="M46" s="31"/>
      <c r="N46" s="3">
        <f t="shared" si="1"/>
        <v>6</v>
      </c>
      <c r="O46" s="3">
        <f t="shared" si="2"/>
        <v>75</v>
      </c>
    </row>
    <row r="47">
      <c r="A47" s="81">
        <v>46.0</v>
      </c>
      <c r="B47" s="82" t="s">
        <v>1214</v>
      </c>
      <c r="C47" s="82" t="s">
        <v>621</v>
      </c>
      <c r="D47" s="82" t="s">
        <v>622</v>
      </c>
      <c r="E47" s="82" t="s">
        <v>1410</v>
      </c>
      <c r="F47" s="20" t="s">
        <v>1411</v>
      </c>
      <c r="G47" s="20" t="s">
        <v>1411</v>
      </c>
      <c r="H47" s="20" t="s">
        <v>1411</v>
      </c>
      <c r="I47" s="83" t="s">
        <v>1411</v>
      </c>
      <c r="J47" s="20" t="s">
        <v>1412</v>
      </c>
      <c r="K47" s="20" t="s">
        <v>1412</v>
      </c>
      <c r="L47" s="20" t="s">
        <v>1412</v>
      </c>
      <c r="M47" s="20" t="s">
        <v>1412</v>
      </c>
      <c r="N47" s="3">
        <f t="shared" si="1"/>
        <v>8</v>
      </c>
      <c r="O47" s="3">
        <f t="shared" si="2"/>
        <v>100</v>
      </c>
    </row>
    <row r="48">
      <c r="A48" s="81">
        <v>47.0</v>
      </c>
      <c r="B48" s="82" t="s">
        <v>1215</v>
      </c>
      <c r="C48" s="82" t="s">
        <v>624</v>
      </c>
      <c r="D48" s="82" t="s">
        <v>625</v>
      </c>
      <c r="E48" s="82" t="s">
        <v>1410</v>
      </c>
      <c r="F48" s="20" t="s">
        <v>1411</v>
      </c>
      <c r="G48" s="20" t="s">
        <v>1411</v>
      </c>
      <c r="H48" s="20" t="s">
        <v>1411</v>
      </c>
      <c r="I48" s="83" t="s">
        <v>1411</v>
      </c>
      <c r="J48" s="20" t="s">
        <v>1412</v>
      </c>
      <c r="K48" s="20" t="s">
        <v>1412</v>
      </c>
      <c r="L48" s="20" t="s">
        <v>1412</v>
      </c>
      <c r="M48" s="20" t="s">
        <v>1412</v>
      </c>
      <c r="N48" s="3">
        <f t="shared" si="1"/>
        <v>8</v>
      </c>
      <c r="O48" s="3">
        <f t="shared" si="2"/>
        <v>100</v>
      </c>
    </row>
    <row r="49">
      <c r="A49" s="81">
        <v>48.0</v>
      </c>
      <c r="B49" s="82" t="s">
        <v>1216</v>
      </c>
      <c r="C49" s="82" t="s">
        <v>627</v>
      </c>
      <c r="D49" s="82" t="s">
        <v>628</v>
      </c>
      <c r="E49" s="82" t="s">
        <v>1410</v>
      </c>
      <c r="F49" s="20" t="s">
        <v>1411</v>
      </c>
      <c r="G49" s="20" t="s">
        <v>1411</v>
      </c>
      <c r="H49" s="20" t="s">
        <v>1411</v>
      </c>
      <c r="I49" s="83" t="s">
        <v>1411</v>
      </c>
      <c r="J49" s="20" t="s">
        <v>1412</v>
      </c>
      <c r="K49" s="20" t="s">
        <v>1412</v>
      </c>
      <c r="L49" s="20" t="s">
        <v>1412</v>
      </c>
      <c r="M49" s="20" t="s">
        <v>1412</v>
      </c>
      <c r="N49" s="3">
        <f t="shared" si="1"/>
        <v>8</v>
      </c>
      <c r="O49" s="3">
        <f t="shared" si="2"/>
        <v>100</v>
      </c>
    </row>
    <row r="50">
      <c r="A50" s="81">
        <v>49.0</v>
      </c>
      <c r="B50" s="82" t="s">
        <v>629</v>
      </c>
      <c r="C50" s="82" t="s">
        <v>630</v>
      </c>
      <c r="D50" s="82" t="s">
        <v>631</v>
      </c>
      <c r="E50" s="82" t="s">
        <v>1410</v>
      </c>
      <c r="F50" s="20" t="s">
        <v>1411</v>
      </c>
      <c r="G50" s="20" t="s">
        <v>1411</v>
      </c>
      <c r="H50" s="37" t="s">
        <v>1414</v>
      </c>
      <c r="I50" s="83" t="s">
        <v>1411</v>
      </c>
      <c r="J50" s="31"/>
      <c r="K50" s="31"/>
      <c r="L50" s="31"/>
      <c r="M50" s="20" t="s">
        <v>1412</v>
      </c>
      <c r="N50" s="3">
        <f t="shared" si="1"/>
        <v>4</v>
      </c>
      <c r="O50" s="3">
        <f t="shared" si="2"/>
        <v>50</v>
      </c>
    </row>
    <row r="51">
      <c r="A51" s="81">
        <v>50.0</v>
      </c>
      <c r="B51" s="82" t="s">
        <v>1217</v>
      </c>
      <c r="C51" s="82" t="s">
        <v>633</v>
      </c>
      <c r="D51" s="82" t="s">
        <v>634</v>
      </c>
      <c r="E51" s="82" t="s">
        <v>1410</v>
      </c>
      <c r="F51" s="20" t="s">
        <v>1411</v>
      </c>
      <c r="G51" s="20" t="s">
        <v>1411</v>
      </c>
      <c r="H51" s="20" t="s">
        <v>1411</v>
      </c>
      <c r="I51" s="83" t="s">
        <v>1411</v>
      </c>
      <c r="J51" s="20" t="s">
        <v>1412</v>
      </c>
      <c r="K51" s="20" t="s">
        <v>1412</v>
      </c>
      <c r="L51" s="20" t="s">
        <v>1412</v>
      </c>
      <c r="M51" s="31"/>
      <c r="N51" s="3">
        <f t="shared" si="1"/>
        <v>7</v>
      </c>
      <c r="O51" s="3">
        <f t="shared" si="2"/>
        <v>87.5</v>
      </c>
    </row>
    <row r="52">
      <c r="A52" s="81">
        <v>51.0</v>
      </c>
      <c r="B52" s="82" t="s">
        <v>635</v>
      </c>
      <c r="C52" s="82" t="s">
        <v>636</v>
      </c>
      <c r="D52" s="82" t="s">
        <v>637</v>
      </c>
      <c r="E52" s="82" t="s">
        <v>1410</v>
      </c>
      <c r="F52" s="20" t="s">
        <v>1411</v>
      </c>
      <c r="G52" s="20" t="s">
        <v>1412</v>
      </c>
      <c r="H52" s="20" t="s">
        <v>1411</v>
      </c>
      <c r="I52" s="83" t="s">
        <v>1411</v>
      </c>
      <c r="J52" s="20" t="s">
        <v>1412</v>
      </c>
      <c r="K52" s="31"/>
      <c r="L52" s="20" t="s">
        <v>1412</v>
      </c>
      <c r="M52" s="20" t="s">
        <v>1412</v>
      </c>
      <c r="N52" s="3">
        <f t="shared" si="1"/>
        <v>7</v>
      </c>
      <c r="O52" s="3">
        <f t="shared" si="2"/>
        <v>87.5</v>
      </c>
    </row>
    <row r="53">
      <c r="A53" s="81">
        <v>52.0</v>
      </c>
      <c r="B53" s="82" t="s">
        <v>1160</v>
      </c>
      <c r="C53" s="82" t="s">
        <v>639</v>
      </c>
      <c r="D53" s="82" t="s">
        <v>640</v>
      </c>
      <c r="E53" s="82" t="s">
        <v>1410</v>
      </c>
      <c r="F53" s="20" t="s">
        <v>1411</v>
      </c>
      <c r="G53" s="20" t="s">
        <v>1412</v>
      </c>
      <c r="H53" s="20" t="s">
        <v>1411</v>
      </c>
      <c r="I53" s="83" t="s">
        <v>1411</v>
      </c>
      <c r="J53" s="20" t="s">
        <v>1412</v>
      </c>
      <c r="K53" s="20" t="s">
        <v>1412</v>
      </c>
      <c r="L53" s="20" t="s">
        <v>1412</v>
      </c>
      <c r="M53" s="20" t="s">
        <v>1412</v>
      </c>
      <c r="N53" s="3">
        <f t="shared" si="1"/>
        <v>8</v>
      </c>
      <c r="O53" s="3">
        <f t="shared" si="2"/>
        <v>100</v>
      </c>
    </row>
    <row r="54">
      <c r="A54" s="81">
        <v>53.0</v>
      </c>
      <c r="B54" s="82" t="s">
        <v>641</v>
      </c>
      <c r="C54" s="82" t="s">
        <v>642</v>
      </c>
      <c r="D54" s="82" t="s">
        <v>643</v>
      </c>
      <c r="E54" s="82" t="s">
        <v>1410</v>
      </c>
      <c r="F54" s="20" t="s">
        <v>1411</v>
      </c>
      <c r="G54" s="20" t="s">
        <v>1412</v>
      </c>
      <c r="H54" s="20" t="s">
        <v>1411</v>
      </c>
      <c r="I54" s="83" t="s">
        <v>1411</v>
      </c>
      <c r="J54" s="20" t="s">
        <v>1412</v>
      </c>
      <c r="K54" s="20" t="s">
        <v>1412</v>
      </c>
      <c r="L54" s="20" t="s">
        <v>1412</v>
      </c>
      <c r="M54" s="20" t="s">
        <v>1412</v>
      </c>
      <c r="N54" s="3">
        <f t="shared" si="1"/>
        <v>8</v>
      </c>
      <c r="O54" s="3">
        <f t="shared" si="2"/>
        <v>100</v>
      </c>
    </row>
    <row r="55">
      <c r="A55" s="81">
        <v>54.0</v>
      </c>
      <c r="B55" s="82" t="s">
        <v>1279</v>
      </c>
      <c r="C55" s="82" t="s">
        <v>806</v>
      </c>
      <c r="D55" s="82" t="s">
        <v>807</v>
      </c>
      <c r="E55" s="82" t="s">
        <v>1417</v>
      </c>
      <c r="F55" s="20" t="s">
        <v>1411</v>
      </c>
      <c r="G55" s="20" t="s">
        <v>1411</v>
      </c>
      <c r="H55" s="20" t="s">
        <v>1411</v>
      </c>
      <c r="I55" s="83" t="s">
        <v>1411</v>
      </c>
      <c r="J55" s="31"/>
      <c r="K55" s="20" t="s">
        <v>1412</v>
      </c>
      <c r="L55" s="20" t="s">
        <v>1412</v>
      </c>
      <c r="M55" s="31"/>
      <c r="N55" s="3">
        <f t="shared" si="1"/>
        <v>6</v>
      </c>
      <c r="O55" s="3">
        <f t="shared" si="2"/>
        <v>75</v>
      </c>
    </row>
    <row r="56">
      <c r="A56" s="81">
        <v>55.0</v>
      </c>
      <c r="B56" s="82" t="s">
        <v>1418</v>
      </c>
      <c r="C56" s="82" t="s">
        <v>809</v>
      </c>
      <c r="D56" s="82" t="s">
        <v>810</v>
      </c>
      <c r="E56" s="82" t="s">
        <v>1417</v>
      </c>
      <c r="F56" s="20" t="s">
        <v>1411</v>
      </c>
      <c r="G56" s="20" t="s">
        <v>1411</v>
      </c>
      <c r="H56" s="37" t="s">
        <v>1414</v>
      </c>
      <c r="I56" s="83" t="s">
        <v>1411</v>
      </c>
      <c r="J56" s="20" t="s">
        <v>1412</v>
      </c>
      <c r="K56" s="20" t="s">
        <v>1412</v>
      </c>
      <c r="L56" s="20" t="s">
        <v>1412</v>
      </c>
      <c r="M56" s="20" t="s">
        <v>1412</v>
      </c>
      <c r="N56" s="3">
        <f t="shared" si="1"/>
        <v>7</v>
      </c>
      <c r="O56" s="3">
        <f t="shared" si="2"/>
        <v>87.5</v>
      </c>
    </row>
    <row r="57">
      <c r="A57" s="81">
        <v>56.0</v>
      </c>
      <c r="B57" s="82" t="s">
        <v>811</v>
      </c>
      <c r="C57" s="82" t="s">
        <v>812</v>
      </c>
      <c r="D57" s="82" t="s">
        <v>813</v>
      </c>
      <c r="E57" s="82" t="s">
        <v>1417</v>
      </c>
      <c r="F57" s="20" t="s">
        <v>1411</v>
      </c>
      <c r="G57" s="20" t="s">
        <v>1411</v>
      </c>
      <c r="H57" s="20" t="s">
        <v>1411</v>
      </c>
      <c r="I57" s="83" t="s">
        <v>1411</v>
      </c>
      <c r="J57" s="20" t="s">
        <v>1412</v>
      </c>
      <c r="K57" s="20" t="s">
        <v>1412</v>
      </c>
      <c r="L57" s="20" t="s">
        <v>1412</v>
      </c>
      <c r="M57" s="31"/>
      <c r="N57" s="3">
        <f t="shared" si="1"/>
        <v>7</v>
      </c>
      <c r="O57" s="3">
        <f t="shared" si="2"/>
        <v>87.5</v>
      </c>
    </row>
    <row r="58">
      <c r="A58" s="81">
        <v>57.0</v>
      </c>
      <c r="B58" s="82" t="s">
        <v>1281</v>
      </c>
      <c r="C58" s="82" t="s">
        <v>815</v>
      </c>
      <c r="D58" s="82" t="s">
        <v>816</v>
      </c>
      <c r="E58" s="82" t="s">
        <v>1417</v>
      </c>
      <c r="F58" s="20" t="s">
        <v>1411</v>
      </c>
      <c r="G58" s="20" t="s">
        <v>1411</v>
      </c>
      <c r="H58" s="20" t="s">
        <v>1411</v>
      </c>
      <c r="I58" s="83" t="s">
        <v>1411</v>
      </c>
      <c r="J58" s="20" t="s">
        <v>1412</v>
      </c>
      <c r="K58" s="20" t="s">
        <v>1412</v>
      </c>
      <c r="L58" s="20" t="s">
        <v>1412</v>
      </c>
      <c r="M58" s="20" t="s">
        <v>1412</v>
      </c>
      <c r="N58" s="3">
        <f t="shared" si="1"/>
        <v>8</v>
      </c>
      <c r="O58" s="3">
        <f t="shared" si="2"/>
        <v>100</v>
      </c>
    </row>
    <row r="59">
      <c r="A59" s="81">
        <v>58.0</v>
      </c>
      <c r="B59" s="82" t="s">
        <v>817</v>
      </c>
      <c r="C59" s="82" t="s">
        <v>818</v>
      </c>
      <c r="D59" s="82" t="s">
        <v>819</v>
      </c>
      <c r="E59" s="82" t="s">
        <v>1417</v>
      </c>
      <c r="F59" s="20" t="s">
        <v>1411</v>
      </c>
      <c r="G59" s="20" t="s">
        <v>1411</v>
      </c>
      <c r="H59" s="20" t="s">
        <v>1411</v>
      </c>
      <c r="I59" s="83" t="s">
        <v>1411</v>
      </c>
      <c r="J59" s="31"/>
      <c r="K59" s="20" t="s">
        <v>1412</v>
      </c>
      <c r="L59" s="20" t="s">
        <v>1412</v>
      </c>
      <c r="M59" s="20" t="s">
        <v>1412</v>
      </c>
      <c r="N59" s="3">
        <f t="shared" si="1"/>
        <v>7</v>
      </c>
      <c r="O59" s="3">
        <f t="shared" si="2"/>
        <v>87.5</v>
      </c>
    </row>
    <row r="60">
      <c r="A60" s="81">
        <v>59.0</v>
      </c>
      <c r="B60" s="82" t="s">
        <v>1282</v>
      </c>
      <c r="C60" s="82" t="s">
        <v>821</v>
      </c>
      <c r="D60" s="82" t="s">
        <v>822</v>
      </c>
      <c r="E60" s="82" t="s">
        <v>1417</v>
      </c>
      <c r="F60" s="20" t="s">
        <v>1411</v>
      </c>
      <c r="G60" s="20" t="s">
        <v>1411</v>
      </c>
      <c r="H60" s="20" t="s">
        <v>1411</v>
      </c>
      <c r="I60" s="83" t="s">
        <v>1411</v>
      </c>
      <c r="J60" s="31"/>
      <c r="K60" s="20" t="s">
        <v>1412</v>
      </c>
      <c r="L60" s="20" t="s">
        <v>1412</v>
      </c>
      <c r="M60" s="20" t="s">
        <v>1412</v>
      </c>
      <c r="N60" s="3">
        <f t="shared" si="1"/>
        <v>7</v>
      </c>
      <c r="O60" s="3">
        <f t="shared" si="2"/>
        <v>87.5</v>
      </c>
    </row>
    <row r="61">
      <c r="A61" s="81">
        <v>60.0</v>
      </c>
      <c r="B61" s="82" t="s">
        <v>823</v>
      </c>
      <c r="C61" s="82" t="s">
        <v>824</v>
      </c>
      <c r="D61" s="82" t="s">
        <v>825</v>
      </c>
      <c r="E61" s="82" t="s">
        <v>1417</v>
      </c>
      <c r="F61" s="20" t="s">
        <v>1411</v>
      </c>
      <c r="G61" s="20" t="s">
        <v>1411</v>
      </c>
      <c r="H61" s="20" t="s">
        <v>1411</v>
      </c>
      <c r="I61" s="83" t="s">
        <v>1411</v>
      </c>
      <c r="J61" s="20" t="s">
        <v>1412</v>
      </c>
      <c r="K61" s="20" t="s">
        <v>1412</v>
      </c>
      <c r="L61" s="20" t="s">
        <v>1412</v>
      </c>
      <c r="M61" s="20" t="s">
        <v>1412</v>
      </c>
      <c r="N61" s="3">
        <f t="shared" si="1"/>
        <v>8</v>
      </c>
      <c r="O61" s="3">
        <f t="shared" si="2"/>
        <v>100</v>
      </c>
    </row>
    <row r="62">
      <c r="A62" s="81">
        <v>61.0</v>
      </c>
      <c r="B62" s="82" t="s">
        <v>826</v>
      </c>
      <c r="C62" s="82" t="s">
        <v>827</v>
      </c>
      <c r="D62" s="82" t="s">
        <v>828</v>
      </c>
      <c r="E62" s="82" t="s">
        <v>1417</v>
      </c>
      <c r="F62" s="20" t="s">
        <v>1411</v>
      </c>
      <c r="G62" s="20" t="s">
        <v>1411</v>
      </c>
      <c r="H62" s="20" t="s">
        <v>1411</v>
      </c>
      <c r="I62" s="83" t="s">
        <v>1411</v>
      </c>
      <c r="J62" s="20" t="s">
        <v>1412</v>
      </c>
      <c r="K62" s="20" t="s">
        <v>1412</v>
      </c>
      <c r="L62" s="20" t="s">
        <v>1412</v>
      </c>
      <c r="M62" s="31"/>
      <c r="N62" s="3">
        <f t="shared" si="1"/>
        <v>7</v>
      </c>
      <c r="O62" s="3">
        <f t="shared" si="2"/>
        <v>87.5</v>
      </c>
    </row>
    <row r="63">
      <c r="A63" s="81">
        <v>62.0</v>
      </c>
      <c r="B63" s="82" t="s">
        <v>1283</v>
      </c>
      <c r="C63" s="82" t="s">
        <v>830</v>
      </c>
      <c r="D63" s="82" t="s">
        <v>831</v>
      </c>
      <c r="E63" s="82" t="s">
        <v>1417</v>
      </c>
      <c r="F63" s="20" t="s">
        <v>1411</v>
      </c>
      <c r="G63" s="20" t="s">
        <v>1411</v>
      </c>
      <c r="H63" s="20" t="s">
        <v>1411</v>
      </c>
      <c r="I63" s="83" t="s">
        <v>1411</v>
      </c>
      <c r="J63" s="31"/>
      <c r="K63" s="20" t="s">
        <v>1412</v>
      </c>
      <c r="L63" s="20" t="s">
        <v>1412</v>
      </c>
      <c r="M63" s="20" t="s">
        <v>1412</v>
      </c>
      <c r="N63" s="3">
        <f t="shared" si="1"/>
        <v>7</v>
      </c>
      <c r="O63" s="3">
        <f t="shared" si="2"/>
        <v>87.5</v>
      </c>
    </row>
    <row r="64">
      <c r="A64" s="81">
        <v>63.0</v>
      </c>
      <c r="B64" s="82" t="s">
        <v>832</v>
      </c>
      <c r="C64" s="82" t="s">
        <v>833</v>
      </c>
      <c r="D64" s="82" t="s">
        <v>1419</v>
      </c>
      <c r="E64" s="82" t="s">
        <v>1417</v>
      </c>
      <c r="F64" s="20" t="s">
        <v>1411</v>
      </c>
      <c r="G64" s="20" t="s">
        <v>1411</v>
      </c>
      <c r="H64" s="20" t="s">
        <v>1411</v>
      </c>
      <c r="I64" s="83" t="s">
        <v>1411</v>
      </c>
      <c r="J64" s="20" t="s">
        <v>1412</v>
      </c>
      <c r="K64" s="20" t="s">
        <v>1412</v>
      </c>
      <c r="L64" s="20" t="s">
        <v>1412</v>
      </c>
      <c r="M64" s="20" t="s">
        <v>1412</v>
      </c>
      <c r="N64" s="3">
        <f t="shared" si="1"/>
        <v>8</v>
      </c>
      <c r="O64" s="3">
        <f t="shared" si="2"/>
        <v>100</v>
      </c>
    </row>
    <row r="65">
      <c r="A65" s="81">
        <v>64.0</v>
      </c>
      <c r="B65" s="82" t="s">
        <v>835</v>
      </c>
      <c r="C65" s="82" t="s">
        <v>836</v>
      </c>
      <c r="D65" s="82" t="s">
        <v>837</v>
      </c>
      <c r="E65" s="82" t="s">
        <v>1417</v>
      </c>
      <c r="F65" s="20" t="s">
        <v>1411</v>
      </c>
      <c r="G65" s="20" t="s">
        <v>1411</v>
      </c>
      <c r="H65" s="20" t="s">
        <v>1411</v>
      </c>
      <c r="I65" s="84" t="s">
        <v>1414</v>
      </c>
      <c r="J65" s="20" t="s">
        <v>1412</v>
      </c>
      <c r="K65" s="20" t="s">
        <v>1412</v>
      </c>
      <c r="L65" s="20" t="s">
        <v>1412</v>
      </c>
      <c r="M65" s="20" t="s">
        <v>1412</v>
      </c>
      <c r="N65" s="3">
        <f t="shared" si="1"/>
        <v>7</v>
      </c>
      <c r="O65" s="3">
        <f t="shared" si="2"/>
        <v>87.5</v>
      </c>
    </row>
    <row r="66">
      <c r="A66" s="81">
        <v>65.0</v>
      </c>
      <c r="B66" s="82" t="s">
        <v>838</v>
      </c>
      <c r="C66" s="82" t="s">
        <v>839</v>
      </c>
      <c r="D66" s="82" t="s">
        <v>840</v>
      </c>
      <c r="E66" s="82" t="s">
        <v>1417</v>
      </c>
      <c r="F66" s="20" t="s">
        <v>1411</v>
      </c>
      <c r="G66" s="20" t="s">
        <v>1411</v>
      </c>
      <c r="H66" s="20" t="s">
        <v>1411</v>
      </c>
      <c r="I66" s="83" t="s">
        <v>1411</v>
      </c>
      <c r="J66" s="31"/>
      <c r="K66" s="20" t="s">
        <v>1412</v>
      </c>
      <c r="L66" s="20" t="s">
        <v>1412</v>
      </c>
      <c r="M66" s="20" t="s">
        <v>1412</v>
      </c>
      <c r="N66" s="3">
        <f t="shared" si="1"/>
        <v>7</v>
      </c>
      <c r="O66" s="3">
        <f t="shared" si="2"/>
        <v>87.5</v>
      </c>
    </row>
    <row r="67">
      <c r="A67" s="81">
        <v>66.0</v>
      </c>
      <c r="B67" s="82" t="s">
        <v>841</v>
      </c>
      <c r="C67" s="82" t="s">
        <v>842</v>
      </c>
      <c r="D67" s="82" t="s">
        <v>843</v>
      </c>
      <c r="E67" s="82" t="s">
        <v>1417</v>
      </c>
      <c r="F67" s="20" t="s">
        <v>1411</v>
      </c>
      <c r="G67" s="20" t="s">
        <v>1411</v>
      </c>
      <c r="H67" s="20" t="s">
        <v>1411</v>
      </c>
      <c r="I67" s="83" t="s">
        <v>1411</v>
      </c>
      <c r="J67" s="20" t="s">
        <v>1412</v>
      </c>
      <c r="K67" s="20" t="s">
        <v>1412</v>
      </c>
      <c r="L67" s="20" t="s">
        <v>1412</v>
      </c>
      <c r="M67" s="20" t="s">
        <v>1412</v>
      </c>
      <c r="N67" s="3">
        <f t="shared" si="1"/>
        <v>8</v>
      </c>
      <c r="O67" s="3">
        <f t="shared" si="2"/>
        <v>100</v>
      </c>
    </row>
    <row r="68">
      <c r="A68" s="81">
        <v>67.0</v>
      </c>
      <c r="B68" s="82" t="s">
        <v>1010</v>
      </c>
      <c r="C68" s="82" t="s">
        <v>845</v>
      </c>
      <c r="D68" s="82" t="s">
        <v>846</v>
      </c>
      <c r="E68" s="82" t="s">
        <v>1417</v>
      </c>
      <c r="F68" s="20" t="s">
        <v>1411</v>
      </c>
      <c r="G68" s="20" t="s">
        <v>1411</v>
      </c>
      <c r="H68" s="20" t="s">
        <v>1411</v>
      </c>
      <c r="I68" s="83" t="s">
        <v>1411</v>
      </c>
      <c r="J68" s="20" t="s">
        <v>1412</v>
      </c>
      <c r="K68" s="20" t="s">
        <v>1412</v>
      </c>
      <c r="L68" s="20" t="s">
        <v>1412</v>
      </c>
      <c r="M68" s="20" t="s">
        <v>1412</v>
      </c>
      <c r="N68" s="3">
        <f t="shared" si="1"/>
        <v>8</v>
      </c>
      <c r="O68" s="3">
        <f t="shared" si="2"/>
        <v>100</v>
      </c>
    </row>
    <row r="69">
      <c r="A69" s="81">
        <v>68.0</v>
      </c>
      <c r="B69" s="82" t="s">
        <v>847</v>
      </c>
      <c r="C69" s="82" t="s">
        <v>848</v>
      </c>
      <c r="D69" s="82" t="s">
        <v>849</v>
      </c>
      <c r="E69" s="82" t="s">
        <v>1417</v>
      </c>
      <c r="F69" s="20" t="s">
        <v>1411</v>
      </c>
      <c r="G69" s="20" t="s">
        <v>1411</v>
      </c>
      <c r="H69" s="20" t="s">
        <v>1411</v>
      </c>
      <c r="I69" s="84" t="s">
        <v>1414</v>
      </c>
      <c r="J69" s="20" t="s">
        <v>1412</v>
      </c>
      <c r="K69" s="20" t="s">
        <v>1412</v>
      </c>
      <c r="L69" s="20" t="s">
        <v>1412</v>
      </c>
      <c r="M69" s="20" t="s">
        <v>1412</v>
      </c>
      <c r="N69" s="3">
        <f t="shared" si="1"/>
        <v>7</v>
      </c>
      <c r="O69" s="3">
        <f t="shared" si="2"/>
        <v>87.5</v>
      </c>
    </row>
    <row r="70">
      <c r="A70" s="81">
        <v>69.0</v>
      </c>
      <c r="B70" s="82" t="s">
        <v>850</v>
      </c>
      <c r="C70" s="82" t="s">
        <v>851</v>
      </c>
      <c r="D70" s="82" t="s">
        <v>852</v>
      </c>
      <c r="E70" s="82" t="s">
        <v>1417</v>
      </c>
      <c r="F70" s="20" t="s">
        <v>1411</v>
      </c>
      <c r="G70" s="20" t="s">
        <v>1411</v>
      </c>
      <c r="H70" s="20" t="s">
        <v>1411</v>
      </c>
      <c r="I70" s="83" t="s">
        <v>1411</v>
      </c>
      <c r="J70" s="31"/>
      <c r="K70" s="31"/>
      <c r="L70" s="31"/>
      <c r="M70" s="31"/>
      <c r="N70" s="3">
        <f t="shared" si="1"/>
        <v>4</v>
      </c>
      <c r="O70" s="3">
        <f t="shared" si="2"/>
        <v>50</v>
      </c>
    </row>
    <row r="71">
      <c r="A71" s="81">
        <v>70.0</v>
      </c>
      <c r="B71" s="82" t="s">
        <v>1284</v>
      </c>
      <c r="C71" s="82" t="s">
        <v>854</v>
      </c>
      <c r="D71" s="82" t="s">
        <v>855</v>
      </c>
      <c r="E71" s="82" t="s">
        <v>1417</v>
      </c>
      <c r="F71" s="20" t="s">
        <v>1411</v>
      </c>
      <c r="G71" s="20" t="s">
        <v>1411</v>
      </c>
      <c r="H71" s="20" t="s">
        <v>1411</v>
      </c>
      <c r="I71" s="83" t="s">
        <v>1411</v>
      </c>
      <c r="J71" s="20" t="s">
        <v>1412</v>
      </c>
      <c r="K71" s="20" t="s">
        <v>1412</v>
      </c>
      <c r="L71" s="20" t="s">
        <v>1412</v>
      </c>
      <c r="M71" s="31"/>
      <c r="N71" s="3">
        <f t="shared" si="1"/>
        <v>7</v>
      </c>
      <c r="O71" s="3">
        <f t="shared" si="2"/>
        <v>87.5</v>
      </c>
    </row>
    <row r="72">
      <c r="A72" s="81">
        <v>71.0</v>
      </c>
      <c r="B72" s="82" t="s">
        <v>856</v>
      </c>
      <c r="C72" s="82" t="s">
        <v>857</v>
      </c>
      <c r="D72" s="82" t="s">
        <v>858</v>
      </c>
      <c r="E72" s="82" t="s">
        <v>1417</v>
      </c>
      <c r="F72" s="20" t="s">
        <v>1411</v>
      </c>
      <c r="G72" s="20" t="s">
        <v>1411</v>
      </c>
      <c r="H72" s="20" t="s">
        <v>1411</v>
      </c>
      <c r="I72" s="83" t="s">
        <v>1411</v>
      </c>
      <c r="J72" s="20" t="s">
        <v>1412</v>
      </c>
      <c r="K72" s="20" t="s">
        <v>1412</v>
      </c>
      <c r="L72" s="20" t="s">
        <v>1412</v>
      </c>
      <c r="M72" s="20" t="s">
        <v>1412</v>
      </c>
      <c r="N72" s="3">
        <f t="shared" si="1"/>
        <v>8</v>
      </c>
      <c r="O72" s="3">
        <f t="shared" si="2"/>
        <v>100</v>
      </c>
    </row>
    <row r="73">
      <c r="A73" s="81">
        <v>72.0</v>
      </c>
      <c r="B73" s="82" t="s">
        <v>859</v>
      </c>
      <c r="C73" s="82" t="s">
        <v>860</v>
      </c>
      <c r="D73" s="82" t="s">
        <v>861</v>
      </c>
      <c r="E73" s="82" t="s">
        <v>1417</v>
      </c>
      <c r="F73" s="20" t="s">
        <v>1411</v>
      </c>
      <c r="G73" s="20" t="s">
        <v>1411</v>
      </c>
      <c r="H73" s="20" t="s">
        <v>1411</v>
      </c>
      <c r="I73" s="83" t="s">
        <v>1411</v>
      </c>
      <c r="J73" s="20" t="s">
        <v>1412</v>
      </c>
      <c r="K73" s="20" t="s">
        <v>1412</v>
      </c>
      <c r="L73" s="20" t="s">
        <v>1412</v>
      </c>
      <c r="M73" s="20" t="s">
        <v>1412</v>
      </c>
      <c r="N73" s="3">
        <f t="shared" si="1"/>
        <v>8</v>
      </c>
      <c r="O73" s="3">
        <f t="shared" si="2"/>
        <v>100</v>
      </c>
    </row>
    <row r="74">
      <c r="A74" s="81">
        <v>73.0</v>
      </c>
      <c r="B74" s="82" t="s">
        <v>1285</v>
      </c>
      <c r="C74" s="82" t="s">
        <v>863</v>
      </c>
      <c r="D74" s="82" t="s">
        <v>864</v>
      </c>
      <c r="E74" s="82" t="s">
        <v>1417</v>
      </c>
      <c r="F74" s="20" t="s">
        <v>1411</v>
      </c>
      <c r="G74" s="20" t="s">
        <v>1411</v>
      </c>
      <c r="H74" s="20" t="s">
        <v>1411</v>
      </c>
      <c r="I74" s="83" t="s">
        <v>1411</v>
      </c>
      <c r="J74" s="31"/>
      <c r="K74" s="20" t="s">
        <v>1412</v>
      </c>
      <c r="L74" s="20" t="s">
        <v>1412</v>
      </c>
      <c r="M74" s="31"/>
      <c r="N74" s="3">
        <f t="shared" si="1"/>
        <v>6</v>
      </c>
      <c r="O74" s="3">
        <f t="shared" si="2"/>
        <v>75</v>
      </c>
    </row>
    <row r="75">
      <c r="A75" s="81">
        <v>74.0</v>
      </c>
      <c r="B75" s="82" t="s">
        <v>865</v>
      </c>
      <c r="C75" s="82" t="s">
        <v>866</v>
      </c>
      <c r="D75" s="82" t="s">
        <v>867</v>
      </c>
      <c r="E75" s="82" t="s">
        <v>1417</v>
      </c>
      <c r="F75" s="20" t="s">
        <v>1411</v>
      </c>
      <c r="G75" s="20" t="s">
        <v>1411</v>
      </c>
      <c r="H75" s="20" t="s">
        <v>1411</v>
      </c>
      <c r="I75" s="83" t="s">
        <v>1411</v>
      </c>
      <c r="J75" s="31"/>
      <c r="K75" s="20" t="s">
        <v>1412</v>
      </c>
      <c r="L75" s="20" t="s">
        <v>1412</v>
      </c>
      <c r="M75" s="20" t="s">
        <v>1412</v>
      </c>
      <c r="N75" s="3">
        <f t="shared" si="1"/>
        <v>7</v>
      </c>
      <c r="O75" s="3">
        <f t="shared" si="2"/>
        <v>87.5</v>
      </c>
    </row>
    <row r="76">
      <c r="A76" s="81">
        <v>75.0</v>
      </c>
      <c r="B76" s="82" t="s">
        <v>1286</v>
      </c>
      <c r="C76" s="82" t="s">
        <v>869</v>
      </c>
      <c r="D76" s="82" t="s">
        <v>870</v>
      </c>
      <c r="E76" s="82" t="s">
        <v>1417</v>
      </c>
      <c r="F76" s="20" t="s">
        <v>1411</v>
      </c>
      <c r="G76" s="20" t="s">
        <v>1411</v>
      </c>
      <c r="H76" s="20" t="s">
        <v>1411</v>
      </c>
      <c r="I76" s="83" t="s">
        <v>1411</v>
      </c>
      <c r="J76" s="31"/>
      <c r="K76" s="20" t="s">
        <v>1412</v>
      </c>
      <c r="L76" s="20" t="s">
        <v>1412</v>
      </c>
      <c r="M76" s="20" t="s">
        <v>1412</v>
      </c>
      <c r="N76" s="3">
        <f t="shared" si="1"/>
        <v>7</v>
      </c>
      <c r="O76" s="3">
        <f t="shared" si="2"/>
        <v>87.5</v>
      </c>
    </row>
    <row r="77">
      <c r="A77" s="81">
        <v>76.0</v>
      </c>
      <c r="B77" s="82" t="s">
        <v>871</v>
      </c>
      <c r="C77" s="82" t="s">
        <v>872</v>
      </c>
      <c r="D77" s="82" t="s">
        <v>873</v>
      </c>
      <c r="E77" s="82" t="s">
        <v>1417</v>
      </c>
      <c r="F77" s="20" t="s">
        <v>1411</v>
      </c>
      <c r="G77" s="20" t="s">
        <v>1411</v>
      </c>
      <c r="H77" s="37" t="s">
        <v>1414</v>
      </c>
      <c r="I77" s="83" t="s">
        <v>1411</v>
      </c>
      <c r="J77" s="31"/>
      <c r="K77" s="20" t="s">
        <v>1412</v>
      </c>
      <c r="L77" s="20" t="s">
        <v>1412</v>
      </c>
      <c r="M77" s="20" t="s">
        <v>1412</v>
      </c>
      <c r="N77" s="3">
        <f t="shared" si="1"/>
        <v>6</v>
      </c>
      <c r="O77" s="3">
        <f t="shared" si="2"/>
        <v>75</v>
      </c>
    </row>
    <row r="78">
      <c r="A78" s="81">
        <v>77.0</v>
      </c>
      <c r="B78" s="82" t="s">
        <v>874</v>
      </c>
      <c r="C78" s="82" t="s">
        <v>875</v>
      </c>
      <c r="D78" s="82" t="s">
        <v>876</v>
      </c>
      <c r="E78" s="82" t="s">
        <v>1417</v>
      </c>
      <c r="F78" s="20" t="s">
        <v>1411</v>
      </c>
      <c r="G78" s="20" t="s">
        <v>1411</v>
      </c>
      <c r="H78" s="20" t="s">
        <v>1411</v>
      </c>
      <c r="I78" s="84" t="s">
        <v>1414</v>
      </c>
      <c r="J78" s="31"/>
      <c r="K78" s="31"/>
      <c r="L78" s="31"/>
      <c r="M78" s="20" t="s">
        <v>1412</v>
      </c>
      <c r="N78" s="3">
        <f t="shared" si="1"/>
        <v>4</v>
      </c>
      <c r="O78" s="3">
        <f t="shared" si="2"/>
        <v>50</v>
      </c>
    </row>
    <row r="79">
      <c r="A79" s="81">
        <v>78.0</v>
      </c>
      <c r="B79" s="82" t="s">
        <v>1420</v>
      </c>
      <c r="C79" s="82" t="s">
        <v>878</v>
      </c>
      <c r="D79" s="82" t="s">
        <v>879</v>
      </c>
      <c r="E79" s="82" t="s">
        <v>1417</v>
      </c>
      <c r="F79" s="20" t="s">
        <v>1411</v>
      </c>
      <c r="G79" s="20" t="s">
        <v>1411</v>
      </c>
      <c r="H79" s="20" t="s">
        <v>1411</v>
      </c>
      <c r="I79" s="83" t="s">
        <v>1411</v>
      </c>
      <c r="J79" s="31"/>
      <c r="K79" s="20" t="s">
        <v>1412</v>
      </c>
      <c r="L79" s="20" t="s">
        <v>1412</v>
      </c>
      <c r="M79" s="20" t="s">
        <v>1412</v>
      </c>
      <c r="N79" s="3">
        <f t="shared" si="1"/>
        <v>7</v>
      </c>
      <c r="O79" s="3">
        <f t="shared" si="2"/>
        <v>87.5</v>
      </c>
    </row>
    <row r="80">
      <c r="A80" s="81">
        <v>79.0</v>
      </c>
      <c r="B80" s="82" t="s">
        <v>880</v>
      </c>
      <c r="C80" s="82" t="s">
        <v>881</v>
      </c>
      <c r="D80" s="82" t="s">
        <v>882</v>
      </c>
      <c r="E80" s="82" t="s">
        <v>1417</v>
      </c>
      <c r="F80" s="20" t="s">
        <v>1411</v>
      </c>
      <c r="G80" s="20" t="s">
        <v>1411</v>
      </c>
      <c r="H80" s="20" t="s">
        <v>1411</v>
      </c>
      <c r="I80" s="83" t="s">
        <v>1411</v>
      </c>
      <c r="J80" s="31"/>
      <c r="K80" s="31"/>
      <c r="L80" s="20" t="s">
        <v>1412</v>
      </c>
      <c r="M80" s="20" t="s">
        <v>1412</v>
      </c>
      <c r="N80" s="3">
        <f t="shared" si="1"/>
        <v>6</v>
      </c>
      <c r="O80" s="3">
        <f t="shared" si="2"/>
        <v>75</v>
      </c>
    </row>
    <row r="81">
      <c r="A81" s="81">
        <v>80.0</v>
      </c>
      <c r="B81" s="82" t="s">
        <v>1421</v>
      </c>
      <c r="C81" s="82" t="s">
        <v>884</v>
      </c>
      <c r="D81" s="82" t="s">
        <v>885</v>
      </c>
      <c r="E81" s="82" t="s">
        <v>1417</v>
      </c>
      <c r="F81" s="20" t="s">
        <v>1411</v>
      </c>
      <c r="G81" s="20" t="s">
        <v>1411</v>
      </c>
      <c r="H81" s="20" t="s">
        <v>1411</v>
      </c>
      <c r="I81" s="83" t="s">
        <v>1411</v>
      </c>
      <c r="J81" s="20" t="s">
        <v>1412</v>
      </c>
      <c r="K81" s="20" t="s">
        <v>1412</v>
      </c>
      <c r="L81" s="20" t="s">
        <v>1412</v>
      </c>
      <c r="M81" s="31"/>
      <c r="N81" s="3">
        <f t="shared" si="1"/>
        <v>7</v>
      </c>
      <c r="O81" s="3">
        <f t="shared" si="2"/>
        <v>87.5</v>
      </c>
    </row>
    <row r="82">
      <c r="A82" s="81">
        <v>81.0</v>
      </c>
      <c r="B82" s="82" t="s">
        <v>886</v>
      </c>
      <c r="C82" s="82" t="s">
        <v>887</v>
      </c>
      <c r="D82" s="82" t="s">
        <v>888</v>
      </c>
      <c r="E82" s="82" t="s">
        <v>1417</v>
      </c>
      <c r="F82" s="20" t="s">
        <v>1411</v>
      </c>
      <c r="G82" s="20" t="s">
        <v>1411</v>
      </c>
      <c r="H82" s="20" t="s">
        <v>1411</v>
      </c>
      <c r="I82" s="83" t="s">
        <v>1411</v>
      </c>
      <c r="J82" s="20" t="s">
        <v>1412</v>
      </c>
      <c r="K82" s="20" t="s">
        <v>1412</v>
      </c>
      <c r="L82" s="20" t="s">
        <v>1412</v>
      </c>
      <c r="M82" s="20" t="s">
        <v>1412</v>
      </c>
      <c r="N82" s="3">
        <f t="shared" si="1"/>
        <v>8</v>
      </c>
      <c r="O82" s="3">
        <f t="shared" si="2"/>
        <v>100</v>
      </c>
    </row>
    <row r="83">
      <c r="A83" s="81">
        <v>82.0</v>
      </c>
      <c r="B83" s="82" t="s">
        <v>889</v>
      </c>
      <c r="C83" s="82" t="s">
        <v>890</v>
      </c>
      <c r="D83" s="82" t="s">
        <v>891</v>
      </c>
      <c r="E83" s="82" t="s">
        <v>1417</v>
      </c>
      <c r="F83" s="37" t="s">
        <v>1414</v>
      </c>
      <c r="G83" s="20" t="s">
        <v>1411</v>
      </c>
      <c r="H83" s="20" t="s">
        <v>1411</v>
      </c>
      <c r="I83" s="83" t="s">
        <v>1411</v>
      </c>
      <c r="J83" s="20" t="s">
        <v>1412</v>
      </c>
      <c r="K83" s="20" t="s">
        <v>1412</v>
      </c>
      <c r="L83" s="20" t="s">
        <v>1412</v>
      </c>
      <c r="M83" s="20" t="s">
        <v>1412</v>
      </c>
      <c r="N83" s="3">
        <f t="shared" si="1"/>
        <v>7</v>
      </c>
      <c r="O83" s="3">
        <f t="shared" si="2"/>
        <v>87.5</v>
      </c>
    </row>
    <row r="84">
      <c r="A84" s="81">
        <v>83.0</v>
      </c>
      <c r="B84" s="82" t="s">
        <v>1422</v>
      </c>
      <c r="C84" s="82" t="s">
        <v>893</v>
      </c>
      <c r="D84" s="82" t="s">
        <v>894</v>
      </c>
      <c r="E84" s="82" t="s">
        <v>1417</v>
      </c>
      <c r="F84" s="20" t="s">
        <v>1411</v>
      </c>
      <c r="G84" s="20" t="s">
        <v>1411</v>
      </c>
      <c r="H84" s="20" t="s">
        <v>1411</v>
      </c>
      <c r="I84" s="83" t="s">
        <v>1411</v>
      </c>
      <c r="J84" s="20" t="s">
        <v>1412</v>
      </c>
      <c r="K84" s="20" t="s">
        <v>1412</v>
      </c>
      <c r="L84" s="20" t="s">
        <v>1412</v>
      </c>
      <c r="M84" s="20" t="s">
        <v>1412</v>
      </c>
      <c r="N84" s="3">
        <f t="shared" si="1"/>
        <v>8</v>
      </c>
      <c r="O84" s="3">
        <f t="shared" si="2"/>
        <v>100</v>
      </c>
    </row>
    <row r="85">
      <c r="A85" s="81">
        <v>84.0</v>
      </c>
      <c r="B85" s="82" t="s">
        <v>895</v>
      </c>
      <c r="C85" s="82" t="s">
        <v>896</v>
      </c>
      <c r="D85" s="82" t="s">
        <v>897</v>
      </c>
      <c r="E85" s="82" t="s">
        <v>1417</v>
      </c>
      <c r="F85" s="20" t="s">
        <v>1411</v>
      </c>
      <c r="G85" s="20" t="s">
        <v>1411</v>
      </c>
      <c r="H85" s="20" t="s">
        <v>1411</v>
      </c>
      <c r="I85" s="83" t="s">
        <v>1411</v>
      </c>
      <c r="J85" s="20" t="s">
        <v>1412</v>
      </c>
      <c r="K85" s="20" t="s">
        <v>1412</v>
      </c>
      <c r="L85" s="20" t="s">
        <v>1412</v>
      </c>
      <c r="M85" s="20" t="s">
        <v>1412</v>
      </c>
      <c r="N85" s="3">
        <f t="shared" si="1"/>
        <v>8</v>
      </c>
      <c r="O85" s="3">
        <f t="shared" si="2"/>
        <v>100</v>
      </c>
    </row>
    <row r="86">
      <c r="A86" s="81">
        <v>85.0</v>
      </c>
      <c r="B86" s="82" t="s">
        <v>898</v>
      </c>
      <c r="C86" s="82" t="s">
        <v>899</v>
      </c>
      <c r="D86" s="82" t="s">
        <v>900</v>
      </c>
      <c r="E86" s="82" t="s">
        <v>1417</v>
      </c>
      <c r="F86" s="20" t="s">
        <v>1411</v>
      </c>
      <c r="G86" s="20" t="s">
        <v>1411</v>
      </c>
      <c r="H86" s="20" t="s">
        <v>1411</v>
      </c>
      <c r="I86" s="83" t="s">
        <v>1411</v>
      </c>
      <c r="J86" s="20" t="s">
        <v>1412</v>
      </c>
      <c r="K86" s="20" t="s">
        <v>1412</v>
      </c>
      <c r="L86" s="20" t="s">
        <v>1412</v>
      </c>
      <c r="M86" s="20" t="s">
        <v>1412</v>
      </c>
      <c r="N86" s="3">
        <f t="shared" si="1"/>
        <v>8</v>
      </c>
      <c r="O86" s="3">
        <f t="shared" si="2"/>
        <v>100</v>
      </c>
    </row>
    <row r="87">
      <c r="A87" s="81">
        <v>86.0</v>
      </c>
      <c r="B87" s="82" t="s">
        <v>1423</v>
      </c>
      <c r="C87" s="82" t="s">
        <v>902</v>
      </c>
      <c r="D87" s="82" t="s">
        <v>903</v>
      </c>
      <c r="E87" s="82" t="s">
        <v>1417</v>
      </c>
      <c r="F87" s="20" t="s">
        <v>1411</v>
      </c>
      <c r="G87" s="20" t="s">
        <v>1411</v>
      </c>
      <c r="H87" s="20" t="s">
        <v>1411</v>
      </c>
      <c r="I87" s="83" t="s">
        <v>1411</v>
      </c>
      <c r="J87" s="20" t="s">
        <v>1412</v>
      </c>
      <c r="K87" s="20" t="s">
        <v>1412</v>
      </c>
      <c r="L87" s="20" t="s">
        <v>1412</v>
      </c>
      <c r="M87" s="20" t="s">
        <v>1412</v>
      </c>
      <c r="N87" s="3">
        <f t="shared" si="1"/>
        <v>8</v>
      </c>
      <c r="O87" s="3">
        <f t="shared" si="2"/>
        <v>100</v>
      </c>
    </row>
    <row r="88">
      <c r="A88" s="81">
        <v>87.0</v>
      </c>
      <c r="B88" s="82" t="s">
        <v>904</v>
      </c>
      <c r="C88" s="82" t="s">
        <v>905</v>
      </c>
      <c r="D88" s="82" t="s">
        <v>906</v>
      </c>
      <c r="E88" s="82" t="s">
        <v>1417</v>
      </c>
      <c r="F88" s="20" t="s">
        <v>1411</v>
      </c>
      <c r="G88" s="20" t="s">
        <v>1411</v>
      </c>
      <c r="H88" s="20" t="s">
        <v>1411</v>
      </c>
      <c r="I88" s="83" t="s">
        <v>1411</v>
      </c>
      <c r="J88" s="20" t="s">
        <v>1412</v>
      </c>
      <c r="K88" s="20" t="s">
        <v>1412</v>
      </c>
      <c r="L88" s="20" t="s">
        <v>1412</v>
      </c>
      <c r="M88" s="31"/>
      <c r="N88" s="3">
        <f t="shared" si="1"/>
        <v>7</v>
      </c>
      <c r="O88" s="3">
        <f t="shared" si="2"/>
        <v>87.5</v>
      </c>
    </row>
    <row r="89">
      <c r="A89" s="81">
        <v>88.0</v>
      </c>
      <c r="B89" s="82" t="s">
        <v>907</v>
      </c>
      <c r="C89" s="82" t="s">
        <v>908</v>
      </c>
      <c r="D89" s="82" t="s">
        <v>909</v>
      </c>
      <c r="E89" s="82" t="s">
        <v>1417</v>
      </c>
      <c r="F89" s="20" t="s">
        <v>1411</v>
      </c>
      <c r="G89" s="20" t="s">
        <v>1411</v>
      </c>
      <c r="H89" s="20" t="s">
        <v>1411</v>
      </c>
      <c r="I89" s="83" t="s">
        <v>1411</v>
      </c>
      <c r="J89" s="20" t="s">
        <v>1412</v>
      </c>
      <c r="K89" s="31"/>
      <c r="L89" s="20" t="s">
        <v>1412</v>
      </c>
      <c r="M89" s="20" t="s">
        <v>1412</v>
      </c>
      <c r="N89" s="3">
        <f t="shared" si="1"/>
        <v>7</v>
      </c>
      <c r="O89" s="3">
        <f t="shared" si="2"/>
        <v>87.5</v>
      </c>
    </row>
    <row r="90">
      <c r="A90" s="81">
        <v>89.0</v>
      </c>
      <c r="B90" s="82" t="s">
        <v>1424</v>
      </c>
      <c r="C90" s="82" t="s">
        <v>911</v>
      </c>
      <c r="D90" s="82" t="s">
        <v>912</v>
      </c>
      <c r="E90" s="82" t="s">
        <v>1417</v>
      </c>
      <c r="F90" s="20" t="s">
        <v>1411</v>
      </c>
      <c r="G90" s="20" t="s">
        <v>1411</v>
      </c>
      <c r="H90" s="20" t="s">
        <v>1411</v>
      </c>
      <c r="I90" s="83" t="s">
        <v>1411</v>
      </c>
      <c r="J90" s="31"/>
      <c r="K90" s="20" t="s">
        <v>1412</v>
      </c>
      <c r="L90" s="20" t="s">
        <v>1412</v>
      </c>
      <c r="M90" s="20" t="s">
        <v>1412</v>
      </c>
      <c r="N90" s="3">
        <f t="shared" si="1"/>
        <v>7</v>
      </c>
      <c r="O90" s="3">
        <f t="shared" si="2"/>
        <v>87.5</v>
      </c>
    </row>
    <row r="91">
      <c r="A91" s="81">
        <v>90.0</v>
      </c>
      <c r="B91" s="82" t="s">
        <v>913</v>
      </c>
      <c r="C91" s="82" t="s">
        <v>914</v>
      </c>
      <c r="D91" s="82" t="s">
        <v>1425</v>
      </c>
      <c r="E91" s="82" t="s">
        <v>1417</v>
      </c>
      <c r="F91" s="20" t="s">
        <v>1411</v>
      </c>
      <c r="G91" s="20" t="s">
        <v>1411</v>
      </c>
      <c r="H91" s="20" t="s">
        <v>1411</v>
      </c>
      <c r="I91" s="83" t="s">
        <v>1411</v>
      </c>
      <c r="J91" s="31"/>
      <c r="K91" s="20" t="s">
        <v>1412</v>
      </c>
      <c r="L91" s="31"/>
      <c r="M91" s="31"/>
      <c r="N91" s="3">
        <f t="shared" si="1"/>
        <v>5</v>
      </c>
      <c r="O91" s="3">
        <f t="shared" si="2"/>
        <v>62.5</v>
      </c>
    </row>
    <row r="92">
      <c r="A92" s="81">
        <v>91.0</v>
      </c>
      <c r="B92" s="82" t="s">
        <v>1426</v>
      </c>
      <c r="C92" s="82" t="s">
        <v>917</v>
      </c>
      <c r="D92" s="82" t="s">
        <v>918</v>
      </c>
      <c r="E92" s="82" t="s">
        <v>1417</v>
      </c>
      <c r="F92" s="20" t="s">
        <v>1411</v>
      </c>
      <c r="G92" s="20" t="s">
        <v>1411</v>
      </c>
      <c r="H92" s="20" t="s">
        <v>1411</v>
      </c>
      <c r="I92" s="83" t="s">
        <v>1411</v>
      </c>
      <c r="J92" s="20" t="s">
        <v>1412</v>
      </c>
      <c r="K92" s="20" t="s">
        <v>1412</v>
      </c>
      <c r="L92" s="20" t="s">
        <v>1412</v>
      </c>
      <c r="M92" s="31"/>
      <c r="N92" s="3">
        <f t="shared" si="1"/>
        <v>7</v>
      </c>
      <c r="O92" s="3">
        <f t="shared" si="2"/>
        <v>87.5</v>
      </c>
    </row>
    <row r="93">
      <c r="A93" s="81">
        <v>92.0</v>
      </c>
      <c r="B93" s="82" t="s">
        <v>1427</v>
      </c>
      <c r="C93" s="82" t="s">
        <v>920</v>
      </c>
      <c r="D93" s="82" t="s">
        <v>921</v>
      </c>
      <c r="E93" s="82" t="s">
        <v>1417</v>
      </c>
      <c r="F93" s="20" t="s">
        <v>1411</v>
      </c>
      <c r="G93" s="20" t="s">
        <v>1411</v>
      </c>
      <c r="H93" s="20" t="s">
        <v>1411</v>
      </c>
      <c r="I93" s="83" t="s">
        <v>1411</v>
      </c>
      <c r="J93" s="20" t="s">
        <v>1412</v>
      </c>
      <c r="K93" s="20" t="s">
        <v>1412</v>
      </c>
      <c r="L93" s="20" t="s">
        <v>1412</v>
      </c>
      <c r="M93" s="31"/>
      <c r="N93" s="3">
        <f t="shared" si="1"/>
        <v>7</v>
      </c>
      <c r="O93" s="3">
        <f t="shared" si="2"/>
        <v>87.5</v>
      </c>
    </row>
    <row r="94">
      <c r="A94" s="81">
        <v>93.0</v>
      </c>
      <c r="B94" s="82" t="s">
        <v>761</v>
      </c>
      <c r="C94" s="82" t="s">
        <v>923</v>
      </c>
      <c r="D94" s="82" t="s">
        <v>924</v>
      </c>
      <c r="E94" s="82" t="s">
        <v>1417</v>
      </c>
      <c r="F94" s="20" t="s">
        <v>1411</v>
      </c>
      <c r="G94" s="20" t="s">
        <v>1411</v>
      </c>
      <c r="H94" s="20" t="s">
        <v>1411</v>
      </c>
      <c r="I94" s="84" t="s">
        <v>1414</v>
      </c>
      <c r="J94" s="20" t="s">
        <v>1412</v>
      </c>
      <c r="K94" s="20" t="s">
        <v>1412</v>
      </c>
      <c r="L94" s="20" t="s">
        <v>1412</v>
      </c>
      <c r="M94" s="20" t="s">
        <v>1412</v>
      </c>
      <c r="N94" s="3">
        <f t="shared" si="1"/>
        <v>7</v>
      </c>
      <c r="O94" s="3">
        <f t="shared" si="2"/>
        <v>87.5</v>
      </c>
    </row>
    <row r="95">
      <c r="A95" s="81">
        <v>94.0</v>
      </c>
      <c r="B95" s="82" t="s">
        <v>1428</v>
      </c>
      <c r="C95" s="82" t="s">
        <v>926</v>
      </c>
      <c r="D95" s="82" t="s">
        <v>927</v>
      </c>
      <c r="E95" s="82" t="s">
        <v>1417</v>
      </c>
      <c r="F95" s="20" t="s">
        <v>1411</v>
      </c>
      <c r="G95" s="20" t="s">
        <v>1411</v>
      </c>
      <c r="H95" s="20" t="s">
        <v>1411</v>
      </c>
      <c r="I95" s="83" t="s">
        <v>1411</v>
      </c>
      <c r="J95" s="31"/>
      <c r="K95" s="31"/>
      <c r="L95" s="20" t="s">
        <v>1412</v>
      </c>
      <c r="M95" s="20" t="s">
        <v>1412</v>
      </c>
      <c r="N95" s="3">
        <f t="shared" si="1"/>
        <v>6</v>
      </c>
      <c r="O95" s="3">
        <f t="shared" si="2"/>
        <v>75</v>
      </c>
    </row>
    <row r="96">
      <c r="A96" s="81">
        <v>95.0</v>
      </c>
      <c r="B96" s="82" t="s">
        <v>928</v>
      </c>
      <c r="C96" s="82" t="s">
        <v>929</v>
      </c>
      <c r="D96" s="82" t="s">
        <v>930</v>
      </c>
      <c r="E96" s="82" t="s">
        <v>1417</v>
      </c>
      <c r="F96" s="20" t="s">
        <v>1411</v>
      </c>
      <c r="G96" s="20" t="s">
        <v>1411</v>
      </c>
      <c r="H96" s="20" t="s">
        <v>1411</v>
      </c>
      <c r="I96" s="83" t="s">
        <v>1411</v>
      </c>
      <c r="J96" s="20" t="s">
        <v>1412</v>
      </c>
      <c r="K96" s="20" t="s">
        <v>1412</v>
      </c>
      <c r="L96" s="31"/>
      <c r="M96" s="20" t="s">
        <v>1412</v>
      </c>
      <c r="N96" s="3">
        <f t="shared" si="1"/>
        <v>7</v>
      </c>
      <c r="O96" s="3">
        <f t="shared" si="2"/>
        <v>87.5</v>
      </c>
    </row>
    <row r="97">
      <c r="A97" s="81">
        <v>96.0</v>
      </c>
      <c r="B97" s="82" t="s">
        <v>931</v>
      </c>
      <c r="C97" s="82" t="s">
        <v>932</v>
      </c>
      <c r="D97" s="82" t="s">
        <v>933</v>
      </c>
      <c r="E97" s="82" t="s">
        <v>1417</v>
      </c>
      <c r="F97" s="20" t="s">
        <v>1411</v>
      </c>
      <c r="G97" s="20" t="s">
        <v>1411</v>
      </c>
      <c r="H97" s="37" t="s">
        <v>1414</v>
      </c>
      <c r="I97" s="84" t="s">
        <v>1414</v>
      </c>
      <c r="J97" s="20" t="s">
        <v>1412</v>
      </c>
      <c r="K97" s="20" t="s">
        <v>1412</v>
      </c>
      <c r="L97" s="31"/>
      <c r="M97" s="31"/>
      <c r="N97" s="3">
        <f t="shared" si="1"/>
        <v>4</v>
      </c>
      <c r="O97" s="3">
        <f t="shared" si="2"/>
        <v>50</v>
      </c>
    </row>
    <row r="98">
      <c r="A98" s="81">
        <v>97.0</v>
      </c>
      <c r="B98" s="82" t="s">
        <v>934</v>
      </c>
      <c r="C98" s="82" t="s">
        <v>935</v>
      </c>
      <c r="D98" s="82" t="s">
        <v>936</v>
      </c>
      <c r="E98" s="82" t="s">
        <v>1417</v>
      </c>
      <c r="F98" s="20" t="s">
        <v>1411</v>
      </c>
      <c r="G98" s="37" t="s">
        <v>1414</v>
      </c>
      <c r="H98" s="37" t="s">
        <v>1414</v>
      </c>
      <c r="I98" s="84" t="s">
        <v>1414</v>
      </c>
      <c r="J98" s="31"/>
      <c r="K98" s="31"/>
      <c r="L98" s="20" t="s">
        <v>1412</v>
      </c>
      <c r="M98" s="20" t="s">
        <v>1412</v>
      </c>
      <c r="N98" s="3">
        <f t="shared" si="1"/>
        <v>3</v>
      </c>
      <c r="O98" s="3">
        <f t="shared" si="2"/>
        <v>37.5</v>
      </c>
    </row>
    <row r="99">
      <c r="A99" s="81">
        <v>98.0</v>
      </c>
      <c r="B99" s="20" t="s">
        <v>955</v>
      </c>
      <c r="C99" s="20" t="s">
        <v>956</v>
      </c>
      <c r="D99" s="25"/>
      <c r="E99" s="20" t="s">
        <v>1429</v>
      </c>
      <c r="F99" s="20" t="s">
        <v>1412</v>
      </c>
      <c r="G99" s="20" t="s">
        <v>1411</v>
      </c>
      <c r="H99" s="20" t="s">
        <v>1411</v>
      </c>
      <c r="I99" s="84" t="s">
        <v>1414</v>
      </c>
      <c r="J99" s="20" t="s">
        <v>1412</v>
      </c>
      <c r="K99" s="20" t="s">
        <v>1412</v>
      </c>
      <c r="L99" s="31"/>
      <c r="M99" s="20" t="s">
        <v>1412</v>
      </c>
      <c r="N99" s="3">
        <f t="shared" si="1"/>
        <v>6</v>
      </c>
      <c r="O99" s="3">
        <f t="shared" si="2"/>
        <v>75</v>
      </c>
    </row>
    <row r="100">
      <c r="A100" s="81">
        <v>99.0</v>
      </c>
      <c r="B100" s="20" t="s">
        <v>1430</v>
      </c>
      <c r="C100" s="20" t="s">
        <v>959</v>
      </c>
      <c r="D100" s="25"/>
      <c r="E100" s="20" t="s">
        <v>1431</v>
      </c>
      <c r="F100" s="20" t="s">
        <v>1412</v>
      </c>
      <c r="G100" s="20" t="s">
        <v>1412</v>
      </c>
      <c r="H100" s="20" t="s">
        <v>1411</v>
      </c>
      <c r="I100" s="83" t="s">
        <v>1411</v>
      </c>
      <c r="J100" s="31"/>
      <c r="K100" s="20" t="s">
        <v>1412</v>
      </c>
      <c r="L100" s="20" t="s">
        <v>1412</v>
      </c>
      <c r="M100" s="20" t="s">
        <v>1412</v>
      </c>
      <c r="N100" s="3">
        <f t="shared" si="1"/>
        <v>7</v>
      </c>
      <c r="O100" s="3">
        <f t="shared" si="2"/>
        <v>87.5</v>
      </c>
    </row>
    <row r="101">
      <c r="A101" s="81">
        <v>100.0</v>
      </c>
      <c r="B101" s="20" t="s">
        <v>940</v>
      </c>
      <c r="C101" s="20" t="s">
        <v>941</v>
      </c>
      <c r="D101" s="25"/>
      <c r="E101" s="20" t="s">
        <v>1431</v>
      </c>
      <c r="F101" s="20" t="s">
        <v>1412</v>
      </c>
      <c r="G101" s="20" t="s">
        <v>1412</v>
      </c>
      <c r="H101" s="20" t="s">
        <v>1411</v>
      </c>
      <c r="I101" s="83" t="s">
        <v>1411</v>
      </c>
      <c r="J101" s="20" t="s">
        <v>1412</v>
      </c>
      <c r="K101" s="20" t="s">
        <v>1412</v>
      </c>
      <c r="L101" s="20" t="s">
        <v>1412</v>
      </c>
      <c r="M101" s="20" t="s">
        <v>1412</v>
      </c>
      <c r="N101" s="3">
        <f t="shared" si="1"/>
        <v>8</v>
      </c>
      <c r="O101" s="3">
        <f t="shared" si="2"/>
        <v>100</v>
      </c>
    </row>
    <row r="102">
      <c r="A102" s="81">
        <v>101.0</v>
      </c>
      <c r="B102" s="20" t="s">
        <v>1432</v>
      </c>
      <c r="C102" s="2" t="s">
        <v>953</v>
      </c>
      <c r="D102" s="25"/>
      <c r="E102" s="20" t="s">
        <v>1431</v>
      </c>
      <c r="F102" s="20" t="s">
        <v>1412</v>
      </c>
      <c r="G102" s="20" t="s">
        <v>1412</v>
      </c>
      <c r="H102" s="37" t="s">
        <v>1414</v>
      </c>
      <c r="I102" s="83" t="s">
        <v>1411</v>
      </c>
      <c r="J102" s="20" t="s">
        <v>1412</v>
      </c>
      <c r="K102" s="20" t="s">
        <v>1412</v>
      </c>
      <c r="L102" s="20" t="s">
        <v>1412</v>
      </c>
      <c r="M102" s="20" t="s">
        <v>1412</v>
      </c>
      <c r="N102" s="3">
        <f t="shared" si="1"/>
        <v>7</v>
      </c>
      <c r="O102" s="3">
        <f t="shared" si="2"/>
        <v>87.5</v>
      </c>
    </row>
    <row r="103">
      <c r="A103" s="81">
        <v>102.0</v>
      </c>
      <c r="B103" s="20" t="s">
        <v>937</v>
      </c>
      <c r="C103" s="20" t="s">
        <v>938</v>
      </c>
      <c r="D103" s="25"/>
      <c r="E103" s="20" t="s">
        <v>1431</v>
      </c>
      <c r="F103" s="20" t="s">
        <v>1412</v>
      </c>
      <c r="G103" s="20" t="s">
        <v>1412</v>
      </c>
      <c r="H103" s="20" t="s">
        <v>1411</v>
      </c>
      <c r="I103" s="83" t="s">
        <v>1411</v>
      </c>
      <c r="J103" s="20" t="s">
        <v>1412</v>
      </c>
      <c r="K103" s="20" t="s">
        <v>1412</v>
      </c>
      <c r="L103" s="20" t="s">
        <v>1412</v>
      </c>
      <c r="M103" s="20" t="s">
        <v>1412</v>
      </c>
      <c r="N103" s="3">
        <f t="shared" si="1"/>
        <v>8</v>
      </c>
      <c r="O103" s="3">
        <f t="shared" si="2"/>
        <v>100</v>
      </c>
    </row>
    <row r="104">
      <c r="A104" s="81">
        <v>103.0</v>
      </c>
      <c r="B104" s="20" t="s">
        <v>946</v>
      </c>
      <c r="C104" s="20" t="s">
        <v>947</v>
      </c>
      <c r="D104" s="25"/>
      <c r="E104" s="20" t="s">
        <v>1431</v>
      </c>
      <c r="F104" s="20" t="s">
        <v>1412</v>
      </c>
      <c r="G104" s="20" t="s">
        <v>1412</v>
      </c>
      <c r="H104" s="20" t="s">
        <v>1411</v>
      </c>
      <c r="I104" s="83" t="s">
        <v>1411</v>
      </c>
      <c r="J104" s="31"/>
      <c r="K104" s="20" t="s">
        <v>1412</v>
      </c>
      <c r="L104" s="20" t="s">
        <v>1412</v>
      </c>
      <c r="M104" s="20" t="s">
        <v>1412</v>
      </c>
      <c r="N104" s="3">
        <f t="shared" si="1"/>
        <v>7</v>
      </c>
      <c r="O104" s="3">
        <f t="shared" si="2"/>
        <v>87.5</v>
      </c>
    </row>
    <row r="105">
      <c r="A105" s="81">
        <v>104.0</v>
      </c>
      <c r="B105" s="20" t="s">
        <v>943</v>
      </c>
      <c r="C105" s="20" t="s">
        <v>944</v>
      </c>
      <c r="D105" s="25"/>
      <c r="E105" s="20" t="s">
        <v>1431</v>
      </c>
      <c r="F105" s="20" t="s">
        <v>1412</v>
      </c>
      <c r="G105" s="20" t="s">
        <v>1412</v>
      </c>
      <c r="H105" s="20" t="s">
        <v>1411</v>
      </c>
      <c r="I105" s="83" t="s">
        <v>1411</v>
      </c>
      <c r="J105" s="31"/>
      <c r="K105" s="20" t="s">
        <v>1412</v>
      </c>
      <c r="L105" s="20" t="s">
        <v>1412</v>
      </c>
      <c r="M105" s="20" t="s">
        <v>1412</v>
      </c>
      <c r="N105" s="3">
        <f t="shared" si="1"/>
        <v>7</v>
      </c>
      <c r="O105" s="3">
        <f t="shared" si="2"/>
        <v>87.5</v>
      </c>
    </row>
    <row r="106">
      <c r="A106" s="81"/>
      <c r="B106" s="25"/>
      <c r="C106" s="25"/>
      <c r="D106" s="25"/>
      <c r="E106" s="25"/>
      <c r="F106" s="25"/>
      <c r="G106" s="25"/>
      <c r="H106" s="25"/>
      <c r="I106" s="85"/>
      <c r="J106" s="25"/>
      <c r="K106" s="25"/>
      <c r="L106" s="25"/>
      <c r="M106" s="25"/>
    </row>
    <row r="107">
      <c r="A107" s="81"/>
      <c r="B107" s="25"/>
      <c r="C107" s="25"/>
      <c r="D107" s="25"/>
      <c r="E107" s="25"/>
      <c r="F107" s="25"/>
      <c r="G107" s="25"/>
      <c r="H107" s="25"/>
      <c r="I107" s="85"/>
      <c r="J107" s="25"/>
      <c r="K107" s="25"/>
      <c r="L107" s="25"/>
      <c r="M107" s="25"/>
    </row>
    <row r="108">
      <c r="A108" s="81"/>
      <c r="B108" s="25"/>
      <c r="C108" s="25"/>
      <c r="D108" s="25"/>
      <c r="E108" s="25"/>
      <c r="F108" s="25"/>
      <c r="G108" s="25"/>
      <c r="H108" s="25"/>
      <c r="I108" s="85"/>
      <c r="J108" s="25"/>
      <c r="K108" s="25"/>
      <c r="L108" s="25"/>
      <c r="M108" s="25"/>
    </row>
    <row r="109">
      <c r="A109" s="81"/>
      <c r="B109" s="25"/>
      <c r="C109" s="25"/>
      <c r="D109" s="25"/>
      <c r="E109" s="25"/>
      <c r="F109" s="25"/>
      <c r="G109" s="25"/>
      <c r="H109" s="25"/>
      <c r="I109" s="85"/>
      <c r="J109" s="25"/>
      <c r="K109" s="25"/>
      <c r="L109" s="25"/>
      <c r="M109" s="25"/>
    </row>
    <row r="110">
      <c r="A110" s="81"/>
      <c r="B110" s="25"/>
      <c r="C110" s="25"/>
      <c r="D110" s="25"/>
      <c r="E110" s="25"/>
      <c r="F110" s="25"/>
      <c r="G110" s="25"/>
      <c r="H110" s="25"/>
      <c r="I110" s="85"/>
    </row>
  </sheetData>
  <autoFilter ref="$A$1:$I$110">
    <sortState ref="A1:I110">
      <sortCondition ref="C1:C110"/>
    </sortState>
  </autoFilter>
  <conditionalFormatting sqref="O1:O1000">
    <cfRule type="cellIs" dxfId="0" priority="1" operator="lessThan">
      <formula>30</formula>
    </cfRule>
  </conditionalFormatting>
  <printOptions gridLines="1" horizontalCentered="1"/>
  <pageMargins bottom="0.75" footer="0.0" header="0.0" left="0.7" right="0.7" top="0.75"/>
  <pageSetup paperSize="9" scale="76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0.25"/>
    <col customWidth="1" min="3" max="3" width="17.0"/>
    <col hidden="1" min="4" max="4" width="12.63"/>
    <col customWidth="1" min="6" max="15" width="20.5"/>
  </cols>
  <sheetData>
    <row r="1">
      <c r="A1" s="86" t="s">
        <v>1401</v>
      </c>
      <c r="B1" s="77" t="s">
        <v>961</v>
      </c>
      <c r="C1" s="77" t="s">
        <v>1381</v>
      </c>
      <c r="D1" s="77" t="s">
        <v>1402</v>
      </c>
      <c r="E1" s="77"/>
      <c r="F1" s="87"/>
      <c r="G1" s="87"/>
      <c r="H1" s="87"/>
      <c r="I1" s="88"/>
      <c r="J1" s="89"/>
      <c r="K1" s="25"/>
      <c r="L1" s="20"/>
      <c r="M1" s="20"/>
      <c r="N1" s="25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>
      <c r="A2" s="81">
        <v>1.0</v>
      </c>
      <c r="B2" s="82" t="s">
        <v>1433</v>
      </c>
      <c r="C2" s="82" t="s">
        <v>15</v>
      </c>
      <c r="D2" s="82" t="s">
        <v>16</v>
      </c>
      <c r="E2" s="82">
        <v>9.0</v>
      </c>
      <c r="F2" s="91">
        <f t="shared" ref="F2:F119" si="1">(E2/10)*100</f>
        <v>90</v>
      </c>
      <c r="G2" s="91"/>
      <c r="H2" s="91"/>
      <c r="I2" s="92"/>
      <c r="J2" s="93"/>
      <c r="K2" s="20"/>
      <c r="L2" s="20"/>
      <c r="M2" s="20"/>
      <c r="N2" s="20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  <row r="3">
      <c r="A3" s="81">
        <v>2.0</v>
      </c>
      <c r="B3" s="82" t="s">
        <v>1434</v>
      </c>
      <c r="C3" s="82" t="s">
        <v>18</v>
      </c>
      <c r="D3" s="82" t="s">
        <v>19</v>
      </c>
      <c r="E3" s="82">
        <v>7.0</v>
      </c>
      <c r="F3" s="91">
        <f t="shared" si="1"/>
        <v>70</v>
      </c>
      <c r="G3" s="91"/>
      <c r="H3" s="91"/>
      <c r="I3" s="92"/>
      <c r="J3" s="94"/>
      <c r="K3" s="20"/>
      <c r="L3" s="20"/>
      <c r="M3" s="20"/>
      <c r="N3" s="20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</row>
    <row r="4">
      <c r="A4" s="81">
        <v>3.0</v>
      </c>
      <c r="B4" s="82" t="s">
        <v>20</v>
      </c>
      <c r="C4" s="82" t="s">
        <v>21</v>
      </c>
      <c r="D4" s="82" t="s">
        <v>22</v>
      </c>
      <c r="E4" s="82">
        <v>7.0</v>
      </c>
      <c r="F4" s="91">
        <f t="shared" si="1"/>
        <v>70</v>
      </c>
      <c r="G4" s="91"/>
      <c r="H4" s="91"/>
      <c r="I4" s="92"/>
      <c r="J4" s="93"/>
      <c r="K4" s="20"/>
      <c r="L4" s="20"/>
      <c r="M4" s="20"/>
      <c r="N4" s="20"/>
      <c r="O4" s="2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</row>
    <row r="5">
      <c r="A5" s="81">
        <v>4.0</v>
      </c>
      <c r="B5" s="82" t="s">
        <v>23</v>
      </c>
      <c r="C5" s="82" t="s">
        <v>24</v>
      </c>
      <c r="D5" s="82" t="s">
        <v>26</v>
      </c>
      <c r="E5" s="82">
        <v>9.0</v>
      </c>
      <c r="F5" s="91">
        <f t="shared" si="1"/>
        <v>90</v>
      </c>
      <c r="G5" s="91"/>
      <c r="H5" s="91"/>
      <c r="I5" s="92"/>
      <c r="J5" s="93"/>
      <c r="K5" s="20"/>
      <c r="L5" s="20"/>
      <c r="M5" s="20"/>
      <c r="N5" s="20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</row>
    <row r="6">
      <c r="A6" s="81">
        <v>5.0</v>
      </c>
      <c r="B6" s="82" t="s">
        <v>27</v>
      </c>
      <c r="C6" s="82" t="s">
        <v>28</v>
      </c>
      <c r="D6" s="82" t="s">
        <v>29</v>
      </c>
      <c r="E6" s="82">
        <v>7.0</v>
      </c>
      <c r="F6" s="91">
        <f t="shared" si="1"/>
        <v>70</v>
      </c>
      <c r="G6" s="91"/>
      <c r="H6" s="91"/>
      <c r="I6" s="92"/>
      <c r="J6" s="94"/>
      <c r="K6" s="20"/>
      <c r="L6" s="20"/>
      <c r="M6" s="20"/>
      <c r="N6" s="20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</row>
    <row r="7">
      <c r="A7" s="81">
        <v>6.0</v>
      </c>
      <c r="B7" s="82" t="s">
        <v>1435</v>
      </c>
      <c r="C7" s="82" t="s">
        <v>31</v>
      </c>
      <c r="D7" s="82" t="s">
        <v>33</v>
      </c>
      <c r="E7" s="82">
        <v>9.0</v>
      </c>
      <c r="F7" s="91">
        <f t="shared" si="1"/>
        <v>90</v>
      </c>
      <c r="G7" s="91"/>
      <c r="H7" s="91"/>
      <c r="I7" s="92"/>
      <c r="J7" s="94"/>
      <c r="K7" s="20"/>
      <c r="L7" s="20"/>
      <c r="M7" s="20"/>
      <c r="N7" s="20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</row>
    <row r="8">
      <c r="A8" s="81">
        <v>7.0</v>
      </c>
      <c r="B8" s="82" t="s">
        <v>34</v>
      </c>
      <c r="C8" s="82" t="s">
        <v>35</v>
      </c>
      <c r="D8" s="82" t="s">
        <v>36</v>
      </c>
      <c r="E8" s="82">
        <v>6.0</v>
      </c>
      <c r="F8" s="91">
        <f t="shared" si="1"/>
        <v>60</v>
      </c>
      <c r="G8" s="91"/>
      <c r="H8" s="91"/>
      <c r="I8" s="92"/>
      <c r="J8" s="94"/>
      <c r="K8" s="20"/>
      <c r="L8" s="20"/>
      <c r="M8" s="2"/>
      <c r="N8" s="2"/>
      <c r="O8" s="2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</row>
    <row r="9">
      <c r="A9" s="81">
        <v>8.0</v>
      </c>
      <c r="B9" s="82" t="s">
        <v>1436</v>
      </c>
      <c r="C9" s="82" t="s">
        <v>38</v>
      </c>
      <c r="D9" s="82" t="s">
        <v>39</v>
      </c>
      <c r="E9" s="82">
        <v>8.0</v>
      </c>
      <c r="F9" s="91">
        <f t="shared" si="1"/>
        <v>80</v>
      </c>
      <c r="G9" s="91"/>
      <c r="H9" s="91"/>
      <c r="I9" s="92"/>
      <c r="J9" s="94"/>
      <c r="K9" s="20"/>
      <c r="L9" s="20"/>
      <c r="M9" s="20"/>
      <c r="N9" s="20"/>
      <c r="O9" s="2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</row>
    <row r="10">
      <c r="A10" s="81">
        <v>9.0</v>
      </c>
      <c r="B10" s="82" t="s">
        <v>40</v>
      </c>
      <c r="C10" s="82" t="s">
        <v>41</v>
      </c>
      <c r="D10" s="82" t="s">
        <v>43</v>
      </c>
      <c r="E10" s="82">
        <v>9.0</v>
      </c>
      <c r="F10" s="91">
        <f t="shared" si="1"/>
        <v>90</v>
      </c>
      <c r="G10" s="91"/>
      <c r="H10" s="91"/>
      <c r="I10" s="92"/>
      <c r="J10" s="93"/>
      <c r="K10" s="20"/>
      <c r="L10" s="20"/>
      <c r="M10" s="20"/>
      <c r="N10" s="20"/>
      <c r="O10" s="2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</row>
    <row r="11">
      <c r="A11" s="81">
        <v>10.0</v>
      </c>
      <c r="B11" s="82" t="s">
        <v>44</v>
      </c>
      <c r="C11" s="82" t="s">
        <v>45</v>
      </c>
      <c r="D11" s="82" t="s">
        <v>46</v>
      </c>
      <c r="E11" s="82">
        <v>9.0</v>
      </c>
      <c r="F11" s="91">
        <f t="shared" si="1"/>
        <v>90</v>
      </c>
      <c r="G11" s="91"/>
      <c r="H11" s="91"/>
      <c r="I11" s="92"/>
      <c r="J11" s="93"/>
      <c r="K11" s="20"/>
      <c r="L11" s="20"/>
      <c r="M11" s="20"/>
      <c r="N11" s="20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</row>
    <row r="12">
      <c r="A12" s="81">
        <v>11.0</v>
      </c>
      <c r="B12" s="82" t="s">
        <v>1437</v>
      </c>
      <c r="C12" s="82" t="s">
        <v>48</v>
      </c>
      <c r="D12" s="82" t="s">
        <v>49</v>
      </c>
      <c r="E12" s="82">
        <v>7.0</v>
      </c>
      <c r="F12" s="91">
        <f t="shared" si="1"/>
        <v>70</v>
      </c>
      <c r="G12" s="91"/>
      <c r="H12" s="91"/>
      <c r="I12" s="92"/>
      <c r="J12" s="94"/>
      <c r="K12" s="20"/>
      <c r="L12" s="20"/>
      <c r="M12" s="20"/>
      <c r="N12" s="20"/>
      <c r="O12" s="2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</row>
    <row r="13">
      <c r="A13" s="81">
        <v>12.0</v>
      </c>
      <c r="B13" s="82" t="s">
        <v>1438</v>
      </c>
      <c r="C13" s="82" t="s">
        <v>51</v>
      </c>
      <c r="D13" s="82" t="s">
        <v>52</v>
      </c>
      <c r="E13" s="82">
        <v>9.0</v>
      </c>
      <c r="F13" s="91">
        <f t="shared" si="1"/>
        <v>90</v>
      </c>
      <c r="G13" s="91"/>
      <c r="H13" s="91"/>
      <c r="I13" s="92"/>
      <c r="J13" s="94"/>
      <c r="K13" s="20"/>
      <c r="L13" s="20"/>
      <c r="M13" s="20"/>
      <c r="N13" s="20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</row>
    <row r="14">
      <c r="A14" s="81">
        <v>13.0</v>
      </c>
      <c r="B14" s="82" t="s">
        <v>53</v>
      </c>
      <c r="C14" s="82" t="s">
        <v>54</v>
      </c>
      <c r="D14" s="82" t="s">
        <v>56</v>
      </c>
      <c r="E14" s="82">
        <v>8.0</v>
      </c>
      <c r="F14" s="91">
        <f t="shared" si="1"/>
        <v>80</v>
      </c>
      <c r="G14" s="91"/>
      <c r="H14" s="91"/>
      <c r="I14" s="92"/>
      <c r="J14" s="94"/>
      <c r="K14" s="20"/>
      <c r="L14" s="20"/>
      <c r="M14" s="20"/>
      <c r="N14" s="20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</row>
    <row r="15">
      <c r="A15" s="81">
        <v>14.0</v>
      </c>
      <c r="B15" s="82" t="s">
        <v>57</v>
      </c>
      <c r="C15" s="82" t="s">
        <v>58</v>
      </c>
      <c r="D15" s="82" t="s">
        <v>60</v>
      </c>
      <c r="E15" s="82">
        <v>9.0</v>
      </c>
      <c r="F15" s="91">
        <f t="shared" si="1"/>
        <v>90</v>
      </c>
      <c r="G15" s="91"/>
      <c r="H15" s="91"/>
      <c r="I15" s="92"/>
      <c r="J15" s="93"/>
      <c r="K15" s="20"/>
      <c r="L15" s="20"/>
      <c r="M15" s="20"/>
      <c r="N15" s="20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</row>
    <row r="16">
      <c r="A16" s="81">
        <v>15.0</v>
      </c>
      <c r="B16" s="82" t="s">
        <v>61</v>
      </c>
      <c r="C16" s="82" t="s">
        <v>62</v>
      </c>
      <c r="D16" s="82" t="s">
        <v>63</v>
      </c>
      <c r="E16" s="82">
        <v>8.0</v>
      </c>
      <c r="F16" s="91">
        <f t="shared" si="1"/>
        <v>80</v>
      </c>
      <c r="G16" s="91"/>
      <c r="H16" s="91"/>
      <c r="I16" s="92"/>
      <c r="J16" s="93"/>
      <c r="K16" s="20"/>
      <c r="L16" s="20"/>
      <c r="M16" s="20"/>
      <c r="N16" s="20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</row>
    <row r="17">
      <c r="A17" s="81">
        <v>16.0</v>
      </c>
      <c r="B17" s="82" t="s">
        <v>1439</v>
      </c>
      <c r="C17" s="82" t="s">
        <v>65</v>
      </c>
      <c r="D17" s="82" t="s">
        <v>66</v>
      </c>
      <c r="E17" s="82">
        <v>7.0</v>
      </c>
      <c r="F17" s="91">
        <f t="shared" si="1"/>
        <v>70</v>
      </c>
      <c r="G17" s="91"/>
      <c r="H17" s="91"/>
      <c r="I17" s="92"/>
      <c r="J17" s="94"/>
      <c r="K17" s="20"/>
      <c r="L17" s="20"/>
      <c r="M17" s="20"/>
      <c r="N17" s="20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</row>
    <row r="18">
      <c r="A18" s="81">
        <v>17.0</v>
      </c>
      <c r="B18" s="82" t="s">
        <v>67</v>
      </c>
      <c r="C18" s="82" t="s">
        <v>68</v>
      </c>
      <c r="D18" s="82" t="s">
        <v>69</v>
      </c>
      <c r="E18" s="82">
        <v>8.0</v>
      </c>
      <c r="F18" s="91">
        <f t="shared" si="1"/>
        <v>80</v>
      </c>
      <c r="G18" s="91"/>
      <c r="H18" s="91"/>
      <c r="I18" s="92"/>
      <c r="J18" s="93"/>
      <c r="K18" s="20"/>
      <c r="L18" s="20"/>
      <c r="M18" s="20"/>
      <c r="N18" s="20"/>
      <c r="O18" s="2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</row>
    <row r="19">
      <c r="A19" s="81">
        <v>18.0</v>
      </c>
      <c r="B19" s="82" t="s">
        <v>70</v>
      </c>
      <c r="C19" s="82" t="s">
        <v>71</v>
      </c>
      <c r="D19" s="82" t="s">
        <v>72</v>
      </c>
      <c r="E19" s="82">
        <v>9.0</v>
      </c>
      <c r="F19" s="91">
        <f t="shared" si="1"/>
        <v>90</v>
      </c>
      <c r="G19" s="91"/>
      <c r="H19" s="91"/>
      <c r="I19" s="92"/>
      <c r="J19" s="93"/>
      <c r="K19" s="20"/>
      <c r="L19" s="20"/>
      <c r="M19" s="20"/>
      <c r="N19" s="20"/>
      <c r="O19" s="2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</row>
    <row r="20">
      <c r="A20" s="81">
        <v>19.0</v>
      </c>
      <c r="B20" s="82" t="s">
        <v>73</v>
      </c>
      <c r="C20" s="82" t="s">
        <v>74</v>
      </c>
      <c r="D20" s="82" t="s">
        <v>75</v>
      </c>
      <c r="E20" s="82">
        <v>8.0</v>
      </c>
      <c r="F20" s="91">
        <f t="shared" si="1"/>
        <v>80</v>
      </c>
      <c r="G20" s="91"/>
      <c r="H20" s="91"/>
      <c r="I20" s="92"/>
      <c r="J20" s="94"/>
      <c r="K20" s="20"/>
      <c r="L20" s="20"/>
      <c r="M20" s="20"/>
      <c r="N20" s="20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</row>
    <row r="21">
      <c r="A21" s="81">
        <v>20.0</v>
      </c>
      <c r="B21" s="82" t="s">
        <v>76</v>
      </c>
      <c r="C21" s="82" t="s">
        <v>77</v>
      </c>
      <c r="D21" s="82" t="s">
        <v>78</v>
      </c>
      <c r="E21" s="82">
        <v>8.0</v>
      </c>
      <c r="F21" s="91">
        <f t="shared" si="1"/>
        <v>80</v>
      </c>
      <c r="G21" s="91"/>
      <c r="H21" s="91"/>
      <c r="I21" s="92"/>
      <c r="J21" s="93"/>
      <c r="K21" s="20"/>
      <c r="L21" s="20"/>
      <c r="M21" s="20"/>
      <c r="N21" s="20"/>
      <c r="O21" s="2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</row>
    <row r="22">
      <c r="A22" s="81">
        <v>21.0</v>
      </c>
      <c r="B22" s="82" t="s">
        <v>79</v>
      </c>
      <c r="C22" s="82" t="s">
        <v>80</v>
      </c>
      <c r="D22" s="82" t="s">
        <v>81</v>
      </c>
      <c r="E22" s="82">
        <v>7.0</v>
      </c>
      <c r="F22" s="91">
        <f t="shared" si="1"/>
        <v>70</v>
      </c>
      <c r="G22" s="91"/>
      <c r="H22" s="91"/>
      <c r="I22" s="92"/>
      <c r="J22" s="94"/>
      <c r="K22" s="25"/>
      <c r="L22" s="20"/>
      <c r="M22" s="20"/>
      <c r="N22" s="20"/>
      <c r="O22" s="2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</row>
    <row r="23">
      <c r="A23" s="81">
        <v>22.0</v>
      </c>
      <c r="B23" s="82" t="s">
        <v>82</v>
      </c>
      <c r="C23" s="82" t="s">
        <v>83</v>
      </c>
      <c r="D23" s="82" t="s">
        <v>84</v>
      </c>
      <c r="E23" s="82">
        <v>5.0</v>
      </c>
      <c r="F23" s="91">
        <f t="shared" si="1"/>
        <v>50</v>
      </c>
      <c r="G23" s="91"/>
      <c r="H23" s="91"/>
      <c r="I23" s="92"/>
      <c r="J23" s="94"/>
      <c r="K23" s="25"/>
      <c r="L23" s="20"/>
      <c r="M23" s="20"/>
      <c r="N23" s="20"/>
      <c r="O23" s="2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</row>
    <row r="24">
      <c r="A24" s="81">
        <v>23.0</v>
      </c>
      <c r="B24" s="82" t="s">
        <v>85</v>
      </c>
      <c r="C24" s="82" t="s">
        <v>86</v>
      </c>
      <c r="D24" s="82" t="s">
        <v>87</v>
      </c>
      <c r="E24" s="82">
        <v>8.0</v>
      </c>
      <c r="F24" s="91">
        <f t="shared" si="1"/>
        <v>80</v>
      </c>
      <c r="G24" s="91"/>
      <c r="H24" s="91"/>
      <c r="I24" s="92"/>
      <c r="J24" s="93"/>
      <c r="K24" s="25"/>
      <c r="L24" s="20"/>
      <c r="M24" s="20"/>
      <c r="N24" s="20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</row>
    <row r="25">
      <c r="A25" s="81">
        <v>24.0</v>
      </c>
      <c r="B25" s="82" t="s">
        <v>88</v>
      </c>
      <c r="C25" s="82" t="s">
        <v>89</v>
      </c>
      <c r="D25" s="82" t="s">
        <v>90</v>
      </c>
      <c r="E25" s="82">
        <v>10.0</v>
      </c>
      <c r="F25" s="91">
        <f t="shared" si="1"/>
        <v>100</v>
      </c>
      <c r="G25" s="91"/>
      <c r="H25" s="91"/>
      <c r="I25" s="92"/>
      <c r="J25" s="93"/>
      <c r="K25" s="20"/>
      <c r="L25" s="20"/>
      <c r="M25" s="20"/>
      <c r="N25" s="20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</row>
    <row r="26">
      <c r="A26" s="81">
        <v>25.0</v>
      </c>
      <c r="B26" s="82" t="s">
        <v>91</v>
      </c>
      <c r="C26" s="82" t="s">
        <v>92</v>
      </c>
      <c r="D26" s="82" t="s">
        <v>93</v>
      </c>
      <c r="E26" s="82">
        <v>9.0</v>
      </c>
      <c r="F26" s="91">
        <f t="shared" si="1"/>
        <v>90</v>
      </c>
      <c r="G26" s="91"/>
      <c r="H26" s="91"/>
      <c r="I26" s="92"/>
      <c r="J26" s="94"/>
      <c r="K26" s="20"/>
      <c r="L26" s="20"/>
      <c r="M26" s="20"/>
      <c r="N26" s="20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</row>
    <row r="27">
      <c r="A27" s="81">
        <v>26.0</v>
      </c>
      <c r="B27" s="82" t="s">
        <v>94</v>
      </c>
      <c r="C27" s="82" t="s">
        <v>95</v>
      </c>
      <c r="D27" s="82" t="s">
        <v>97</v>
      </c>
      <c r="E27" s="82">
        <v>8.0</v>
      </c>
      <c r="F27" s="91">
        <f t="shared" si="1"/>
        <v>80</v>
      </c>
      <c r="G27" s="91"/>
      <c r="H27" s="91"/>
      <c r="I27" s="92"/>
      <c r="J27" s="94"/>
      <c r="K27" s="25"/>
      <c r="L27" s="20"/>
      <c r="M27" s="20"/>
      <c r="N27" s="20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</row>
    <row r="28">
      <c r="A28" s="81">
        <v>27.0</v>
      </c>
      <c r="B28" s="82" t="s">
        <v>1440</v>
      </c>
      <c r="C28" s="82" t="s">
        <v>99</v>
      </c>
      <c r="D28" s="82" t="s">
        <v>100</v>
      </c>
      <c r="E28" s="82">
        <v>9.0</v>
      </c>
      <c r="F28" s="91">
        <f t="shared" si="1"/>
        <v>90</v>
      </c>
      <c r="G28" s="91"/>
      <c r="H28" s="91"/>
      <c r="I28" s="92"/>
      <c r="J28" s="94"/>
      <c r="K28" s="20"/>
      <c r="L28" s="20"/>
      <c r="M28" s="20"/>
      <c r="N28" s="20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</row>
    <row r="29">
      <c r="A29" s="81">
        <v>28.0</v>
      </c>
      <c r="B29" s="82" t="s">
        <v>101</v>
      </c>
      <c r="C29" s="82" t="s">
        <v>102</v>
      </c>
      <c r="D29" s="82" t="s">
        <v>103</v>
      </c>
      <c r="E29" s="82">
        <v>9.0</v>
      </c>
      <c r="F29" s="91">
        <f t="shared" si="1"/>
        <v>90</v>
      </c>
      <c r="G29" s="91"/>
      <c r="H29" s="91"/>
      <c r="I29" s="92"/>
      <c r="J29" s="94"/>
      <c r="K29" s="20"/>
      <c r="L29" s="20"/>
      <c r="M29" s="20"/>
      <c r="N29" s="20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</row>
    <row r="30">
      <c r="A30" s="81">
        <v>29.0</v>
      </c>
      <c r="B30" s="82" t="s">
        <v>1441</v>
      </c>
      <c r="C30" s="82" t="s">
        <v>105</v>
      </c>
      <c r="D30" s="82" t="s">
        <v>106</v>
      </c>
      <c r="E30" s="82">
        <v>8.0</v>
      </c>
      <c r="F30" s="91">
        <f t="shared" si="1"/>
        <v>80</v>
      </c>
      <c r="G30" s="91"/>
      <c r="H30" s="91"/>
      <c r="I30" s="92"/>
      <c r="J30" s="94"/>
      <c r="K30" s="20"/>
      <c r="L30" s="20"/>
      <c r="M30" s="20"/>
      <c r="N30" s="20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</row>
    <row r="31">
      <c r="A31" s="81">
        <v>30.0</v>
      </c>
      <c r="B31" s="82" t="s">
        <v>107</v>
      </c>
      <c r="C31" s="82" t="s">
        <v>108</v>
      </c>
      <c r="D31" s="82" t="s">
        <v>109</v>
      </c>
      <c r="E31" s="82">
        <v>8.0</v>
      </c>
      <c r="F31" s="91">
        <f t="shared" si="1"/>
        <v>80</v>
      </c>
      <c r="G31" s="91"/>
      <c r="H31" s="91"/>
      <c r="I31" s="92"/>
      <c r="J31" s="93"/>
      <c r="K31" s="25"/>
      <c r="L31" s="20"/>
      <c r="M31" s="20"/>
      <c r="N31" s="20"/>
      <c r="O31" s="2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</row>
    <row r="32">
      <c r="A32" s="81">
        <v>31.0</v>
      </c>
      <c r="B32" s="82" t="s">
        <v>110</v>
      </c>
      <c r="C32" s="82" t="s">
        <v>111</v>
      </c>
      <c r="D32" s="82" t="s">
        <v>112</v>
      </c>
      <c r="E32" s="82">
        <v>9.0</v>
      </c>
      <c r="F32" s="91">
        <f t="shared" si="1"/>
        <v>90</v>
      </c>
      <c r="G32" s="91"/>
      <c r="H32" s="91"/>
      <c r="I32" s="92"/>
      <c r="J32" s="93"/>
      <c r="K32" s="25"/>
      <c r="L32" s="20"/>
      <c r="M32" s="20"/>
      <c r="N32" s="20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</row>
    <row r="33">
      <c r="A33" s="81">
        <v>32.0</v>
      </c>
      <c r="B33" s="82" t="s">
        <v>1442</v>
      </c>
      <c r="C33" s="82" t="s">
        <v>114</v>
      </c>
      <c r="D33" s="82" t="s">
        <v>115</v>
      </c>
      <c r="E33" s="82">
        <v>10.0</v>
      </c>
      <c r="F33" s="91">
        <f t="shared" si="1"/>
        <v>100</v>
      </c>
      <c r="G33" s="91"/>
      <c r="H33" s="91"/>
      <c r="I33" s="92"/>
      <c r="J33" s="93"/>
      <c r="K33" s="20"/>
      <c r="L33" s="20"/>
      <c r="M33" s="20"/>
      <c r="N33" s="20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</row>
    <row r="34">
      <c r="A34" s="81">
        <v>33.0</v>
      </c>
      <c r="B34" s="82" t="s">
        <v>116</v>
      </c>
      <c r="C34" s="82" t="s">
        <v>117</v>
      </c>
      <c r="D34" s="82" t="s">
        <v>118</v>
      </c>
      <c r="E34" s="82">
        <v>9.0</v>
      </c>
      <c r="F34" s="91">
        <f t="shared" si="1"/>
        <v>90</v>
      </c>
      <c r="G34" s="91"/>
      <c r="H34" s="91"/>
      <c r="I34" s="92"/>
      <c r="J34" s="94"/>
      <c r="K34" s="20"/>
      <c r="L34" s="20"/>
      <c r="M34" s="20"/>
      <c r="N34" s="20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</row>
    <row r="35">
      <c r="A35" s="81">
        <v>34.0</v>
      </c>
      <c r="B35" s="82" t="s">
        <v>1443</v>
      </c>
      <c r="C35" s="82" t="s">
        <v>120</v>
      </c>
      <c r="D35" s="82" t="s">
        <v>121</v>
      </c>
      <c r="E35" s="82">
        <v>10.0</v>
      </c>
      <c r="F35" s="91">
        <f t="shared" si="1"/>
        <v>100</v>
      </c>
      <c r="G35" s="91"/>
      <c r="H35" s="91"/>
      <c r="I35" s="92"/>
      <c r="J35" s="93"/>
      <c r="K35" s="20"/>
      <c r="L35" s="20"/>
      <c r="M35" s="20"/>
      <c r="N35" s="20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81">
        <v>35.0</v>
      </c>
      <c r="B36" s="82" t="s">
        <v>122</v>
      </c>
      <c r="C36" s="82" t="s">
        <v>123</v>
      </c>
      <c r="D36" s="82" t="s">
        <v>124</v>
      </c>
      <c r="E36" s="82">
        <v>9.0</v>
      </c>
      <c r="F36" s="91">
        <f t="shared" si="1"/>
        <v>90</v>
      </c>
      <c r="G36" s="91"/>
      <c r="H36" s="91"/>
      <c r="I36" s="92"/>
      <c r="J36" s="93"/>
      <c r="K36" s="25"/>
      <c r="L36" s="20"/>
      <c r="M36" s="20"/>
      <c r="N36" s="20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</row>
    <row r="37">
      <c r="A37" s="81">
        <v>36.0</v>
      </c>
      <c r="B37" s="82" t="s">
        <v>1444</v>
      </c>
      <c r="C37" s="82" t="s">
        <v>126</v>
      </c>
      <c r="D37" s="82" t="s">
        <v>127</v>
      </c>
      <c r="E37" s="82">
        <v>10.0</v>
      </c>
      <c r="F37" s="91">
        <f t="shared" si="1"/>
        <v>100</v>
      </c>
      <c r="G37" s="91"/>
      <c r="H37" s="91"/>
      <c r="I37" s="92"/>
      <c r="J37" s="93"/>
      <c r="K37" s="20"/>
      <c r="L37" s="20"/>
      <c r="M37" s="20"/>
      <c r="N37" s="20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</row>
    <row r="38">
      <c r="A38" s="81">
        <v>37.0</v>
      </c>
      <c r="B38" s="82" t="s">
        <v>1445</v>
      </c>
      <c r="C38" s="82" t="s">
        <v>129</v>
      </c>
      <c r="D38" s="82" t="s">
        <v>130</v>
      </c>
      <c r="E38" s="82">
        <v>9.0</v>
      </c>
      <c r="F38" s="91">
        <f t="shared" si="1"/>
        <v>90</v>
      </c>
      <c r="G38" s="91"/>
      <c r="H38" s="91"/>
      <c r="I38" s="92"/>
      <c r="J38" s="93"/>
      <c r="K38" s="20"/>
      <c r="L38" s="20"/>
      <c r="M38" s="20"/>
      <c r="N38" s="20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</row>
    <row r="39">
      <c r="A39" s="81">
        <v>38.0</v>
      </c>
      <c r="B39" s="82" t="s">
        <v>131</v>
      </c>
      <c r="C39" s="82" t="s">
        <v>132</v>
      </c>
      <c r="D39" s="82" t="s">
        <v>133</v>
      </c>
      <c r="E39" s="82">
        <v>10.0</v>
      </c>
      <c r="F39" s="91">
        <f t="shared" si="1"/>
        <v>100</v>
      </c>
      <c r="G39" s="91"/>
      <c r="H39" s="91"/>
      <c r="I39" s="92"/>
      <c r="J39" s="93"/>
      <c r="K39" s="20"/>
      <c r="L39" s="20"/>
      <c r="M39" s="20"/>
      <c r="N39" s="20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</row>
    <row r="40">
      <c r="A40" s="81">
        <v>39.0</v>
      </c>
      <c r="B40" s="82" t="s">
        <v>134</v>
      </c>
      <c r="C40" s="82" t="s">
        <v>135</v>
      </c>
      <c r="D40" s="82" t="s">
        <v>136</v>
      </c>
      <c r="E40" s="82">
        <v>8.0</v>
      </c>
      <c r="F40" s="91">
        <f t="shared" si="1"/>
        <v>80</v>
      </c>
      <c r="G40" s="91"/>
      <c r="H40" s="91"/>
      <c r="I40" s="92"/>
      <c r="J40" s="93"/>
      <c r="K40" s="25"/>
      <c r="L40" s="20"/>
      <c r="M40" s="20"/>
      <c r="N40" s="20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</row>
    <row r="41">
      <c r="A41" s="81">
        <v>40.0</v>
      </c>
      <c r="B41" s="82" t="s">
        <v>137</v>
      </c>
      <c r="C41" s="82" t="s">
        <v>138</v>
      </c>
      <c r="D41" s="82" t="s">
        <v>139</v>
      </c>
      <c r="E41" s="82">
        <v>9.0</v>
      </c>
      <c r="F41" s="91">
        <f t="shared" si="1"/>
        <v>90</v>
      </c>
      <c r="G41" s="91"/>
      <c r="H41" s="91"/>
      <c r="I41" s="92"/>
      <c r="J41" s="93"/>
      <c r="K41" s="20"/>
      <c r="L41" s="20"/>
      <c r="M41" s="20"/>
      <c r="N41" s="20"/>
      <c r="O41" s="2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</row>
    <row r="42">
      <c r="A42" s="81">
        <v>41.0</v>
      </c>
      <c r="B42" s="82" t="s">
        <v>140</v>
      </c>
      <c r="C42" s="82" t="s">
        <v>141</v>
      </c>
      <c r="D42" s="82" t="s">
        <v>142</v>
      </c>
      <c r="E42" s="82">
        <v>9.0</v>
      </c>
      <c r="F42" s="91">
        <f t="shared" si="1"/>
        <v>90</v>
      </c>
      <c r="G42" s="91"/>
      <c r="H42" s="91"/>
      <c r="I42" s="92"/>
      <c r="J42" s="93"/>
      <c r="K42" s="20"/>
      <c r="L42" s="20"/>
      <c r="M42" s="20"/>
      <c r="N42" s="20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</row>
    <row r="43">
      <c r="A43" s="81">
        <v>42.0</v>
      </c>
      <c r="B43" s="82" t="s">
        <v>1446</v>
      </c>
      <c r="C43" s="82" t="s">
        <v>144</v>
      </c>
      <c r="D43" s="82" t="s">
        <v>145</v>
      </c>
      <c r="E43" s="82">
        <v>9.0</v>
      </c>
      <c r="F43" s="91">
        <f t="shared" si="1"/>
        <v>90</v>
      </c>
      <c r="G43" s="91"/>
      <c r="H43" s="91"/>
      <c r="I43" s="92"/>
      <c r="J43" s="94"/>
      <c r="K43" s="20"/>
      <c r="L43" s="20"/>
      <c r="M43" s="20"/>
      <c r="N43" s="20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</row>
    <row r="44">
      <c r="A44" s="81">
        <v>43.0</v>
      </c>
      <c r="B44" s="82" t="s">
        <v>146</v>
      </c>
      <c r="C44" s="82" t="s">
        <v>147</v>
      </c>
      <c r="D44" s="82" t="s">
        <v>148</v>
      </c>
      <c r="E44" s="82">
        <v>9.0</v>
      </c>
      <c r="F44" s="91">
        <f t="shared" si="1"/>
        <v>90</v>
      </c>
      <c r="G44" s="91"/>
      <c r="H44" s="91"/>
      <c r="I44" s="92"/>
      <c r="J44" s="93"/>
      <c r="K44" s="20"/>
      <c r="L44" s="20"/>
      <c r="M44" s="20"/>
      <c r="N44" s="20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</row>
    <row r="45">
      <c r="A45" s="81">
        <v>44.0</v>
      </c>
      <c r="B45" s="82" t="s">
        <v>149</v>
      </c>
      <c r="C45" s="82" t="s">
        <v>150</v>
      </c>
      <c r="D45" s="82" t="s">
        <v>151</v>
      </c>
      <c r="E45" s="82">
        <v>10.0</v>
      </c>
      <c r="F45" s="91">
        <f t="shared" si="1"/>
        <v>100</v>
      </c>
      <c r="G45" s="91"/>
      <c r="H45" s="91"/>
      <c r="I45" s="92"/>
      <c r="J45" s="93"/>
      <c r="K45" s="20"/>
      <c r="L45" s="20"/>
      <c r="M45" s="20"/>
      <c r="N45" s="20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</row>
    <row r="46">
      <c r="A46" s="81">
        <v>45.0</v>
      </c>
      <c r="B46" s="82" t="s">
        <v>152</v>
      </c>
      <c r="C46" s="82" t="s">
        <v>153</v>
      </c>
      <c r="D46" s="82" t="s">
        <v>154</v>
      </c>
      <c r="E46" s="82">
        <v>10.0</v>
      </c>
      <c r="F46" s="91">
        <f t="shared" si="1"/>
        <v>100</v>
      </c>
      <c r="G46" s="91"/>
      <c r="H46" s="91"/>
      <c r="I46" s="92"/>
      <c r="J46" s="93"/>
      <c r="K46" s="20"/>
      <c r="L46" s="20"/>
      <c r="M46" s="20"/>
      <c r="N46" s="20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</row>
    <row r="47">
      <c r="A47" s="81">
        <v>46.0</v>
      </c>
      <c r="B47" s="82" t="s">
        <v>155</v>
      </c>
      <c r="C47" s="82" t="s">
        <v>156</v>
      </c>
      <c r="D47" s="82" t="s">
        <v>157</v>
      </c>
      <c r="E47" s="82">
        <v>10.0</v>
      </c>
      <c r="F47" s="91">
        <f t="shared" si="1"/>
        <v>100</v>
      </c>
      <c r="G47" s="91"/>
      <c r="H47" s="91"/>
      <c r="I47" s="92"/>
      <c r="J47" s="93"/>
      <c r="K47" s="20"/>
      <c r="L47" s="20"/>
      <c r="M47" s="20"/>
      <c r="N47" s="20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</row>
    <row r="48">
      <c r="A48" s="81">
        <v>47.0</v>
      </c>
      <c r="B48" s="82" t="s">
        <v>158</v>
      </c>
      <c r="C48" s="82" t="s">
        <v>159</v>
      </c>
      <c r="D48" s="82" t="s">
        <v>160</v>
      </c>
      <c r="E48" s="82">
        <v>8.0</v>
      </c>
      <c r="F48" s="91">
        <f t="shared" si="1"/>
        <v>80</v>
      </c>
      <c r="G48" s="91"/>
      <c r="H48" s="91"/>
      <c r="I48" s="92"/>
      <c r="J48" s="93"/>
      <c r="K48" s="20"/>
      <c r="L48" s="20"/>
      <c r="M48" s="20"/>
      <c r="N48" s="20"/>
      <c r="O48" s="20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</row>
    <row r="49">
      <c r="A49" s="81">
        <v>48.0</v>
      </c>
      <c r="B49" s="82" t="s">
        <v>161</v>
      </c>
      <c r="C49" s="82" t="s">
        <v>162</v>
      </c>
      <c r="D49" s="82" t="s">
        <v>163</v>
      </c>
      <c r="E49" s="82">
        <v>10.0</v>
      </c>
      <c r="F49" s="91">
        <f t="shared" si="1"/>
        <v>100</v>
      </c>
      <c r="G49" s="91"/>
      <c r="H49" s="91"/>
      <c r="I49" s="92"/>
      <c r="J49" s="93"/>
      <c r="K49" s="20"/>
      <c r="L49" s="20"/>
      <c r="M49" s="20"/>
      <c r="N49" s="20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</row>
    <row r="50">
      <c r="A50" s="81">
        <v>49.0</v>
      </c>
      <c r="B50" s="82" t="s">
        <v>1447</v>
      </c>
      <c r="C50" s="82" t="s">
        <v>165</v>
      </c>
      <c r="D50" s="82" t="s">
        <v>166</v>
      </c>
      <c r="E50" s="82">
        <v>8.0</v>
      </c>
      <c r="F50" s="91">
        <f t="shared" si="1"/>
        <v>80</v>
      </c>
      <c r="G50" s="91"/>
      <c r="H50" s="91"/>
      <c r="I50" s="92"/>
      <c r="J50" s="93"/>
      <c r="K50" s="25"/>
      <c r="L50" s="20"/>
      <c r="M50" s="20"/>
      <c r="N50" s="20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</row>
    <row r="51">
      <c r="A51" s="81">
        <v>50.0</v>
      </c>
      <c r="B51" s="82" t="s">
        <v>1448</v>
      </c>
      <c r="C51" s="82" t="s">
        <v>168</v>
      </c>
      <c r="D51" s="82" t="s">
        <v>169</v>
      </c>
      <c r="E51" s="82">
        <v>10.0</v>
      </c>
      <c r="F51" s="91">
        <f t="shared" si="1"/>
        <v>100</v>
      </c>
      <c r="G51" s="91"/>
      <c r="H51" s="91"/>
      <c r="I51" s="92"/>
      <c r="J51" s="93"/>
      <c r="K51" s="20"/>
      <c r="L51" s="20"/>
      <c r="M51" s="20"/>
      <c r="N51" s="20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</row>
    <row r="52">
      <c r="A52" s="81">
        <v>51.0</v>
      </c>
      <c r="B52" s="82" t="s">
        <v>170</v>
      </c>
      <c r="C52" s="82" t="s">
        <v>171</v>
      </c>
      <c r="D52" s="82" t="s">
        <v>172</v>
      </c>
      <c r="E52" s="82">
        <v>9.0</v>
      </c>
      <c r="F52" s="91">
        <f t="shared" si="1"/>
        <v>90</v>
      </c>
      <c r="G52" s="91"/>
      <c r="H52" s="91"/>
      <c r="I52" s="92"/>
      <c r="J52" s="93"/>
      <c r="K52" s="20"/>
      <c r="L52" s="20"/>
      <c r="M52" s="20"/>
      <c r="N52" s="20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</row>
    <row r="53">
      <c r="A53" s="81">
        <v>52.0</v>
      </c>
      <c r="B53" s="82" t="s">
        <v>173</v>
      </c>
      <c r="C53" s="82" t="s">
        <v>174</v>
      </c>
      <c r="D53" s="82" t="s">
        <v>175</v>
      </c>
      <c r="E53" s="82">
        <v>10.0</v>
      </c>
      <c r="F53" s="91">
        <f t="shared" si="1"/>
        <v>100</v>
      </c>
      <c r="G53" s="91"/>
      <c r="H53" s="91"/>
      <c r="I53" s="92"/>
      <c r="J53" s="93"/>
      <c r="K53" s="20"/>
      <c r="L53" s="20"/>
      <c r="M53" s="20"/>
      <c r="N53" s="20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</row>
    <row r="54">
      <c r="A54" s="81">
        <v>53.0</v>
      </c>
      <c r="B54" s="82" t="s">
        <v>465</v>
      </c>
      <c r="C54" s="82" t="s">
        <v>466</v>
      </c>
      <c r="D54" s="82" t="s">
        <v>467</v>
      </c>
      <c r="E54" s="82">
        <v>6.0</v>
      </c>
      <c r="F54" s="91">
        <f t="shared" si="1"/>
        <v>60</v>
      </c>
      <c r="G54" s="91"/>
      <c r="H54" s="91"/>
      <c r="I54" s="92"/>
      <c r="J54" s="94"/>
      <c r="K54" s="20"/>
      <c r="L54" s="20"/>
      <c r="M54" s="20"/>
      <c r="N54" s="20"/>
      <c r="O54" s="2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</row>
    <row r="55">
      <c r="A55" s="81">
        <v>54.0</v>
      </c>
      <c r="B55" s="82" t="s">
        <v>1185</v>
      </c>
      <c r="C55" s="82" t="s">
        <v>469</v>
      </c>
      <c r="D55" s="82" t="s">
        <v>470</v>
      </c>
      <c r="E55" s="82">
        <v>8.0</v>
      </c>
      <c r="F55" s="91">
        <f t="shared" si="1"/>
        <v>80</v>
      </c>
      <c r="G55" s="91"/>
      <c r="H55" s="91"/>
      <c r="I55" s="92"/>
      <c r="J55" s="94"/>
      <c r="K55" s="25"/>
      <c r="L55" s="20"/>
      <c r="M55" s="20"/>
      <c r="N55" s="20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</row>
    <row r="56">
      <c r="A56" s="81">
        <v>55.0</v>
      </c>
      <c r="B56" s="82" t="s">
        <v>471</v>
      </c>
      <c r="C56" s="82" t="s">
        <v>472</v>
      </c>
      <c r="D56" s="82" t="s">
        <v>473</v>
      </c>
      <c r="E56" s="82">
        <v>7.0</v>
      </c>
      <c r="F56" s="91">
        <f t="shared" si="1"/>
        <v>70</v>
      </c>
      <c r="G56" s="91"/>
      <c r="H56" s="91"/>
      <c r="I56" s="92"/>
      <c r="J56" s="94"/>
      <c r="K56" s="20"/>
      <c r="L56" s="20"/>
      <c r="M56" s="20"/>
      <c r="N56" s="20"/>
      <c r="O56" s="2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</row>
    <row r="57">
      <c r="A57" s="81">
        <v>56.0</v>
      </c>
      <c r="B57" s="82" t="s">
        <v>474</v>
      </c>
      <c r="C57" s="82" t="s">
        <v>475</v>
      </c>
      <c r="D57" s="82" t="s">
        <v>476</v>
      </c>
      <c r="E57" s="82">
        <v>8.0</v>
      </c>
      <c r="F57" s="91">
        <f t="shared" si="1"/>
        <v>80</v>
      </c>
      <c r="G57" s="91"/>
      <c r="H57" s="91"/>
      <c r="I57" s="92"/>
      <c r="J57" s="94"/>
      <c r="K57" s="20"/>
      <c r="L57" s="20"/>
      <c r="M57" s="20"/>
      <c r="N57" s="20"/>
      <c r="O57" s="2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</row>
    <row r="58">
      <c r="A58" s="81">
        <v>57.0</v>
      </c>
      <c r="B58" s="82" t="s">
        <v>204</v>
      </c>
      <c r="C58" s="82" t="s">
        <v>477</v>
      </c>
      <c r="D58" s="82" t="s">
        <v>478</v>
      </c>
      <c r="E58" s="82">
        <v>9.0</v>
      </c>
      <c r="F58" s="91">
        <f t="shared" si="1"/>
        <v>90</v>
      </c>
      <c r="G58" s="91"/>
      <c r="H58" s="91"/>
      <c r="I58" s="92"/>
      <c r="J58" s="94"/>
      <c r="K58" s="20"/>
      <c r="L58" s="20"/>
      <c r="M58" s="20"/>
      <c r="N58" s="20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</row>
    <row r="59">
      <c r="A59" s="81">
        <v>58.0</v>
      </c>
      <c r="B59" s="82" t="s">
        <v>1186</v>
      </c>
      <c r="C59" s="82" t="s">
        <v>480</v>
      </c>
      <c r="D59" s="82" t="s">
        <v>481</v>
      </c>
      <c r="E59" s="82">
        <v>8.0</v>
      </c>
      <c r="F59" s="91">
        <f t="shared" si="1"/>
        <v>80</v>
      </c>
      <c r="G59" s="91"/>
      <c r="H59" s="91"/>
      <c r="I59" s="92"/>
      <c r="J59" s="94"/>
      <c r="K59" s="25"/>
      <c r="L59" s="20"/>
      <c r="M59" s="20"/>
      <c r="N59" s="20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</row>
    <row r="60">
      <c r="A60" s="81">
        <v>59.0</v>
      </c>
      <c r="B60" s="82" t="s">
        <v>1187</v>
      </c>
      <c r="C60" s="82" t="s">
        <v>483</v>
      </c>
      <c r="D60" s="82" t="s">
        <v>484</v>
      </c>
      <c r="E60" s="82">
        <v>9.0</v>
      </c>
      <c r="F60" s="91">
        <f t="shared" si="1"/>
        <v>90</v>
      </c>
      <c r="G60" s="91"/>
      <c r="H60" s="91"/>
      <c r="I60" s="92"/>
      <c r="J60" s="94"/>
      <c r="K60" s="20"/>
      <c r="L60" s="20"/>
      <c r="M60" s="20"/>
      <c r="N60" s="20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</row>
    <row r="61">
      <c r="A61" s="81">
        <v>60.0</v>
      </c>
      <c r="B61" s="82" t="s">
        <v>1188</v>
      </c>
      <c r="C61" s="82" t="s">
        <v>486</v>
      </c>
      <c r="D61" s="82" t="s">
        <v>487</v>
      </c>
      <c r="E61" s="82">
        <v>2.0</v>
      </c>
      <c r="F61" s="91">
        <f t="shared" si="1"/>
        <v>20</v>
      </c>
      <c r="G61" s="91"/>
      <c r="H61" s="91"/>
      <c r="I61" s="92"/>
      <c r="J61" s="94"/>
      <c r="K61" s="25"/>
      <c r="L61" s="20"/>
      <c r="M61" s="20"/>
      <c r="N61" s="20"/>
      <c r="O61" s="20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</row>
    <row r="62">
      <c r="A62" s="81">
        <v>61.0</v>
      </c>
      <c r="B62" s="82" t="s">
        <v>1189</v>
      </c>
      <c r="C62" s="82" t="s">
        <v>489</v>
      </c>
      <c r="D62" s="82" t="s">
        <v>490</v>
      </c>
      <c r="E62" s="82">
        <v>10.0</v>
      </c>
      <c r="F62" s="91">
        <f t="shared" si="1"/>
        <v>100</v>
      </c>
      <c r="G62" s="91"/>
      <c r="H62" s="91"/>
      <c r="I62" s="92"/>
      <c r="J62" s="93"/>
      <c r="K62" s="20"/>
      <c r="L62" s="20"/>
      <c r="M62" s="20"/>
      <c r="N62" s="20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</row>
    <row r="63">
      <c r="A63" s="81">
        <v>62.0</v>
      </c>
      <c r="B63" s="82" t="s">
        <v>1190</v>
      </c>
      <c r="C63" s="82" t="s">
        <v>492</v>
      </c>
      <c r="D63" s="82" t="s">
        <v>493</v>
      </c>
      <c r="E63" s="82">
        <v>10.0</v>
      </c>
      <c r="F63" s="91">
        <f t="shared" si="1"/>
        <v>100</v>
      </c>
      <c r="G63" s="91"/>
      <c r="H63" s="91"/>
      <c r="I63" s="92"/>
      <c r="J63" s="93"/>
      <c r="K63" s="20"/>
      <c r="L63" s="20"/>
      <c r="M63" s="20"/>
      <c r="N63" s="20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</row>
    <row r="64">
      <c r="A64" s="81">
        <v>63.0</v>
      </c>
      <c r="B64" s="82" t="s">
        <v>1191</v>
      </c>
      <c r="C64" s="82" t="s">
        <v>495</v>
      </c>
      <c r="D64" s="82" t="s">
        <v>496</v>
      </c>
      <c r="E64" s="82">
        <v>7.0</v>
      </c>
      <c r="F64" s="91">
        <f t="shared" si="1"/>
        <v>70</v>
      </c>
      <c r="G64" s="91"/>
      <c r="H64" s="91"/>
      <c r="I64" s="92"/>
      <c r="J64" s="94"/>
      <c r="K64" s="25"/>
      <c r="L64" s="20"/>
      <c r="M64" s="20"/>
      <c r="N64" s="20"/>
      <c r="O64" s="2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</row>
    <row r="65">
      <c r="A65" s="81">
        <v>64.0</v>
      </c>
      <c r="B65" s="82" t="s">
        <v>1192</v>
      </c>
      <c r="C65" s="82" t="s">
        <v>498</v>
      </c>
      <c r="D65" s="82" t="s">
        <v>499</v>
      </c>
      <c r="E65" s="82">
        <v>8.0</v>
      </c>
      <c r="F65" s="91">
        <f t="shared" si="1"/>
        <v>80</v>
      </c>
      <c r="G65" s="91"/>
      <c r="H65" s="91"/>
      <c r="I65" s="92"/>
      <c r="J65" s="94"/>
      <c r="K65" s="25"/>
      <c r="L65" s="20"/>
      <c r="M65" s="20"/>
      <c r="N65" s="20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</row>
    <row r="66">
      <c r="A66" s="81">
        <v>65.0</v>
      </c>
      <c r="B66" s="82" t="s">
        <v>500</v>
      </c>
      <c r="C66" s="82" t="s">
        <v>501</v>
      </c>
      <c r="D66" s="82" t="s">
        <v>502</v>
      </c>
      <c r="E66" s="82">
        <v>8.0</v>
      </c>
      <c r="F66" s="91">
        <f t="shared" si="1"/>
        <v>80</v>
      </c>
      <c r="G66" s="91"/>
      <c r="H66" s="91"/>
      <c r="I66" s="92"/>
      <c r="J66" s="94"/>
      <c r="K66" s="25"/>
      <c r="L66" s="20"/>
      <c r="M66" s="20"/>
      <c r="N66" s="20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</row>
    <row r="67">
      <c r="A67" s="81">
        <v>66.0</v>
      </c>
      <c r="B67" s="82" t="s">
        <v>503</v>
      </c>
      <c r="C67" s="82" t="s">
        <v>504</v>
      </c>
      <c r="D67" s="82" t="s">
        <v>505</v>
      </c>
      <c r="E67" s="82">
        <v>8.0</v>
      </c>
      <c r="F67" s="91">
        <f t="shared" si="1"/>
        <v>80</v>
      </c>
      <c r="G67" s="91"/>
      <c r="H67" s="91"/>
      <c r="I67" s="92"/>
      <c r="J67" s="94"/>
      <c r="K67" s="25"/>
      <c r="L67" s="20"/>
      <c r="M67" s="20"/>
      <c r="N67" s="20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</row>
    <row r="68">
      <c r="A68" s="81">
        <v>67.0</v>
      </c>
      <c r="B68" s="82" t="s">
        <v>1193</v>
      </c>
      <c r="C68" s="82" t="s">
        <v>507</v>
      </c>
      <c r="D68" s="82" t="s">
        <v>508</v>
      </c>
      <c r="E68" s="82">
        <v>8.0</v>
      </c>
      <c r="F68" s="91">
        <f t="shared" si="1"/>
        <v>80</v>
      </c>
      <c r="G68" s="91"/>
      <c r="H68" s="91"/>
      <c r="I68" s="92"/>
      <c r="J68" s="94"/>
      <c r="K68" s="25"/>
      <c r="L68" s="20"/>
      <c r="M68" s="20"/>
      <c r="N68" s="20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</row>
    <row r="69">
      <c r="A69" s="81">
        <v>68.0</v>
      </c>
      <c r="B69" s="82" t="s">
        <v>509</v>
      </c>
      <c r="C69" s="82" t="s">
        <v>510</v>
      </c>
      <c r="D69" s="82" t="s">
        <v>511</v>
      </c>
      <c r="E69" s="82">
        <v>9.0</v>
      </c>
      <c r="F69" s="91">
        <f t="shared" si="1"/>
        <v>90</v>
      </c>
      <c r="G69" s="91"/>
      <c r="H69" s="91"/>
      <c r="I69" s="92"/>
      <c r="J69" s="94"/>
      <c r="K69" s="20"/>
      <c r="L69" s="20"/>
      <c r="M69" s="20"/>
      <c r="N69" s="20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</row>
    <row r="70">
      <c r="A70" s="81">
        <v>69.0</v>
      </c>
      <c r="B70" s="82" t="s">
        <v>1194</v>
      </c>
      <c r="C70" s="82" t="s">
        <v>513</v>
      </c>
      <c r="D70" s="82" t="s">
        <v>514</v>
      </c>
      <c r="E70" s="82">
        <v>9.0</v>
      </c>
      <c r="F70" s="91">
        <f t="shared" si="1"/>
        <v>90</v>
      </c>
      <c r="G70" s="91"/>
      <c r="H70" s="91"/>
      <c r="I70" s="92"/>
      <c r="J70" s="94"/>
      <c r="K70" s="20"/>
      <c r="L70" s="20"/>
      <c r="M70" s="20"/>
      <c r="N70" s="20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</row>
    <row r="71">
      <c r="A71" s="81">
        <v>70.0</v>
      </c>
      <c r="B71" s="82" t="s">
        <v>515</v>
      </c>
      <c r="C71" s="82" t="s">
        <v>516</v>
      </c>
      <c r="D71" s="82" t="s">
        <v>517</v>
      </c>
      <c r="E71" s="82">
        <v>8.0</v>
      </c>
      <c r="F71" s="91">
        <f t="shared" si="1"/>
        <v>80</v>
      </c>
      <c r="G71" s="91"/>
      <c r="H71" s="91"/>
      <c r="I71" s="92"/>
      <c r="J71" s="94"/>
      <c r="K71" s="25"/>
      <c r="L71" s="20"/>
      <c r="M71" s="20"/>
      <c r="N71" s="20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</row>
    <row r="72">
      <c r="A72" s="81">
        <v>71.0</v>
      </c>
      <c r="B72" s="82" t="s">
        <v>518</v>
      </c>
      <c r="C72" s="82" t="s">
        <v>519</v>
      </c>
      <c r="D72" s="82" t="s">
        <v>1449</v>
      </c>
      <c r="E72" s="82">
        <v>9.0</v>
      </c>
      <c r="F72" s="91">
        <f t="shared" si="1"/>
        <v>90</v>
      </c>
      <c r="G72" s="91"/>
      <c r="H72" s="91"/>
      <c r="I72" s="92"/>
      <c r="J72" s="94"/>
      <c r="K72" s="20"/>
      <c r="L72" s="20"/>
      <c r="M72" s="20"/>
      <c r="N72" s="20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</row>
    <row r="73">
      <c r="A73" s="81">
        <v>72.0</v>
      </c>
      <c r="B73" s="82" t="s">
        <v>1195</v>
      </c>
      <c r="C73" s="82" t="s">
        <v>522</v>
      </c>
      <c r="D73" s="82" t="s">
        <v>523</v>
      </c>
      <c r="E73" s="82">
        <v>8.0</v>
      </c>
      <c r="F73" s="91">
        <f t="shared" si="1"/>
        <v>80</v>
      </c>
      <c r="G73" s="91"/>
      <c r="H73" s="91"/>
      <c r="I73" s="92"/>
      <c r="J73" s="94"/>
      <c r="K73" s="20"/>
      <c r="L73" s="20"/>
      <c r="M73" s="20"/>
      <c r="N73" s="20"/>
      <c r="O73" s="2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</row>
    <row r="74">
      <c r="A74" s="81">
        <v>73.0</v>
      </c>
      <c r="B74" s="82" t="s">
        <v>524</v>
      </c>
      <c r="C74" s="82" t="s">
        <v>525</v>
      </c>
      <c r="D74" s="82" t="s">
        <v>526</v>
      </c>
      <c r="E74" s="82">
        <v>8.0</v>
      </c>
      <c r="F74" s="91">
        <f t="shared" si="1"/>
        <v>80</v>
      </c>
      <c r="G74" s="91"/>
      <c r="H74" s="91"/>
      <c r="I74" s="92"/>
      <c r="J74" s="94"/>
      <c r="K74" s="25"/>
      <c r="L74" s="20"/>
      <c r="M74" s="20"/>
      <c r="N74" s="20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</row>
    <row r="75">
      <c r="A75" s="81">
        <v>74.0</v>
      </c>
      <c r="B75" s="82" t="s">
        <v>527</v>
      </c>
      <c r="C75" s="82" t="s">
        <v>528</v>
      </c>
      <c r="D75" s="82" t="s">
        <v>529</v>
      </c>
      <c r="E75" s="82">
        <v>9.0</v>
      </c>
      <c r="F75" s="91">
        <f t="shared" si="1"/>
        <v>90</v>
      </c>
      <c r="G75" s="91"/>
      <c r="H75" s="91"/>
      <c r="I75" s="92"/>
      <c r="J75" s="94"/>
      <c r="K75" s="20"/>
      <c r="L75" s="20"/>
      <c r="M75" s="20"/>
      <c r="N75" s="20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</row>
    <row r="76">
      <c r="A76" s="81">
        <v>75.0</v>
      </c>
      <c r="B76" s="82" t="s">
        <v>1196</v>
      </c>
      <c r="C76" s="82" t="s">
        <v>531</v>
      </c>
      <c r="D76" s="82" t="s">
        <v>532</v>
      </c>
      <c r="E76" s="82">
        <v>6.0</v>
      </c>
      <c r="F76" s="91">
        <f t="shared" si="1"/>
        <v>60</v>
      </c>
      <c r="G76" s="91"/>
      <c r="H76" s="91"/>
      <c r="I76" s="92"/>
      <c r="J76" s="94"/>
      <c r="K76" s="20"/>
      <c r="L76" s="20"/>
      <c r="M76" s="20"/>
      <c r="N76" s="20"/>
      <c r="O76" s="20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</row>
    <row r="77">
      <c r="A77" s="81">
        <v>76.0</v>
      </c>
      <c r="B77" s="82" t="s">
        <v>1197</v>
      </c>
      <c r="C77" s="82" t="s">
        <v>534</v>
      </c>
      <c r="D77" s="82" t="s">
        <v>535</v>
      </c>
      <c r="E77" s="82">
        <v>9.0</v>
      </c>
      <c r="F77" s="91">
        <f t="shared" si="1"/>
        <v>90</v>
      </c>
      <c r="G77" s="91"/>
      <c r="H77" s="91"/>
      <c r="I77" s="92"/>
      <c r="J77" s="94"/>
      <c r="K77" s="20"/>
      <c r="L77" s="20"/>
      <c r="M77" s="20"/>
      <c r="N77" s="20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</row>
    <row r="78">
      <c r="A78" s="81">
        <v>77.0</v>
      </c>
      <c r="B78" s="82" t="s">
        <v>536</v>
      </c>
      <c r="C78" s="82" t="s">
        <v>537</v>
      </c>
      <c r="D78" s="82" t="s">
        <v>1450</v>
      </c>
      <c r="E78" s="82">
        <v>8.0</v>
      </c>
      <c r="F78" s="91">
        <f t="shared" si="1"/>
        <v>80</v>
      </c>
      <c r="G78" s="91"/>
      <c r="H78" s="91"/>
      <c r="I78" s="92"/>
      <c r="J78" s="94"/>
      <c r="K78" s="20"/>
      <c r="L78" s="20"/>
      <c r="M78" s="20"/>
      <c r="N78" s="20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</row>
    <row r="79">
      <c r="A79" s="81">
        <v>78.0</v>
      </c>
      <c r="B79" s="82" t="s">
        <v>1198</v>
      </c>
      <c r="C79" s="82" t="s">
        <v>540</v>
      </c>
      <c r="D79" s="82" t="s">
        <v>541</v>
      </c>
      <c r="E79" s="82">
        <v>9.0</v>
      </c>
      <c r="F79" s="91">
        <f t="shared" si="1"/>
        <v>90</v>
      </c>
      <c r="G79" s="91"/>
      <c r="H79" s="91"/>
      <c r="I79" s="92"/>
      <c r="J79" s="94"/>
      <c r="K79" s="20"/>
      <c r="L79" s="20"/>
      <c r="M79" s="20"/>
      <c r="N79" s="20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</row>
    <row r="80">
      <c r="A80" s="81">
        <v>79.0</v>
      </c>
      <c r="B80" s="82" t="s">
        <v>1199</v>
      </c>
      <c r="C80" s="82" t="s">
        <v>543</v>
      </c>
      <c r="D80" s="82" t="s">
        <v>544</v>
      </c>
      <c r="E80" s="82">
        <v>8.0</v>
      </c>
      <c r="F80" s="91">
        <f t="shared" si="1"/>
        <v>80</v>
      </c>
      <c r="G80" s="91"/>
      <c r="H80" s="91"/>
      <c r="I80" s="92"/>
      <c r="J80" s="94"/>
      <c r="K80" s="25"/>
      <c r="L80" s="20"/>
      <c r="M80" s="20"/>
      <c r="N80" s="20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</row>
    <row r="81">
      <c r="A81" s="81">
        <v>80.0</v>
      </c>
      <c r="B81" s="82" t="s">
        <v>1200</v>
      </c>
      <c r="C81" s="82" t="s">
        <v>546</v>
      </c>
      <c r="D81" s="82" t="s">
        <v>547</v>
      </c>
      <c r="E81" s="82">
        <v>7.0</v>
      </c>
      <c r="F81" s="91">
        <f t="shared" si="1"/>
        <v>70</v>
      </c>
      <c r="G81" s="91"/>
      <c r="H81" s="91"/>
      <c r="I81" s="92"/>
      <c r="J81" s="94"/>
      <c r="K81" s="20"/>
      <c r="L81" s="20"/>
      <c r="M81" s="20"/>
      <c r="N81" s="2"/>
      <c r="O81" s="2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</row>
    <row r="82">
      <c r="A82" s="81">
        <v>81.0</v>
      </c>
      <c r="B82" s="82" t="s">
        <v>1201</v>
      </c>
      <c r="C82" s="82" t="s">
        <v>549</v>
      </c>
      <c r="D82" s="82" t="s">
        <v>550</v>
      </c>
      <c r="E82" s="82">
        <v>8.0</v>
      </c>
      <c r="F82" s="91">
        <f t="shared" si="1"/>
        <v>80</v>
      </c>
      <c r="G82" s="91"/>
      <c r="H82" s="91"/>
      <c r="I82" s="92"/>
      <c r="J82" s="94"/>
      <c r="K82" s="25"/>
      <c r="L82" s="20"/>
      <c r="M82" s="20"/>
      <c r="N82" s="20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</row>
    <row r="83">
      <c r="A83" s="81">
        <v>82.0</v>
      </c>
      <c r="B83" s="82" t="s">
        <v>1202</v>
      </c>
      <c r="C83" s="82" t="s">
        <v>552</v>
      </c>
      <c r="D83" s="82" t="s">
        <v>553</v>
      </c>
      <c r="E83" s="82">
        <v>9.0</v>
      </c>
      <c r="F83" s="91">
        <f t="shared" si="1"/>
        <v>90</v>
      </c>
      <c r="G83" s="91"/>
      <c r="H83" s="91"/>
      <c r="I83" s="92"/>
      <c r="J83" s="94"/>
      <c r="K83" s="20"/>
      <c r="L83" s="20"/>
      <c r="M83" s="20"/>
      <c r="N83" s="20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</row>
    <row r="84">
      <c r="A84" s="81">
        <v>83.0</v>
      </c>
      <c r="B84" s="82" t="s">
        <v>554</v>
      </c>
      <c r="C84" s="82" t="s">
        <v>555</v>
      </c>
      <c r="D84" s="82" t="s">
        <v>556</v>
      </c>
      <c r="E84" s="82">
        <v>10.0</v>
      </c>
      <c r="F84" s="91">
        <f t="shared" si="1"/>
        <v>100</v>
      </c>
      <c r="G84" s="91"/>
      <c r="H84" s="91"/>
      <c r="I84" s="92"/>
      <c r="J84" s="93"/>
      <c r="K84" s="20"/>
      <c r="L84" s="20"/>
      <c r="M84" s="20"/>
      <c r="N84" s="20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</row>
    <row r="85">
      <c r="A85" s="81">
        <v>84.0</v>
      </c>
      <c r="B85" s="82" t="s">
        <v>1203</v>
      </c>
      <c r="C85" s="82" t="s">
        <v>558</v>
      </c>
      <c r="D85" s="82" t="s">
        <v>559</v>
      </c>
      <c r="E85" s="82">
        <v>6.0</v>
      </c>
      <c r="F85" s="91">
        <f t="shared" si="1"/>
        <v>60</v>
      </c>
      <c r="G85" s="91"/>
      <c r="H85" s="91"/>
      <c r="I85" s="92"/>
      <c r="J85" s="94"/>
      <c r="K85" s="25"/>
      <c r="L85" s="20"/>
      <c r="M85" s="20"/>
      <c r="N85" s="20"/>
      <c r="O85" s="2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</row>
    <row r="86">
      <c r="A86" s="81">
        <v>85.0</v>
      </c>
      <c r="B86" s="82" t="s">
        <v>560</v>
      </c>
      <c r="C86" s="82" t="s">
        <v>561</v>
      </c>
      <c r="D86" s="82" t="s">
        <v>562</v>
      </c>
      <c r="E86" s="82">
        <v>9.0</v>
      </c>
      <c r="F86" s="91">
        <f t="shared" si="1"/>
        <v>90</v>
      </c>
      <c r="G86" s="91"/>
      <c r="H86" s="91"/>
      <c r="I86" s="92"/>
      <c r="J86" s="94"/>
      <c r="K86" s="20"/>
      <c r="L86" s="20"/>
      <c r="M86" s="20"/>
      <c r="N86" s="20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</row>
    <row r="87">
      <c r="A87" s="81">
        <v>86.0</v>
      </c>
      <c r="B87" s="82" t="s">
        <v>563</v>
      </c>
      <c r="C87" s="82" t="s">
        <v>564</v>
      </c>
      <c r="D87" s="82" t="s">
        <v>565</v>
      </c>
      <c r="E87" s="82">
        <v>8.0</v>
      </c>
      <c r="F87" s="91">
        <f t="shared" si="1"/>
        <v>80</v>
      </c>
      <c r="G87" s="91"/>
      <c r="H87" s="91"/>
      <c r="I87" s="92"/>
      <c r="J87" s="94"/>
      <c r="K87" s="25"/>
      <c r="L87" s="20"/>
      <c r="M87" s="20"/>
      <c r="N87" s="20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</row>
    <row r="88">
      <c r="A88" s="81">
        <v>87.0</v>
      </c>
      <c r="B88" s="82" t="s">
        <v>566</v>
      </c>
      <c r="C88" s="82" t="s">
        <v>567</v>
      </c>
      <c r="D88" s="82" t="s">
        <v>568</v>
      </c>
      <c r="E88" s="82">
        <v>10.0</v>
      </c>
      <c r="F88" s="91">
        <f t="shared" si="1"/>
        <v>100</v>
      </c>
      <c r="G88" s="91"/>
      <c r="H88" s="91"/>
      <c r="I88" s="92"/>
      <c r="J88" s="93"/>
      <c r="K88" s="20"/>
      <c r="L88" s="20"/>
      <c r="M88" s="20"/>
      <c r="N88" s="20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</row>
    <row r="89">
      <c r="A89" s="81">
        <v>88.0</v>
      </c>
      <c r="B89" s="82" t="s">
        <v>1204</v>
      </c>
      <c r="C89" s="82" t="s">
        <v>570</v>
      </c>
      <c r="D89" s="82" t="s">
        <v>571</v>
      </c>
      <c r="E89" s="82">
        <v>9.0</v>
      </c>
      <c r="F89" s="91">
        <f t="shared" si="1"/>
        <v>90</v>
      </c>
      <c r="G89" s="91"/>
      <c r="H89" s="91"/>
      <c r="I89" s="92"/>
      <c r="J89" s="94"/>
      <c r="K89" s="20"/>
      <c r="L89" s="20"/>
      <c r="M89" s="20"/>
      <c r="N89" s="20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</row>
    <row r="90">
      <c r="A90" s="81">
        <v>89.0</v>
      </c>
      <c r="B90" s="82" t="s">
        <v>572</v>
      </c>
      <c r="C90" s="82" t="s">
        <v>573</v>
      </c>
      <c r="D90" s="82" t="s">
        <v>574</v>
      </c>
      <c r="E90" s="82">
        <v>7.0</v>
      </c>
      <c r="F90" s="91">
        <f t="shared" si="1"/>
        <v>70</v>
      </c>
      <c r="G90" s="91"/>
      <c r="H90" s="91"/>
      <c r="I90" s="92"/>
      <c r="J90" s="94"/>
      <c r="K90" s="25"/>
      <c r="L90" s="20"/>
      <c r="M90" s="20"/>
      <c r="N90" s="20"/>
      <c r="O90" s="2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</row>
    <row r="91">
      <c r="A91" s="95">
        <v>110.0</v>
      </c>
      <c r="B91" s="91" t="s">
        <v>1205</v>
      </c>
      <c r="C91" s="91" t="s">
        <v>576</v>
      </c>
      <c r="D91" s="96"/>
      <c r="E91" s="97">
        <v>4.0</v>
      </c>
      <c r="F91" s="91">
        <f t="shared" si="1"/>
        <v>40</v>
      </c>
      <c r="G91" s="91"/>
      <c r="H91" s="91"/>
      <c r="I91" s="92"/>
      <c r="J91" s="94"/>
      <c r="K91" s="20"/>
      <c r="L91" s="20"/>
      <c r="M91" s="20"/>
      <c r="N91" s="20"/>
      <c r="O91" s="20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</row>
    <row r="92">
      <c r="A92" s="95">
        <v>113.0</v>
      </c>
      <c r="B92" s="91" t="s">
        <v>578</v>
      </c>
      <c r="C92" s="91" t="s">
        <v>579</v>
      </c>
      <c r="D92" s="96"/>
      <c r="E92" s="97">
        <v>9.0</v>
      </c>
      <c r="F92" s="91">
        <f t="shared" si="1"/>
        <v>90</v>
      </c>
      <c r="G92" s="91"/>
      <c r="H92" s="91"/>
      <c r="I92" s="92"/>
      <c r="J92" s="94"/>
      <c r="K92" s="20"/>
      <c r="L92" s="20"/>
      <c r="M92" s="20"/>
      <c r="N92" s="20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</row>
    <row r="93">
      <c r="A93" s="95">
        <v>112.0</v>
      </c>
      <c r="B93" s="91" t="s">
        <v>581</v>
      </c>
      <c r="C93" s="91" t="s">
        <v>582</v>
      </c>
      <c r="D93" s="96"/>
      <c r="E93" s="97">
        <v>9.0</v>
      </c>
      <c r="F93" s="91">
        <f t="shared" si="1"/>
        <v>90</v>
      </c>
      <c r="G93" s="91"/>
      <c r="H93" s="91"/>
      <c r="I93" s="92"/>
      <c r="J93" s="93"/>
      <c r="K93" s="25"/>
      <c r="L93" s="20"/>
      <c r="M93" s="20"/>
      <c r="N93" s="20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</row>
    <row r="94">
      <c r="A94" s="81">
        <v>106.0</v>
      </c>
      <c r="B94" s="91" t="s">
        <v>1206</v>
      </c>
      <c r="C94" s="91" t="s">
        <v>585</v>
      </c>
      <c r="D94" s="96"/>
      <c r="E94" s="97">
        <v>9.0</v>
      </c>
      <c r="F94" s="91">
        <f t="shared" si="1"/>
        <v>90</v>
      </c>
      <c r="G94" s="91"/>
      <c r="H94" s="91"/>
      <c r="I94" s="92"/>
      <c r="J94" s="94"/>
      <c r="K94" s="20"/>
      <c r="L94" s="20"/>
      <c r="M94" s="20"/>
      <c r="N94" s="20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</row>
    <row r="95">
      <c r="A95" s="81">
        <v>107.0</v>
      </c>
      <c r="B95" s="91" t="s">
        <v>1207</v>
      </c>
      <c r="C95" s="91" t="s">
        <v>588</v>
      </c>
      <c r="D95" s="96"/>
      <c r="E95" s="97">
        <v>9.0</v>
      </c>
      <c r="F95" s="91">
        <f t="shared" si="1"/>
        <v>90</v>
      </c>
      <c r="G95" s="91"/>
      <c r="H95" s="91"/>
      <c r="I95" s="92"/>
      <c r="J95" s="94"/>
      <c r="K95" s="20"/>
      <c r="L95" s="20"/>
      <c r="M95" s="20"/>
      <c r="N95" s="20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</row>
    <row r="96">
      <c r="A96" s="81">
        <v>114.0</v>
      </c>
      <c r="B96" s="91" t="s">
        <v>1208</v>
      </c>
      <c r="C96" s="91" t="s">
        <v>591</v>
      </c>
      <c r="D96" s="96"/>
      <c r="E96" s="96">
        <v>8.0</v>
      </c>
      <c r="F96" s="91">
        <f t="shared" si="1"/>
        <v>80</v>
      </c>
      <c r="G96" s="91"/>
      <c r="H96" s="91"/>
      <c r="I96" s="92"/>
      <c r="J96" s="94"/>
      <c r="K96" s="20"/>
      <c r="L96" s="20"/>
      <c r="M96" s="20"/>
      <c r="N96" s="20"/>
      <c r="O96" s="2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</row>
    <row r="97">
      <c r="A97" s="81">
        <v>108.0</v>
      </c>
      <c r="B97" s="91" t="s">
        <v>1209</v>
      </c>
      <c r="C97" s="91" t="s">
        <v>594</v>
      </c>
      <c r="D97" s="96"/>
      <c r="E97" s="97">
        <v>9.0</v>
      </c>
      <c r="F97" s="91">
        <f t="shared" si="1"/>
        <v>90</v>
      </c>
      <c r="G97" s="91"/>
      <c r="H97" s="91"/>
      <c r="I97" s="92"/>
      <c r="J97" s="94"/>
      <c r="K97" s="20"/>
      <c r="L97" s="20"/>
      <c r="M97" s="20"/>
      <c r="N97" s="20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</row>
    <row r="98">
      <c r="A98" s="81">
        <v>103.0</v>
      </c>
      <c r="B98" s="91" t="s">
        <v>1210</v>
      </c>
      <c r="C98" s="91" t="s">
        <v>597</v>
      </c>
      <c r="D98" s="96"/>
      <c r="E98" s="97">
        <v>8.0</v>
      </c>
      <c r="F98" s="91">
        <f t="shared" si="1"/>
        <v>80</v>
      </c>
      <c r="G98" s="91"/>
      <c r="H98" s="91"/>
      <c r="I98" s="92"/>
      <c r="J98" s="94"/>
      <c r="K98" s="20"/>
      <c r="L98" s="20"/>
      <c r="M98" s="20"/>
      <c r="N98" s="20"/>
      <c r="O98" s="2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</row>
    <row r="99">
      <c r="A99" s="81">
        <v>102.0</v>
      </c>
      <c r="B99" s="91" t="s">
        <v>1211</v>
      </c>
      <c r="C99" s="91" t="s">
        <v>600</v>
      </c>
      <c r="D99" s="96"/>
      <c r="E99" s="97">
        <v>9.0</v>
      </c>
      <c r="F99" s="91">
        <f t="shared" si="1"/>
        <v>90</v>
      </c>
      <c r="G99" s="91"/>
      <c r="H99" s="91"/>
      <c r="I99" s="92"/>
      <c r="J99" s="94"/>
      <c r="K99" s="20"/>
      <c r="L99" s="20"/>
      <c r="M99" s="20"/>
      <c r="N99" s="20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</row>
    <row r="100">
      <c r="A100" s="81">
        <v>104.0</v>
      </c>
      <c r="B100" s="91" t="s">
        <v>602</v>
      </c>
      <c r="C100" s="91" t="s">
        <v>603</v>
      </c>
      <c r="D100" s="96"/>
      <c r="E100" s="97">
        <v>9.0</v>
      </c>
      <c r="F100" s="91">
        <f t="shared" si="1"/>
        <v>90</v>
      </c>
      <c r="G100" s="91"/>
      <c r="H100" s="91"/>
      <c r="I100" s="92"/>
      <c r="J100" s="94"/>
      <c r="K100" s="20"/>
      <c r="L100" s="20"/>
      <c r="M100" s="20"/>
      <c r="N100" s="20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</row>
    <row r="101">
      <c r="A101" s="81">
        <v>105.0</v>
      </c>
      <c r="B101" s="91" t="s">
        <v>1212</v>
      </c>
      <c r="C101" s="91" t="s">
        <v>606</v>
      </c>
      <c r="D101" s="96"/>
      <c r="E101" s="97">
        <v>9.0</v>
      </c>
      <c r="F101" s="91">
        <f t="shared" si="1"/>
        <v>90</v>
      </c>
      <c r="G101" s="91"/>
      <c r="H101" s="91"/>
      <c r="I101" s="92"/>
      <c r="J101" s="94"/>
      <c r="K101" s="20"/>
      <c r="L101" s="20"/>
      <c r="M101" s="20"/>
      <c r="N101" s="20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</row>
    <row r="102">
      <c r="A102" s="81">
        <v>109.0</v>
      </c>
      <c r="B102" s="91" t="s">
        <v>1213</v>
      </c>
      <c r="C102" s="91" t="s">
        <v>609</v>
      </c>
      <c r="D102" s="96"/>
      <c r="E102" s="97">
        <v>8.0</v>
      </c>
      <c r="F102" s="91">
        <f t="shared" si="1"/>
        <v>80</v>
      </c>
      <c r="G102" s="91"/>
      <c r="H102" s="91"/>
      <c r="I102" s="92"/>
      <c r="J102" s="94"/>
      <c r="K102" s="20"/>
      <c r="L102" s="20"/>
      <c r="M102" s="20"/>
      <c r="N102" s="20"/>
      <c r="O102" s="2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</row>
    <row r="103">
      <c r="A103" s="81">
        <v>115.0</v>
      </c>
      <c r="B103" s="91" t="s">
        <v>611</v>
      </c>
      <c r="C103" s="91" t="s">
        <v>612</v>
      </c>
      <c r="D103" s="96"/>
      <c r="E103" s="96">
        <v>10.0</v>
      </c>
      <c r="F103" s="91">
        <f t="shared" si="1"/>
        <v>100</v>
      </c>
      <c r="G103" s="91"/>
      <c r="H103" s="91"/>
      <c r="I103" s="92"/>
      <c r="J103" s="93"/>
      <c r="K103" s="20"/>
      <c r="L103" s="20"/>
      <c r="M103" s="20"/>
      <c r="N103" s="20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</row>
    <row r="104">
      <c r="A104" s="81">
        <v>101.0</v>
      </c>
      <c r="B104" s="91" t="s">
        <v>614</v>
      </c>
      <c r="C104" s="91" t="s">
        <v>615</v>
      </c>
      <c r="D104" s="96"/>
      <c r="E104" s="97">
        <v>9.0</v>
      </c>
      <c r="F104" s="91">
        <f t="shared" si="1"/>
        <v>90</v>
      </c>
      <c r="G104" s="91"/>
      <c r="H104" s="91"/>
      <c r="I104" s="92"/>
      <c r="J104" s="94"/>
      <c r="K104" s="20"/>
      <c r="L104" s="20"/>
      <c r="M104" s="20"/>
      <c r="N104" s="20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</row>
    <row r="105">
      <c r="A105" s="81">
        <v>116.0</v>
      </c>
      <c r="B105" s="91" t="s">
        <v>617</v>
      </c>
      <c r="C105" s="91" t="s">
        <v>618</v>
      </c>
      <c r="D105" s="96"/>
      <c r="E105" s="96">
        <v>9.0</v>
      </c>
      <c r="F105" s="91">
        <f t="shared" si="1"/>
        <v>90</v>
      </c>
      <c r="G105" s="91"/>
      <c r="H105" s="91"/>
      <c r="I105" s="92"/>
      <c r="J105" s="94"/>
      <c r="K105" s="20"/>
      <c r="L105" s="20"/>
      <c r="M105" s="20"/>
      <c r="N105" s="20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</row>
    <row r="106">
      <c r="A106" s="81">
        <v>90.0</v>
      </c>
      <c r="B106" s="98" t="s">
        <v>995</v>
      </c>
      <c r="C106" s="98" t="s">
        <v>1451</v>
      </c>
      <c r="D106" s="96"/>
      <c r="E106" s="97">
        <v>7.0</v>
      </c>
      <c r="F106" s="91">
        <f t="shared" si="1"/>
        <v>70</v>
      </c>
      <c r="G106" s="91"/>
      <c r="H106" s="91"/>
      <c r="I106" s="92"/>
      <c r="J106" s="93"/>
      <c r="K106" s="25"/>
      <c r="L106" s="20"/>
      <c r="M106" s="20"/>
      <c r="N106" s="20"/>
      <c r="O106" s="20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</row>
    <row r="107">
      <c r="A107" s="81">
        <v>91.0</v>
      </c>
      <c r="B107" s="98" t="s">
        <v>998</v>
      </c>
      <c r="C107" s="98" t="s">
        <v>999</v>
      </c>
      <c r="D107" s="96"/>
      <c r="E107" s="97">
        <v>5.0</v>
      </c>
      <c r="F107" s="91">
        <f t="shared" si="1"/>
        <v>50</v>
      </c>
      <c r="G107" s="91"/>
      <c r="H107" s="91"/>
      <c r="I107" s="92"/>
      <c r="J107" s="94"/>
      <c r="K107" s="20"/>
      <c r="L107" s="20"/>
      <c r="M107" s="20"/>
      <c r="N107" s="20"/>
      <c r="O107" s="20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</row>
    <row r="108">
      <c r="A108" s="81">
        <v>92.0</v>
      </c>
      <c r="B108" s="98" t="s">
        <v>1452</v>
      </c>
      <c r="C108" s="98" t="s">
        <v>1002</v>
      </c>
      <c r="D108" s="96"/>
      <c r="E108" s="97">
        <v>10.0</v>
      </c>
      <c r="F108" s="91">
        <f t="shared" si="1"/>
        <v>100</v>
      </c>
      <c r="G108" s="91"/>
      <c r="H108" s="91"/>
      <c r="I108" s="92"/>
      <c r="J108" s="93"/>
      <c r="K108" s="20"/>
      <c r="L108" s="20"/>
      <c r="M108" s="20"/>
      <c r="N108" s="20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</row>
    <row r="109">
      <c r="A109" s="81">
        <v>93.0</v>
      </c>
      <c r="B109" s="98" t="s">
        <v>1453</v>
      </c>
      <c r="C109" s="98" t="s">
        <v>1005</v>
      </c>
      <c r="D109" s="96"/>
      <c r="E109" s="97">
        <v>10.0</v>
      </c>
      <c r="F109" s="91">
        <f t="shared" si="1"/>
        <v>100</v>
      </c>
      <c r="G109" s="91"/>
      <c r="H109" s="91"/>
      <c r="I109" s="92"/>
      <c r="J109" s="93"/>
      <c r="K109" s="20"/>
      <c r="L109" s="20"/>
      <c r="M109" s="20"/>
      <c r="N109" s="20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</row>
    <row r="110">
      <c r="A110" s="81">
        <v>94.0</v>
      </c>
      <c r="B110" s="98" t="s">
        <v>1454</v>
      </c>
      <c r="C110" s="98" t="s">
        <v>1008</v>
      </c>
      <c r="D110" s="96"/>
      <c r="E110" s="97">
        <v>4.0</v>
      </c>
      <c r="F110" s="91">
        <f t="shared" si="1"/>
        <v>40</v>
      </c>
      <c r="G110" s="91"/>
      <c r="H110" s="91"/>
      <c r="I110" s="92"/>
      <c r="J110" s="94"/>
      <c r="K110" s="20"/>
      <c r="L110" s="20"/>
      <c r="M110" s="20"/>
      <c r="N110" s="20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</row>
    <row r="111">
      <c r="A111" s="81">
        <v>117.0</v>
      </c>
      <c r="B111" s="91" t="s">
        <v>1010</v>
      </c>
      <c r="C111" s="91" t="s">
        <v>1011</v>
      </c>
      <c r="D111" s="96"/>
      <c r="E111" s="97">
        <v>4.0</v>
      </c>
      <c r="F111" s="91">
        <f t="shared" si="1"/>
        <v>40</v>
      </c>
      <c r="G111" s="91"/>
      <c r="H111" s="91"/>
      <c r="I111" s="92"/>
      <c r="J111" s="94"/>
      <c r="K111" s="20"/>
      <c r="L111" s="20"/>
      <c r="M111" s="20"/>
      <c r="N111" s="20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</row>
    <row r="112">
      <c r="A112" s="81">
        <v>95.0</v>
      </c>
      <c r="B112" s="98" t="s">
        <v>1455</v>
      </c>
      <c r="C112" s="98" t="s">
        <v>1014</v>
      </c>
      <c r="D112" s="96"/>
      <c r="E112" s="97">
        <v>4.0</v>
      </c>
      <c r="F112" s="91">
        <f t="shared" si="1"/>
        <v>40</v>
      </c>
      <c r="G112" s="91"/>
      <c r="H112" s="91"/>
      <c r="I112" s="92"/>
      <c r="J112" s="94"/>
      <c r="K112" s="20"/>
      <c r="L112" s="20"/>
      <c r="M112" s="20"/>
      <c r="N112" s="20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</row>
    <row r="113">
      <c r="A113" s="81">
        <v>96.0</v>
      </c>
      <c r="B113" s="98" t="s">
        <v>1375</v>
      </c>
      <c r="C113" s="98" t="s">
        <v>1154</v>
      </c>
      <c r="D113" s="96"/>
      <c r="E113" s="97">
        <v>3.0</v>
      </c>
      <c r="F113" s="91">
        <f t="shared" si="1"/>
        <v>30</v>
      </c>
      <c r="G113" s="91"/>
      <c r="H113" s="91"/>
      <c r="I113" s="92"/>
      <c r="J113" s="94"/>
      <c r="K113" s="20"/>
      <c r="L113" s="20"/>
      <c r="M113" s="20"/>
      <c r="N113" s="20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</row>
    <row r="114">
      <c r="A114" s="81">
        <v>97.0</v>
      </c>
      <c r="B114" s="98" t="s">
        <v>1456</v>
      </c>
      <c r="C114" s="98" t="s">
        <v>1020</v>
      </c>
      <c r="D114" s="96"/>
      <c r="E114" s="97">
        <v>10.0</v>
      </c>
      <c r="F114" s="91">
        <f t="shared" si="1"/>
        <v>100</v>
      </c>
      <c r="G114" s="91"/>
      <c r="H114" s="91"/>
      <c r="I114" s="92"/>
      <c r="J114" s="93"/>
      <c r="K114" s="20"/>
      <c r="L114" s="20"/>
      <c r="M114" s="20"/>
      <c r="N114" s="20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</row>
    <row r="115">
      <c r="A115" s="81">
        <v>98.0</v>
      </c>
      <c r="B115" s="98" t="s">
        <v>1457</v>
      </c>
      <c r="C115" s="98" t="s">
        <v>1023</v>
      </c>
      <c r="D115" s="96"/>
      <c r="E115" s="97">
        <v>7.0</v>
      </c>
      <c r="F115" s="91">
        <f t="shared" si="1"/>
        <v>70</v>
      </c>
      <c r="G115" s="91"/>
      <c r="H115" s="91"/>
      <c r="I115" s="92"/>
      <c r="J115" s="93"/>
      <c r="K115" s="20"/>
      <c r="L115" s="20"/>
      <c r="M115" s="20"/>
      <c r="N115" s="20"/>
      <c r="O115" s="2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</row>
    <row r="116">
      <c r="A116" s="81">
        <v>99.0</v>
      </c>
      <c r="B116" s="98" t="s">
        <v>1157</v>
      </c>
      <c r="C116" s="98" t="s">
        <v>1026</v>
      </c>
      <c r="D116" s="96"/>
      <c r="E116" s="97">
        <v>10.0</v>
      </c>
      <c r="F116" s="91">
        <f t="shared" si="1"/>
        <v>100</v>
      </c>
      <c r="G116" s="91"/>
      <c r="H116" s="91"/>
      <c r="I116" s="92"/>
      <c r="J116" s="93"/>
      <c r="K116" s="20"/>
      <c r="L116" s="20"/>
      <c r="M116" s="20"/>
      <c r="N116" s="20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</row>
    <row r="117">
      <c r="A117" s="81">
        <v>100.0</v>
      </c>
      <c r="B117" s="98" t="s">
        <v>1458</v>
      </c>
      <c r="C117" s="98" t="s">
        <v>1029</v>
      </c>
      <c r="D117" s="96"/>
      <c r="E117" s="97">
        <v>10.0</v>
      </c>
      <c r="F117" s="91">
        <f t="shared" si="1"/>
        <v>100</v>
      </c>
      <c r="G117" s="91"/>
      <c r="H117" s="91"/>
      <c r="I117" s="92"/>
      <c r="J117" s="93"/>
      <c r="K117" s="20"/>
      <c r="L117" s="20"/>
      <c r="M117" s="20"/>
      <c r="N117" s="20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</row>
    <row r="118">
      <c r="A118" s="81">
        <v>101.0</v>
      </c>
      <c r="B118" s="91" t="s">
        <v>1459</v>
      </c>
      <c r="C118" s="91" t="s">
        <v>5</v>
      </c>
      <c r="D118" s="96"/>
      <c r="E118" s="97">
        <v>4.0</v>
      </c>
      <c r="F118" s="91">
        <f t="shared" si="1"/>
        <v>40</v>
      </c>
      <c r="G118" s="91"/>
      <c r="H118" s="91"/>
      <c r="I118" s="92"/>
      <c r="J118" s="94"/>
      <c r="K118" s="25"/>
      <c r="L118" s="25"/>
      <c r="M118" s="25"/>
      <c r="N118" s="25"/>
      <c r="O118" s="25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</row>
    <row r="119">
      <c r="A119" s="99">
        <v>102.0</v>
      </c>
      <c r="B119" s="93" t="s">
        <v>1460</v>
      </c>
      <c r="C119" s="93" t="s">
        <v>9</v>
      </c>
      <c r="D119" s="94"/>
      <c r="E119" s="100">
        <v>4.0</v>
      </c>
      <c r="F119" s="91">
        <f t="shared" si="1"/>
        <v>40</v>
      </c>
      <c r="G119" s="93"/>
      <c r="H119" s="93"/>
      <c r="I119" s="93"/>
      <c r="J119" s="94"/>
      <c r="K119" s="25"/>
      <c r="L119" s="25"/>
      <c r="M119" s="25"/>
      <c r="N119" s="25"/>
      <c r="O119" s="25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</row>
    <row r="120">
      <c r="A120" s="99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</row>
    <row r="121">
      <c r="A121" s="99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</row>
    <row r="1001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</row>
    <row r="1002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</row>
    <row r="1003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</row>
    <row r="1004">
      <c r="A1004" s="94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</row>
    <row r="1005">
      <c r="A1005" s="94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</row>
    <row r="1006">
      <c r="A1006" s="94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</row>
    <row r="1007">
      <c r="A1007" s="94"/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</row>
  </sheetData>
  <autoFilter ref="$A$1:$I$1007">
    <sortState ref="A1:I1007">
      <sortCondition ref="C1:C1007"/>
    </sortState>
  </autoFilter>
  <conditionalFormatting sqref="F1:F1007">
    <cfRule type="cellIs" dxfId="0" priority="1" operator="lessThanOrEqual">
      <formula>30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9.88"/>
    <col customWidth="1" min="3" max="3" width="26.25"/>
    <col customWidth="1" min="4" max="5" width="16.38"/>
    <col customWidth="1" min="6" max="6" width="11.25"/>
    <col customWidth="1" min="7" max="7" width="21.25"/>
    <col customWidth="1" min="8" max="8" width="20.13"/>
    <col customWidth="1" min="9" max="9" width="20.38"/>
    <col customWidth="1" min="11" max="11" width="4.75"/>
    <col customWidth="1" min="13" max="13" width="8.5"/>
    <col customWidth="1" min="14" max="14" width="10.75"/>
    <col customWidth="1" min="28" max="28" width="21.63"/>
    <col customWidth="1" min="30" max="30" width="17.25"/>
    <col customWidth="1" min="31" max="31" width="15.25"/>
    <col customWidth="1" min="32" max="32" width="16.88"/>
    <col customWidth="1" min="33" max="33" width="24.5"/>
    <col customWidth="1" min="34" max="34" width="15.0"/>
    <col customWidth="1" min="35" max="35" width="22.63"/>
    <col customWidth="1" min="36" max="36" width="21.63"/>
    <col customWidth="1" min="37" max="37" width="19.75"/>
    <col customWidth="1" min="38" max="38" width="21.38"/>
    <col customWidth="1" min="39" max="39" width="29.0"/>
    <col customWidth="1" min="40" max="40" width="19.38"/>
    <col customWidth="1" min="41" max="41" width="27.0"/>
    <col customWidth="1" min="42" max="42" width="15.5"/>
    <col customWidth="1" min="43" max="43" width="13.63"/>
    <col customWidth="1" min="44" max="44" width="15.25"/>
    <col customWidth="1" min="45" max="45" width="22.88"/>
    <col customWidth="1" min="46" max="46" width="13.38"/>
    <col customWidth="1" min="47" max="47" width="20.88"/>
    <col customWidth="1" min="48" max="48" width="23.75"/>
    <col customWidth="1" min="49" max="49" width="21.88"/>
    <col customWidth="1" min="50" max="50" width="23.5"/>
    <col customWidth="1" min="51" max="51" width="31.13"/>
    <col customWidth="1" min="52" max="52" width="21.5"/>
    <col customWidth="1" min="53" max="53" width="29.13"/>
    <col customWidth="1" min="54" max="54" width="23.13"/>
    <col customWidth="1" min="55" max="55" width="21.25"/>
    <col customWidth="1" min="56" max="56" width="22.88"/>
    <col customWidth="1" min="57" max="57" width="30.5"/>
    <col customWidth="1" min="58" max="58" width="20.88"/>
    <col customWidth="1" min="59" max="59" width="28.5"/>
    <col customWidth="1" min="60" max="60" width="11.63"/>
    <col customWidth="1" min="61" max="61" width="9.75"/>
    <col customWidth="1" min="62" max="62" width="11.38"/>
    <col customWidth="1" min="63" max="63" width="19.0"/>
    <col customWidth="1" min="64" max="64" width="9.38"/>
    <col customWidth="1" min="65" max="65" width="17.0"/>
  </cols>
  <sheetData>
    <row r="1">
      <c r="A1" s="2" t="s">
        <v>961</v>
      </c>
      <c r="B1" s="2" t="s">
        <v>962</v>
      </c>
      <c r="C1" s="2" t="s">
        <v>964</v>
      </c>
      <c r="D1" s="2" t="s">
        <v>965</v>
      </c>
      <c r="E1" s="18" t="s">
        <v>966</v>
      </c>
      <c r="F1" s="18" t="s">
        <v>967</v>
      </c>
      <c r="G1" s="2" t="s">
        <v>968</v>
      </c>
      <c r="H1" s="2" t="s">
        <v>969</v>
      </c>
      <c r="I1" s="2" t="s">
        <v>970</v>
      </c>
      <c r="J1" s="18" t="s">
        <v>971</v>
      </c>
      <c r="K1" s="2" t="s">
        <v>972</v>
      </c>
      <c r="L1" s="2" t="s">
        <v>973</v>
      </c>
      <c r="M1" s="2" t="s">
        <v>974</v>
      </c>
      <c r="N1" s="2" t="s">
        <v>975</v>
      </c>
      <c r="O1" s="2" t="s">
        <v>976</v>
      </c>
      <c r="P1" s="18" t="s">
        <v>977</v>
      </c>
      <c r="Q1" s="2" t="s">
        <v>978</v>
      </c>
      <c r="R1" s="2" t="s">
        <v>979</v>
      </c>
      <c r="S1" s="2" t="s">
        <v>980</v>
      </c>
      <c r="T1" s="2" t="s">
        <v>981</v>
      </c>
      <c r="U1" s="2" t="s">
        <v>982</v>
      </c>
      <c r="V1" s="2" t="s">
        <v>983</v>
      </c>
      <c r="W1" s="2" t="s">
        <v>984</v>
      </c>
      <c r="X1" s="2" t="s">
        <v>985</v>
      </c>
      <c r="Y1" s="2" t="s">
        <v>986</v>
      </c>
      <c r="Z1" s="2" t="s">
        <v>987</v>
      </c>
      <c r="AA1" s="2" t="s">
        <v>988</v>
      </c>
      <c r="AB1" s="2" t="s">
        <v>990</v>
      </c>
      <c r="AC1" s="2" t="s">
        <v>991</v>
      </c>
      <c r="AD1" s="18" t="s">
        <v>993</v>
      </c>
      <c r="AE1" s="2" t="s">
        <v>994</v>
      </c>
    </row>
    <row r="2">
      <c r="A2" s="1" t="s">
        <v>70</v>
      </c>
      <c r="B2" s="1" t="s">
        <v>71</v>
      </c>
      <c r="C2" s="2" t="s">
        <v>72</v>
      </c>
      <c r="D2" s="2"/>
      <c r="E2" s="2">
        <v>37.0</v>
      </c>
      <c r="F2" s="2">
        <f>D2+E2/2</f>
        <v>18.5</v>
      </c>
      <c r="G2" s="2">
        <v>12.0</v>
      </c>
      <c r="H2" s="2">
        <v>12.0</v>
      </c>
      <c r="I2" s="2">
        <v>25.0</v>
      </c>
      <c r="J2" s="3">
        <f t="shared" ref="J2:J332" si="1">G2/4+H2/4+I2/9</f>
        <v>8.777777778</v>
      </c>
      <c r="K2" s="2">
        <v>90.0</v>
      </c>
      <c r="L2" s="2">
        <v>190.0</v>
      </c>
      <c r="N2" s="3">
        <f t="shared" ref="N2:N332" si="2">max(L2:M2)</f>
        <v>190</v>
      </c>
      <c r="O2" s="2">
        <v>90.0</v>
      </c>
      <c r="P2" s="2">
        <f t="shared" ref="P2:P332" si="3">K2/20+N2/40+O2/20</f>
        <v>13.75</v>
      </c>
      <c r="Q2" s="2">
        <v>7.0</v>
      </c>
      <c r="R2" s="2">
        <v>8.0</v>
      </c>
      <c r="S2" s="2">
        <v>14.0</v>
      </c>
      <c r="T2" s="2">
        <v>12.0</v>
      </c>
      <c r="U2" s="2">
        <v>15.0</v>
      </c>
      <c r="V2" s="2">
        <v>14.0</v>
      </c>
      <c r="W2" s="2">
        <v>20.0</v>
      </c>
      <c r="X2" s="2">
        <v>30.0</v>
      </c>
      <c r="Y2" s="2">
        <v>20.0</v>
      </c>
      <c r="Z2" s="2">
        <v>30.0</v>
      </c>
      <c r="AA2" s="2">
        <v>30.0</v>
      </c>
      <c r="AC2" s="2">
        <v>340.0</v>
      </c>
      <c r="AD2" s="3">
        <f t="shared" ref="AD2:AD332" si="4">(AB2+AC2)/40</f>
        <v>8.5</v>
      </c>
    </row>
    <row r="3">
      <c r="A3" s="1" t="s">
        <v>725</v>
      </c>
      <c r="B3" s="1" t="s">
        <v>726</v>
      </c>
      <c r="C3" s="2" t="s">
        <v>727</v>
      </c>
      <c r="D3" s="2"/>
      <c r="E3" s="2">
        <v>25.0</v>
      </c>
      <c r="F3" s="2"/>
      <c r="G3" s="2">
        <v>8.0</v>
      </c>
      <c r="H3" s="2">
        <v>18.0</v>
      </c>
      <c r="I3" s="2">
        <v>34.0</v>
      </c>
      <c r="J3" s="3">
        <f t="shared" si="1"/>
        <v>10.27777778</v>
      </c>
      <c r="K3" s="2">
        <v>100.0</v>
      </c>
      <c r="L3" s="2">
        <v>150.0</v>
      </c>
      <c r="N3" s="3">
        <f t="shared" si="2"/>
        <v>150</v>
      </c>
      <c r="O3" s="2">
        <v>100.0</v>
      </c>
      <c r="P3" s="2">
        <f t="shared" si="3"/>
        <v>13.75</v>
      </c>
      <c r="Q3" s="2">
        <v>7.0</v>
      </c>
      <c r="R3" s="2">
        <v>9.0</v>
      </c>
      <c r="S3" s="2">
        <v>10.0</v>
      </c>
      <c r="T3" s="2">
        <v>10.0</v>
      </c>
      <c r="U3" s="2">
        <v>15.0</v>
      </c>
      <c r="V3" s="2">
        <v>15.0</v>
      </c>
      <c r="W3" s="2">
        <v>20.0</v>
      </c>
      <c r="X3" s="2">
        <v>29.0</v>
      </c>
      <c r="Y3" s="2">
        <v>25.0</v>
      </c>
      <c r="Z3" s="2">
        <v>28.0</v>
      </c>
      <c r="AA3" s="2">
        <v>28.0</v>
      </c>
      <c r="AB3" s="2">
        <v>0.0</v>
      </c>
      <c r="AC3" s="2">
        <v>320.0</v>
      </c>
      <c r="AD3" s="3">
        <f t="shared" si="4"/>
        <v>8</v>
      </c>
    </row>
    <row r="4">
      <c r="A4" s="1" t="s">
        <v>832</v>
      </c>
      <c r="B4" s="1" t="s">
        <v>1461</v>
      </c>
      <c r="C4" s="2" t="s">
        <v>834</v>
      </c>
      <c r="D4" s="2"/>
      <c r="E4" s="2">
        <v>8.0</v>
      </c>
      <c r="F4" s="2"/>
      <c r="G4" s="2">
        <v>10.0</v>
      </c>
      <c r="H4" s="2">
        <v>13.5</v>
      </c>
      <c r="I4" s="2">
        <v>40.0</v>
      </c>
      <c r="J4" s="3">
        <f t="shared" si="1"/>
        <v>10.31944444</v>
      </c>
      <c r="K4" s="2">
        <v>85.0</v>
      </c>
      <c r="L4" s="2">
        <v>193.0</v>
      </c>
      <c r="N4" s="3">
        <f t="shared" si="2"/>
        <v>193</v>
      </c>
      <c r="O4" s="2">
        <v>98.0</v>
      </c>
      <c r="P4" s="2">
        <f t="shared" si="3"/>
        <v>13.975</v>
      </c>
      <c r="Q4" s="2">
        <v>5.0</v>
      </c>
      <c r="R4" s="2">
        <v>8.0</v>
      </c>
      <c r="S4" s="2">
        <v>9.0</v>
      </c>
      <c r="T4" s="2">
        <v>14.5</v>
      </c>
      <c r="U4" s="2">
        <v>15.0</v>
      </c>
      <c r="V4" s="2">
        <v>13.0</v>
      </c>
      <c r="W4" s="2">
        <v>19.5</v>
      </c>
      <c r="X4" s="2">
        <v>27.0</v>
      </c>
      <c r="Y4" s="2">
        <v>26.0</v>
      </c>
      <c r="Z4" s="2">
        <v>30.0</v>
      </c>
      <c r="AA4" s="2">
        <v>30.0</v>
      </c>
      <c r="AB4" s="2">
        <v>50.0</v>
      </c>
      <c r="AC4" s="2">
        <v>350.0</v>
      </c>
      <c r="AD4" s="3">
        <f t="shared" si="4"/>
        <v>10</v>
      </c>
    </row>
    <row r="5">
      <c r="A5" s="1" t="s">
        <v>913</v>
      </c>
      <c r="B5" s="1" t="s">
        <v>914</v>
      </c>
      <c r="C5" s="2" t="s">
        <v>915</v>
      </c>
      <c r="D5" s="2"/>
      <c r="E5" s="2">
        <v>19.0</v>
      </c>
      <c r="F5" s="2"/>
      <c r="G5" s="2">
        <v>5.5</v>
      </c>
      <c r="H5" s="2">
        <v>16.0</v>
      </c>
      <c r="I5" s="2">
        <v>23.5</v>
      </c>
      <c r="J5" s="3">
        <f t="shared" si="1"/>
        <v>7.986111111</v>
      </c>
      <c r="K5" s="2">
        <v>80.0</v>
      </c>
      <c r="L5" s="2">
        <v>190.0</v>
      </c>
      <c r="N5" s="3">
        <f t="shared" si="2"/>
        <v>190</v>
      </c>
      <c r="O5" s="2">
        <v>100.0</v>
      </c>
      <c r="P5" s="2">
        <f t="shared" si="3"/>
        <v>13.75</v>
      </c>
      <c r="Q5" s="2">
        <v>5.0</v>
      </c>
      <c r="R5" s="2">
        <v>4.0</v>
      </c>
      <c r="S5" s="2">
        <v>13.0</v>
      </c>
      <c r="T5" s="2">
        <v>9.0</v>
      </c>
      <c r="U5" s="2">
        <v>8.0</v>
      </c>
      <c r="V5" s="2">
        <v>12.0</v>
      </c>
      <c r="W5" s="2">
        <v>18.0</v>
      </c>
      <c r="X5" s="2">
        <v>0.0</v>
      </c>
      <c r="Y5" s="2">
        <v>29.0</v>
      </c>
      <c r="Z5" s="2">
        <v>28.0</v>
      </c>
      <c r="AB5" s="2">
        <v>50.0</v>
      </c>
      <c r="AC5" s="2">
        <v>320.0</v>
      </c>
      <c r="AD5" s="3">
        <f t="shared" si="4"/>
        <v>9.25</v>
      </c>
    </row>
    <row r="6">
      <c r="A6" s="1" t="s">
        <v>838</v>
      </c>
      <c r="B6" s="1" t="s">
        <v>839</v>
      </c>
      <c r="C6" s="2" t="s">
        <v>840</v>
      </c>
      <c r="D6" s="2"/>
      <c r="E6" s="2">
        <v>16.0</v>
      </c>
      <c r="F6" s="2"/>
      <c r="G6" s="2">
        <v>4.0</v>
      </c>
      <c r="H6" s="2">
        <v>1.0</v>
      </c>
      <c r="I6" s="2">
        <v>39.0</v>
      </c>
      <c r="J6" s="3">
        <f t="shared" si="1"/>
        <v>5.583333333</v>
      </c>
      <c r="K6" s="2">
        <v>100.0</v>
      </c>
      <c r="L6" s="2">
        <v>189.0</v>
      </c>
      <c r="N6" s="3">
        <f t="shared" si="2"/>
        <v>189</v>
      </c>
      <c r="O6" s="2">
        <v>98.0</v>
      </c>
      <c r="P6" s="2">
        <f t="shared" si="3"/>
        <v>14.625</v>
      </c>
      <c r="Q6" s="2">
        <v>7.0</v>
      </c>
      <c r="R6" s="2">
        <v>6.0</v>
      </c>
      <c r="S6" s="2">
        <v>14.0</v>
      </c>
      <c r="T6" s="2">
        <v>13.0</v>
      </c>
      <c r="U6" s="2">
        <v>14.5</v>
      </c>
      <c r="V6" s="2">
        <v>7.5</v>
      </c>
      <c r="W6" s="2">
        <v>19.5</v>
      </c>
      <c r="X6" s="2">
        <v>28.0</v>
      </c>
      <c r="Y6" s="2">
        <v>25.0</v>
      </c>
      <c r="Z6" s="2">
        <v>29.0</v>
      </c>
      <c r="AA6" s="2">
        <v>28.0</v>
      </c>
      <c r="AB6" s="2">
        <v>48.0</v>
      </c>
      <c r="AC6" s="2">
        <v>350.0</v>
      </c>
      <c r="AD6" s="3">
        <f t="shared" si="4"/>
        <v>9.95</v>
      </c>
    </row>
    <row r="7">
      <c r="A7" s="1" t="s">
        <v>563</v>
      </c>
      <c r="B7" s="101"/>
      <c r="C7" s="2" t="s">
        <v>565</v>
      </c>
      <c r="D7" s="2"/>
      <c r="E7" s="2">
        <v>25.0</v>
      </c>
      <c r="F7" s="2"/>
      <c r="G7" s="2">
        <v>12.0</v>
      </c>
      <c r="H7" s="2">
        <v>9.0</v>
      </c>
      <c r="I7" s="2">
        <v>38.0</v>
      </c>
      <c r="J7" s="3">
        <f t="shared" si="1"/>
        <v>9.472222222</v>
      </c>
      <c r="K7" s="2">
        <v>97.0</v>
      </c>
      <c r="L7" s="2">
        <v>170.0</v>
      </c>
      <c r="M7" s="2">
        <v>195.0</v>
      </c>
      <c r="N7" s="3">
        <f t="shared" si="2"/>
        <v>195</v>
      </c>
      <c r="O7" s="2">
        <v>98.0</v>
      </c>
      <c r="P7" s="2">
        <f t="shared" si="3"/>
        <v>14.625</v>
      </c>
      <c r="Q7" s="2">
        <v>7.0</v>
      </c>
      <c r="R7" s="2">
        <v>6.0</v>
      </c>
      <c r="S7" s="2">
        <v>9.0</v>
      </c>
      <c r="T7" s="2">
        <v>9.0</v>
      </c>
      <c r="U7" s="2">
        <v>14.5</v>
      </c>
      <c r="V7" s="2">
        <v>14.0</v>
      </c>
      <c r="W7" s="2">
        <v>20.0</v>
      </c>
      <c r="X7" s="2">
        <v>30.0</v>
      </c>
      <c r="Y7" s="2">
        <v>25.0</v>
      </c>
      <c r="Z7" s="2">
        <v>29.0</v>
      </c>
      <c r="AA7" s="2">
        <v>30.0</v>
      </c>
      <c r="AB7" s="2">
        <v>50.0</v>
      </c>
      <c r="AC7" s="2">
        <v>345.0</v>
      </c>
      <c r="AD7" s="3">
        <f t="shared" si="4"/>
        <v>9.875</v>
      </c>
    </row>
    <row r="8">
      <c r="A8" s="1" t="s">
        <v>584</v>
      </c>
      <c r="B8" s="1" t="s">
        <v>585</v>
      </c>
      <c r="C8" s="2" t="s">
        <v>586</v>
      </c>
      <c r="D8" s="2"/>
      <c r="E8" s="2">
        <v>29.0</v>
      </c>
      <c r="F8" s="2"/>
      <c r="G8" s="2">
        <v>6.0</v>
      </c>
      <c r="H8" s="2">
        <v>13.5</v>
      </c>
      <c r="I8" s="2">
        <v>35.0</v>
      </c>
      <c r="J8" s="3">
        <f t="shared" si="1"/>
        <v>8.763888889</v>
      </c>
      <c r="K8" s="2">
        <v>100.0</v>
      </c>
      <c r="L8" s="2">
        <v>145.0</v>
      </c>
      <c r="N8" s="3">
        <f t="shared" si="2"/>
        <v>145</v>
      </c>
      <c r="O8" s="2">
        <v>95.0</v>
      </c>
      <c r="P8" s="2">
        <f t="shared" si="3"/>
        <v>13.375</v>
      </c>
      <c r="Q8" s="2">
        <v>7.0</v>
      </c>
      <c r="R8" s="2">
        <v>8.0</v>
      </c>
      <c r="S8" s="2">
        <v>15.0</v>
      </c>
      <c r="T8" s="2">
        <v>8.0</v>
      </c>
      <c r="U8" s="2">
        <v>13.0</v>
      </c>
      <c r="V8" s="2">
        <v>15.0</v>
      </c>
      <c r="W8" s="2">
        <v>18.0</v>
      </c>
      <c r="X8" s="2">
        <v>30.0</v>
      </c>
      <c r="Y8" s="2">
        <v>30.0</v>
      </c>
      <c r="Z8" s="2">
        <v>29.0</v>
      </c>
      <c r="AA8" s="2">
        <v>29.0</v>
      </c>
      <c r="AB8" s="2">
        <v>50.0</v>
      </c>
      <c r="AC8" s="2">
        <v>350.0</v>
      </c>
      <c r="AD8" s="3">
        <f t="shared" si="4"/>
        <v>10</v>
      </c>
    </row>
    <row r="9">
      <c r="A9" s="1" t="s">
        <v>629</v>
      </c>
      <c r="B9" s="1" t="s">
        <v>630</v>
      </c>
      <c r="C9" s="2" t="s">
        <v>631</v>
      </c>
      <c r="D9" s="2"/>
      <c r="E9" s="2">
        <v>21.0</v>
      </c>
      <c r="F9" s="2"/>
      <c r="G9" s="2">
        <v>4.5</v>
      </c>
      <c r="H9" s="2">
        <v>0.0</v>
      </c>
      <c r="I9" s="2">
        <v>17.0</v>
      </c>
      <c r="J9" s="3">
        <f t="shared" si="1"/>
        <v>3.013888889</v>
      </c>
      <c r="K9" s="2">
        <v>100.0</v>
      </c>
      <c r="M9" s="2">
        <v>0.0</v>
      </c>
      <c r="N9" s="3">
        <f t="shared" si="2"/>
        <v>0</v>
      </c>
      <c r="O9" s="2">
        <v>90.0</v>
      </c>
      <c r="P9" s="2">
        <f t="shared" si="3"/>
        <v>9.5</v>
      </c>
      <c r="Q9" s="2">
        <v>7.0</v>
      </c>
      <c r="R9" s="2">
        <v>9.0</v>
      </c>
      <c r="S9" s="2">
        <v>0.0</v>
      </c>
      <c r="T9" s="2">
        <v>0.0</v>
      </c>
      <c r="U9" s="2">
        <v>15.0</v>
      </c>
      <c r="V9" s="2">
        <v>15.0</v>
      </c>
      <c r="W9" s="2">
        <v>20.0</v>
      </c>
      <c r="X9" s="2">
        <v>0.0</v>
      </c>
      <c r="Y9" s="2">
        <v>0.0</v>
      </c>
      <c r="Z9" s="2">
        <v>30.0</v>
      </c>
      <c r="AA9" s="2">
        <v>27.0</v>
      </c>
      <c r="AB9" s="2">
        <v>0.0</v>
      </c>
      <c r="AC9" s="2">
        <v>310.0</v>
      </c>
      <c r="AD9" s="3">
        <f t="shared" si="4"/>
        <v>7.75</v>
      </c>
    </row>
    <row r="10">
      <c r="A10" s="1" t="s">
        <v>716</v>
      </c>
      <c r="B10" s="1" t="s">
        <v>717</v>
      </c>
      <c r="C10" s="2" t="s">
        <v>718</v>
      </c>
      <c r="D10" s="2"/>
      <c r="E10" s="2">
        <v>28.0</v>
      </c>
      <c r="F10" s="2"/>
      <c r="G10" s="2">
        <v>7.0</v>
      </c>
      <c r="H10" s="2">
        <v>15.5</v>
      </c>
      <c r="I10" s="2">
        <v>29.0</v>
      </c>
      <c r="J10" s="3">
        <f t="shared" si="1"/>
        <v>8.847222222</v>
      </c>
      <c r="K10" s="2">
        <v>100.0</v>
      </c>
      <c r="L10" s="2">
        <v>200.0</v>
      </c>
      <c r="N10" s="3">
        <f t="shared" si="2"/>
        <v>200</v>
      </c>
      <c r="O10" s="2">
        <v>80.0</v>
      </c>
      <c r="P10" s="2">
        <f t="shared" si="3"/>
        <v>14</v>
      </c>
      <c r="Q10" s="2">
        <v>7.0</v>
      </c>
      <c r="R10" s="2">
        <v>4.0</v>
      </c>
      <c r="S10" s="2">
        <v>15.0</v>
      </c>
      <c r="T10" s="2">
        <v>15.0</v>
      </c>
      <c r="U10" s="2">
        <v>15.0</v>
      </c>
      <c r="V10" s="2">
        <v>15.0</v>
      </c>
      <c r="W10" s="2">
        <v>20.0</v>
      </c>
      <c r="X10" s="2">
        <v>25.0</v>
      </c>
      <c r="Y10" s="2">
        <v>30.0</v>
      </c>
      <c r="Z10" s="2">
        <v>29.0</v>
      </c>
      <c r="AA10" s="2">
        <v>27.0</v>
      </c>
      <c r="AB10" s="2">
        <v>30.0</v>
      </c>
      <c r="AC10" s="2">
        <v>330.0</v>
      </c>
      <c r="AD10" s="3">
        <f t="shared" si="4"/>
        <v>9</v>
      </c>
    </row>
    <row r="11">
      <c r="A11" s="1" t="s">
        <v>4</v>
      </c>
      <c r="B11" s="1" t="s">
        <v>5</v>
      </c>
      <c r="C11" s="2" t="s">
        <v>7</v>
      </c>
      <c r="D11" s="2"/>
      <c r="E11" s="2">
        <v>30.0</v>
      </c>
      <c r="F11" s="2"/>
      <c r="G11" s="2">
        <v>15.0</v>
      </c>
      <c r="H11" s="2">
        <v>17.0</v>
      </c>
      <c r="I11" s="2">
        <v>24.0</v>
      </c>
      <c r="J11" s="3">
        <f t="shared" si="1"/>
        <v>10.66666667</v>
      </c>
      <c r="K11" s="2">
        <v>90.0</v>
      </c>
      <c r="L11" s="2">
        <v>190.0</v>
      </c>
      <c r="M11" s="2">
        <v>200.0</v>
      </c>
      <c r="N11" s="3">
        <f t="shared" si="2"/>
        <v>200</v>
      </c>
      <c r="O11" s="2">
        <v>95.0</v>
      </c>
      <c r="P11" s="2">
        <f t="shared" si="3"/>
        <v>14.25</v>
      </c>
      <c r="Q11" s="2">
        <v>7.0</v>
      </c>
      <c r="R11" s="2">
        <v>6.0</v>
      </c>
      <c r="S11" s="2">
        <v>8.0</v>
      </c>
      <c r="T11" s="2">
        <v>12.0</v>
      </c>
      <c r="U11" s="2">
        <v>15.0</v>
      </c>
      <c r="V11" s="2">
        <v>15.0</v>
      </c>
      <c r="W11" s="2">
        <v>20.0</v>
      </c>
      <c r="Z11" s="2">
        <v>30.0</v>
      </c>
      <c r="AB11" s="2">
        <v>50.0</v>
      </c>
      <c r="AC11" s="2">
        <v>330.0</v>
      </c>
      <c r="AD11" s="3">
        <f t="shared" si="4"/>
        <v>9.5</v>
      </c>
    </row>
    <row r="12">
      <c r="A12" s="1" t="s">
        <v>17</v>
      </c>
      <c r="B12" s="1" t="s">
        <v>18</v>
      </c>
      <c r="C12" s="2" t="s">
        <v>19</v>
      </c>
      <c r="D12" s="2"/>
      <c r="E12" s="2">
        <v>31.0</v>
      </c>
      <c r="F12" s="2"/>
      <c r="G12" s="2">
        <v>17.0</v>
      </c>
      <c r="H12" s="2">
        <v>17.0</v>
      </c>
      <c r="I12" s="2">
        <v>32.5</v>
      </c>
      <c r="J12" s="3">
        <f t="shared" si="1"/>
        <v>12.11111111</v>
      </c>
      <c r="K12" s="2">
        <v>100.0</v>
      </c>
      <c r="L12" s="2">
        <v>200.0</v>
      </c>
      <c r="N12" s="3">
        <f t="shared" si="2"/>
        <v>200</v>
      </c>
      <c r="O12" s="2">
        <v>100.0</v>
      </c>
      <c r="P12" s="2">
        <f t="shared" si="3"/>
        <v>15</v>
      </c>
      <c r="Q12" s="2">
        <v>6.0</v>
      </c>
      <c r="R12" s="2">
        <v>8.0</v>
      </c>
      <c r="S12" s="2">
        <v>14.0</v>
      </c>
      <c r="T12" s="2">
        <v>10.0</v>
      </c>
      <c r="U12" s="2">
        <v>15.0</v>
      </c>
      <c r="V12" s="2">
        <v>13.0</v>
      </c>
      <c r="W12" s="2">
        <v>19.0</v>
      </c>
      <c r="X12" s="2">
        <v>30.0</v>
      </c>
      <c r="Y12" s="2">
        <v>0.0</v>
      </c>
      <c r="Z12" s="2">
        <v>29.0</v>
      </c>
      <c r="AA12" s="2">
        <v>30.0</v>
      </c>
      <c r="AB12" s="2">
        <v>50.0</v>
      </c>
      <c r="AC12" s="2">
        <v>340.0</v>
      </c>
      <c r="AD12" s="3">
        <f t="shared" si="4"/>
        <v>9.75</v>
      </c>
    </row>
    <row r="13">
      <c r="A13" s="1" t="s">
        <v>23</v>
      </c>
      <c r="B13" s="1" t="s">
        <v>24</v>
      </c>
      <c r="C13" s="2" t="s">
        <v>26</v>
      </c>
      <c r="D13" s="2"/>
      <c r="E13" s="2">
        <v>33.0</v>
      </c>
      <c r="F13" s="2"/>
      <c r="G13" s="2">
        <v>11.0</v>
      </c>
      <c r="H13" s="2">
        <v>11.0</v>
      </c>
      <c r="I13" s="2">
        <v>32.0</v>
      </c>
      <c r="J13" s="3">
        <f t="shared" si="1"/>
        <v>9.055555556</v>
      </c>
      <c r="K13" s="2">
        <v>100.0</v>
      </c>
      <c r="L13" s="2">
        <v>200.0</v>
      </c>
      <c r="N13" s="3">
        <f t="shared" si="2"/>
        <v>200</v>
      </c>
      <c r="O13" s="2">
        <v>85.0</v>
      </c>
      <c r="P13" s="2">
        <f t="shared" si="3"/>
        <v>14.25</v>
      </c>
      <c r="Q13" s="2">
        <v>6.0</v>
      </c>
      <c r="R13" s="2">
        <v>8.0</v>
      </c>
      <c r="S13" s="2">
        <v>15.0</v>
      </c>
      <c r="T13" s="2">
        <v>10.0</v>
      </c>
      <c r="U13" s="2">
        <v>11.0</v>
      </c>
      <c r="V13" s="2">
        <v>14.0</v>
      </c>
      <c r="W13" s="2">
        <v>20.0</v>
      </c>
      <c r="X13" s="2">
        <v>30.0</v>
      </c>
      <c r="Y13" s="2">
        <v>30.0</v>
      </c>
      <c r="Z13" s="2">
        <v>30.0</v>
      </c>
      <c r="AB13" s="2">
        <v>50.0</v>
      </c>
      <c r="AC13" s="2">
        <v>340.0</v>
      </c>
      <c r="AD13" s="3">
        <f t="shared" si="4"/>
        <v>9.75</v>
      </c>
    </row>
    <row r="14">
      <c r="A14" s="1" t="s">
        <v>34</v>
      </c>
      <c r="B14" s="1" t="s">
        <v>35</v>
      </c>
      <c r="C14" s="2" t="s">
        <v>36</v>
      </c>
      <c r="D14" s="2"/>
      <c r="E14" s="2">
        <v>33.0</v>
      </c>
      <c r="F14" s="2"/>
      <c r="G14" s="2">
        <v>11.0</v>
      </c>
      <c r="H14" s="2">
        <v>11.0</v>
      </c>
      <c r="I14" s="2">
        <v>35.5</v>
      </c>
      <c r="J14" s="3">
        <f t="shared" si="1"/>
        <v>9.444444444</v>
      </c>
      <c r="K14" s="2">
        <v>95.0</v>
      </c>
      <c r="L14" s="2">
        <v>190.0</v>
      </c>
      <c r="N14" s="3">
        <f t="shared" si="2"/>
        <v>190</v>
      </c>
      <c r="O14" s="2">
        <v>92.0</v>
      </c>
      <c r="P14" s="2">
        <f t="shared" si="3"/>
        <v>14.1</v>
      </c>
      <c r="Q14" s="2">
        <v>6.0</v>
      </c>
      <c r="R14" s="2">
        <v>8.0</v>
      </c>
      <c r="S14" s="2">
        <v>14.0</v>
      </c>
      <c r="T14" s="2">
        <v>10.0</v>
      </c>
      <c r="U14" s="2">
        <v>15.0</v>
      </c>
      <c r="V14" s="2">
        <v>14.0</v>
      </c>
      <c r="W14" s="2">
        <v>20.0</v>
      </c>
      <c r="X14" s="2">
        <v>30.0</v>
      </c>
      <c r="Y14" s="2">
        <v>30.0</v>
      </c>
      <c r="Z14" s="2">
        <v>30.0</v>
      </c>
      <c r="AB14" s="2">
        <v>50.0</v>
      </c>
      <c r="AC14" s="2">
        <v>330.0</v>
      </c>
      <c r="AD14" s="3">
        <f t="shared" si="4"/>
        <v>9.5</v>
      </c>
    </row>
    <row r="15">
      <c r="A15" s="1" t="s">
        <v>37</v>
      </c>
      <c r="B15" s="1" t="s">
        <v>38</v>
      </c>
      <c r="C15" s="2" t="s">
        <v>39</v>
      </c>
      <c r="D15" s="2"/>
      <c r="E15" s="2">
        <v>35.0</v>
      </c>
      <c r="F15" s="2"/>
      <c r="G15" s="2">
        <v>16.0</v>
      </c>
      <c r="H15" s="2">
        <v>16.0</v>
      </c>
      <c r="I15" s="2">
        <v>45.0</v>
      </c>
      <c r="J15" s="3">
        <f t="shared" si="1"/>
        <v>13</v>
      </c>
      <c r="K15" s="2">
        <v>95.0</v>
      </c>
      <c r="L15" s="2">
        <v>170.0</v>
      </c>
      <c r="M15" s="2">
        <v>195.0</v>
      </c>
      <c r="N15" s="3">
        <f t="shared" si="2"/>
        <v>195</v>
      </c>
      <c r="O15" s="2">
        <v>95.0</v>
      </c>
      <c r="P15" s="2">
        <f t="shared" si="3"/>
        <v>14.375</v>
      </c>
      <c r="Q15" s="2">
        <v>7.0</v>
      </c>
      <c r="R15" s="2">
        <v>5.0</v>
      </c>
      <c r="S15" s="2">
        <v>14.0</v>
      </c>
      <c r="T15" s="2">
        <v>8.0</v>
      </c>
      <c r="U15" s="2">
        <v>15.0</v>
      </c>
      <c r="V15" s="2">
        <v>14.0</v>
      </c>
      <c r="W15" s="2">
        <v>20.0</v>
      </c>
      <c r="X15" s="2">
        <v>30.0</v>
      </c>
      <c r="Y15" s="2">
        <v>30.0</v>
      </c>
      <c r="Z15" s="2">
        <v>30.0</v>
      </c>
      <c r="AA15" s="2">
        <v>30.0</v>
      </c>
      <c r="AB15" s="2">
        <v>50.0</v>
      </c>
      <c r="AC15" s="2">
        <v>340.0</v>
      </c>
      <c r="AD15" s="3">
        <f t="shared" si="4"/>
        <v>9.75</v>
      </c>
    </row>
    <row r="16">
      <c r="A16" s="1" t="s">
        <v>40</v>
      </c>
      <c r="B16" s="1" t="s">
        <v>41</v>
      </c>
      <c r="C16" s="2" t="s">
        <v>43</v>
      </c>
      <c r="D16" s="2"/>
      <c r="E16" s="2">
        <v>40.0</v>
      </c>
      <c r="F16" s="2"/>
      <c r="G16" s="2">
        <v>19.0</v>
      </c>
      <c r="H16" s="2">
        <v>19.0</v>
      </c>
      <c r="I16" s="2">
        <v>40.0</v>
      </c>
      <c r="J16" s="3">
        <f t="shared" si="1"/>
        <v>13.94444444</v>
      </c>
      <c r="K16" s="2">
        <v>100.0</v>
      </c>
      <c r="L16" s="2">
        <v>190.0</v>
      </c>
      <c r="N16" s="3">
        <f t="shared" si="2"/>
        <v>190</v>
      </c>
      <c r="O16" s="2">
        <v>85.0</v>
      </c>
      <c r="P16" s="2">
        <f t="shared" si="3"/>
        <v>14</v>
      </c>
      <c r="Q16" s="2">
        <v>7.0</v>
      </c>
      <c r="R16" s="2">
        <v>9.0</v>
      </c>
      <c r="S16" s="2">
        <v>15.0</v>
      </c>
      <c r="T16" s="2">
        <v>11.0</v>
      </c>
      <c r="U16" s="2">
        <v>15.0</v>
      </c>
      <c r="V16" s="2">
        <v>15.0</v>
      </c>
      <c r="W16" s="2">
        <v>20.0</v>
      </c>
      <c r="X16" s="2">
        <v>30.0</v>
      </c>
      <c r="Y16" s="2">
        <v>30.0</v>
      </c>
      <c r="Z16" s="2">
        <v>30.0</v>
      </c>
      <c r="AA16" s="2">
        <v>30.0</v>
      </c>
      <c r="AB16" s="2">
        <v>50.0</v>
      </c>
      <c r="AC16" s="2">
        <v>335.0</v>
      </c>
      <c r="AD16" s="3">
        <f t="shared" si="4"/>
        <v>9.625</v>
      </c>
    </row>
    <row r="17">
      <c r="A17" s="1" t="s">
        <v>53</v>
      </c>
      <c r="B17" s="1" t="s">
        <v>54</v>
      </c>
      <c r="C17" s="2" t="s">
        <v>56</v>
      </c>
      <c r="D17" s="2"/>
      <c r="E17" s="2">
        <v>2.0</v>
      </c>
      <c r="F17" s="2"/>
      <c r="G17" s="2">
        <v>7.0</v>
      </c>
      <c r="H17" s="2">
        <v>7.0</v>
      </c>
      <c r="I17" s="2">
        <v>19.0</v>
      </c>
      <c r="J17" s="3">
        <f t="shared" si="1"/>
        <v>5.611111111</v>
      </c>
      <c r="K17" s="2">
        <v>90.0</v>
      </c>
      <c r="L17" s="2">
        <v>180.0</v>
      </c>
      <c r="N17" s="3">
        <f t="shared" si="2"/>
        <v>180</v>
      </c>
      <c r="O17" s="2">
        <v>95.0</v>
      </c>
      <c r="P17" s="2">
        <f t="shared" si="3"/>
        <v>13.75</v>
      </c>
      <c r="Q17" s="2">
        <v>6.0</v>
      </c>
      <c r="R17" s="2">
        <v>7.0</v>
      </c>
      <c r="S17" s="2">
        <v>14.0</v>
      </c>
      <c r="T17" s="2">
        <v>0.0</v>
      </c>
      <c r="U17" s="2">
        <v>14.0</v>
      </c>
      <c r="V17" s="2">
        <v>14.0</v>
      </c>
      <c r="W17" s="2">
        <v>20.0</v>
      </c>
      <c r="X17" s="2">
        <v>30.0</v>
      </c>
      <c r="Y17" s="2">
        <v>30.0</v>
      </c>
      <c r="Z17" s="2">
        <v>28.0</v>
      </c>
      <c r="AA17" s="2">
        <v>28.0</v>
      </c>
      <c r="AB17" s="2">
        <v>50.0</v>
      </c>
      <c r="AC17" s="2">
        <v>340.0</v>
      </c>
      <c r="AD17" s="3">
        <f t="shared" si="4"/>
        <v>9.75</v>
      </c>
    </row>
    <row r="18">
      <c r="A18" s="1" t="s">
        <v>57</v>
      </c>
      <c r="B18" s="1" t="s">
        <v>58</v>
      </c>
      <c r="C18" s="2" t="s">
        <v>60</v>
      </c>
      <c r="D18" s="2"/>
      <c r="E18" s="2">
        <v>11.0</v>
      </c>
      <c r="F18" s="2"/>
      <c r="G18" s="2">
        <v>6.0</v>
      </c>
      <c r="H18" s="2">
        <v>6.0</v>
      </c>
      <c r="I18" s="2">
        <v>18.0</v>
      </c>
      <c r="J18" s="3">
        <f t="shared" si="1"/>
        <v>5</v>
      </c>
      <c r="K18" s="2">
        <v>87.0</v>
      </c>
      <c r="L18" s="2">
        <v>180.0</v>
      </c>
      <c r="N18" s="3">
        <f t="shared" si="2"/>
        <v>180</v>
      </c>
      <c r="O18" s="2">
        <v>85.0</v>
      </c>
      <c r="P18" s="2">
        <f t="shared" si="3"/>
        <v>13.1</v>
      </c>
      <c r="Q18" s="2">
        <v>5.0</v>
      </c>
      <c r="R18" s="2">
        <v>4.0</v>
      </c>
      <c r="S18" s="2">
        <v>15.0</v>
      </c>
      <c r="T18" s="2">
        <v>5.0</v>
      </c>
      <c r="U18" s="2">
        <v>5.0</v>
      </c>
      <c r="V18" s="2">
        <v>14.0</v>
      </c>
      <c r="W18" s="2">
        <v>0.0</v>
      </c>
      <c r="X18" s="2">
        <v>30.0</v>
      </c>
      <c r="Z18" s="2">
        <v>28.0</v>
      </c>
      <c r="AB18" s="2">
        <v>50.0</v>
      </c>
      <c r="AC18" s="2">
        <v>330.0</v>
      </c>
      <c r="AD18" s="3">
        <f t="shared" si="4"/>
        <v>9.5</v>
      </c>
    </row>
    <row r="19">
      <c r="A19" s="1" t="s">
        <v>61</v>
      </c>
      <c r="B19" s="1" t="s">
        <v>62</v>
      </c>
      <c r="C19" s="2" t="s">
        <v>63</v>
      </c>
      <c r="D19" s="2"/>
      <c r="E19" s="2">
        <v>36.0</v>
      </c>
      <c r="F19" s="2"/>
      <c r="G19" s="2">
        <v>20.0</v>
      </c>
      <c r="H19" s="2">
        <v>20.0</v>
      </c>
      <c r="I19" s="2">
        <v>36.0</v>
      </c>
      <c r="J19" s="3">
        <f t="shared" si="1"/>
        <v>14</v>
      </c>
      <c r="K19" s="2">
        <v>100.0</v>
      </c>
      <c r="L19" s="2">
        <v>180.0</v>
      </c>
      <c r="N19" s="3">
        <f t="shared" si="2"/>
        <v>180</v>
      </c>
      <c r="O19" s="2">
        <v>100.0</v>
      </c>
      <c r="P19" s="2">
        <f t="shared" si="3"/>
        <v>14.5</v>
      </c>
      <c r="Q19" s="2">
        <v>7.0</v>
      </c>
      <c r="R19" s="2">
        <v>9.0</v>
      </c>
      <c r="S19" s="2">
        <v>14.0</v>
      </c>
      <c r="T19" s="2">
        <v>8.0</v>
      </c>
      <c r="U19" s="2">
        <v>15.0</v>
      </c>
      <c r="V19" s="2">
        <v>14.0</v>
      </c>
      <c r="W19" s="2">
        <v>20.0</v>
      </c>
      <c r="X19" s="2">
        <v>30.0</v>
      </c>
      <c r="Y19" s="2">
        <v>21.0</v>
      </c>
      <c r="Z19" s="2">
        <v>30.0</v>
      </c>
      <c r="AA19" s="2">
        <v>30.0</v>
      </c>
      <c r="AB19" s="2">
        <v>50.0</v>
      </c>
      <c r="AC19" s="2">
        <v>340.0</v>
      </c>
      <c r="AD19" s="3">
        <f t="shared" si="4"/>
        <v>9.75</v>
      </c>
    </row>
    <row r="20">
      <c r="A20" s="1" t="s">
        <v>67</v>
      </c>
      <c r="B20" s="1" t="s">
        <v>68</v>
      </c>
      <c r="C20" s="2" t="s">
        <v>69</v>
      </c>
      <c r="D20" s="2"/>
      <c r="E20" s="2">
        <v>20.0</v>
      </c>
      <c r="F20" s="2"/>
      <c r="G20" s="2">
        <v>10.0</v>
      </c>
      <c r="H20" s="2">
        <v>10.0</v>
      </c>
      <c r="I20" s="2">
        <v>20.5</v>
      </c>
      <c r="J20" s="3">
        <f t="shared" si="1"/>
        <v>7.277777778</v>
      </c>
      <c r="K20" s="2">
        <v>80.0</v>
      </c>
      <c r="L20" s="2">
        <v>180.0</v>
      </c>
      <c r="N20" s="3">
        <f t="shared" si="2"/>
        <v>180</v>
      </c>
      <c r="O20" s="2">
        <v>98.0</v>
      </c>
      <c r="P20" s="2">
        <f t="shared" si="3"/>
        <v>13.4</v>
      </c>
      <c r="Q20" s="2">
        <v>7.0</v>
      </c>
      <c r="R20" s="2">
        <v>6.0</v>
      </c>
      <c r="S20" s="2">
        <v>14.0</v>
      </c>
      <c r="T20" s="2">
        <v>8.0</v>
      </c>
      <c r="U20" s="2">
        <v>15.0</v>
      </c>
      <c r="V20" s="2">
        <v>9.0</v>
      </c>
      <c r="W20" s="2">
        <v>20.0</v>
      </c>
      <c r="X20" s="2">
        <v>30.0</v>
      </c>
      <c r="Y20" s="2">
        <v>18.0</v>
      </c>
      <c r="Z20" s="2">
        <v>28.0</v>
      </c>
      <c r="AB20" s="2">
        <v>40.0</v>
      </c>
      <c r="AC20" s="2">
        <v>340.0</v>
      </c>
      <c r="AD20" s="3">
        <f t="shared" si="4"/>
        <v>9.5</v>
      </c>
    </row>
    <row r="21">
      <c r="A21" s="1" t="s">
        <v>73</v>
      </c>
      <c r="B21" s="1" t="s">
        <v>74</v>
      </c>
      <c r="C21" s="2" t="s">
        <v>75</v>
      </c>
      <c r="D21" s="2"/>
      <c r="E21" s="2">
        <v>28.0</v>
      </c>
      <c r="F21" s="2"/>
      <c r="G21" s="2">
        <v>14.0</v>
      </c>
      <c r="H21" s="2">
        <v>14.0</v>
      </c>
      <c r="I21" s="2">
        <v>40.0</v>
      </c>
      <c r="J21" s="3">
        <f t="shared" si="1"/>
        <v>11.44444444</v>
      </c>
      <c r="K21" s="2">
        <v>95.0</v>
      </c>
      <c r="L21" s="2">
        <v>190.0</v>
      </c>
      <c r="N21" s="3">
        <f t="shared" si="2"/>
        <v>190</v>
      </c>
      <c r="O21" s="2">
        <v>100.0</v>
      </c>
      <c r="P21" s="2">
        <f t="shared" si="3"/>
        <v>14.5</v>
      </c>
      <c r="Q21" s="2">
        <v>6.0</v>
      </c>
      <c r="R21" s="2">
        <v>7.0</v>
      </c>
      <c r="S21" s="2">
        <v>15.0</v>
      </c>
      <c r="T21" s="2">
        <v>10.0</v>
      </c>
      <c r="U21" s="2">
        <v>15.0</v>
      </c>
      <c r="V21" s="2">
        <v>14.0</v>
      </c>
      <c r="W21" s="2">
        <v>17.0</v>
      </c>
      <c r="X21" s="2">
        <v>30.0</v>
      </c>
      <c r="Y21" s="2">
        <v>20.0</v>
      </c>
      <c r="Z21" s="2">
        <v>30.0</v>
      </c>
      <c r="AA21" s="2">
        <v>30.0</v>
      </c>
      <c r="AB21" s="2">
        <v>50.0</v>
      </c>
      <c r="AC21" s="2">
        <v>330.0</v>
      </c>
      <c r="AD21" s="3">
        <f t="shared" si="4"/>
        <v>9.5</v>
      </c>
    </row>
    <row r="22">
      <c r="A22" s="1" t="s">
        <v>76</v>
      </c>
      <c r="B22" s="1" t="s">
        <v>77</v>
      </c>
      <c r="C22" s="2" t="s">
        <v>78</v>
      </c>
      <c r="D22" s="2"/>
      <c r="E22" s="2">
        <v>36.0</v>
      </c>
      <c r="F22" s="2"/>
      <c r="G22" s="2">
        <v>13.0</v>
      </c>
      <c r="H22" s="2">
        <v>13.0</v>
      </c>
      <c r="I22" s="2">
        <v>30.5</v>
      </c>
      <c r="J22" s="3">
        <f t="shared" si="1"/>
        <v>9.888888889</v>
      </c>
      <c r="K22" s="2">
        <v>95.0</v>
      </c>
      <c r="L22" s="2">
        <v>190.0</v>
      </c>
      <c r="N22" s="3">
        <f t="shared" si="2"/>
        <v>190</v>
      </c>
      <c r="O22" s="2">
        <v>100.0</v>
      </c>
      <c r="P22" s="2">
        <f t="shared" si="3"/>
        <v>14.5</v>
      </c>
      <c r="Q22" s="2">
        <v>7.0</v>
      </c>
      <c r="R22" s="2">
        <v>8.0</v>
      </c>
      <c r="S22" s="2">
        <v>15.0</v>
      </c>
      <c r="T22" s="2">
        <v>12.0</v>
      </c>
      <c r="U22" s="2">
        <v>15.0</v>
      </c>
      <c r="V22" s="2">
        <v>14.0</v>
      </c>
      <c r="W22" s="2">
        <v>18.0</v>
      </c>
      <c r="X22" s="2">
        <v>30.0</v>
      </c>
      <c r="Y22" s="2">
        <v>23.0</v>
      </c>
      <c r="Z22" s="2">
        <v>30.0</v>
      </c>
      <c r="AA22" s="2">
        <v>30.0</v>
      </c>
      <c r="AB22" s="2">
        <v>30.0</v>
      </c>
      <c r="AC22" s="2">
        <v>335.0</v>
      </c>
      <c r="AD22" s="3">
        <f t="shared" si="4"/>
        <v>9.125</v>
      </c>
    </row>
    <row r="23">
      <c r="A23" s="1" t="s">
        <v>79</v>
      </c>
      <c r="B23" s="1" t="s">
        <v>80</v>
      </c>
      <c r="C23" s="2" t="s">
        <v>81</v>
      </c>
      <c r="D23" s="2"/>
      <c r="E23" s="2">
        <v>30.0</v>
      </c>
      <c r="F23" s="2"/>
      <c r="G23" s="2">
        <v>7.0</v>
      </c>
      <c r="H23" s="2">
        <v>16.5</v>
      </c>
      <c r="I23" s="2">
        <v>40.0</v>
      </c>
      <c r="J23" s="3">
        <f t="shared" si="1"/>
        <v>10.31944444</v>
      </c>
      <c r="K23" s="2">
        <v>100.0</v>
      </c>
      <c r="L23" s="2">
        <v>200.0</v>
      </c>
      <c r="N23" s="3">
        <f t="shared" si="2"/>
        <v>200</v>
      </c>
      <c r="O23" s="2">
        <v>100.0</v>
      </c>
      <c r="P23" s="2">
        <f t="shared" si="3"/>
        <v>15</v>
      </c>
      <c r="Q23" s="2">
        <v>7.0</v>
      </c>
      <c r="R23" s="2">
        <v>7.0</v>
      </c>
      <c r="S23" s="2">
        <v>15.0</v>
      </c>
      <c r="T23" s="2">
        <v>11.0</v>
      </c>
      <c r="U23" s="2">
        <v>15.0</v>
      </c>
      <c r="V23" s="2">
        <v>15.0</v>
      </c>
      <c r="W23" s="2">
        <v>18.0</v>
      </c>
      <c r="X23" s="2">
        <v>30.0</v>
      </c>
      <c r="Y23" s="2">
        <v>30.0</v>
      </c>
      <c r="Z23" s="2">
        <v>30.0</v>
      </c>
      <c r="AA23" s="2">
        <v>30.0</v>
      </c>
      <c r="AB23" s="2">
        <v>50.0</v>
      </c>
      <c r="AC23" s="2">
        <v>340.0</v>
      </c>
      <c r="AD23" s="3">
        <f t="shared" si="4"/>
        <v>9.75</v>
      </c>
    </row>
    <row r="24">
      <c r="A24" s="1" t="s">
        <v>82</v>
      </c>
      <c r="B24" s="1" t="s">
        <v>83</v>
      </c>
      <c r="C24" s="2" t="s">
        <v>84</v>
      </c>
      <c r="D24" s="2"/>
      <c r="E24" s="2">
        <v>30.0</v>
      </c>
      <c r="F24" s="2"/>
      <c r="G24" s="2">
        <v>12.0</v>
      </c>
      <c r="H24" s="2">
        <v>14.5</v>
      </c>
      <c r="I24" s="2">
        <v>28.0</v>
      </c>
      <c r="J24" s="3">
        <f t="shared" si="1"/>
        <v>9.736111111</v>
      </c>
      <c r="K24" s="2">
        <v>100.0</v>
      </c>
      <c r="L24" s="2">
        <v>170.0</v>
      </c>
      <c r="M24" s="2">
        <v>195.0</v>
      </c>
      <c r="N24" s="3">
        <f t="shared" si="2"/>
        <v>195</v>
      </c>
      <c r="P24" s="2">
        <f t="shared" si="3"/>
        <v>9.875</v>
      </c>
      <c r="Q24" s="2">
        <v>7.0</v>
      </c>
      <c r="R24" s="2">
        <v>5.0</v>
      </c>
      <c r="S24" s="2">
        <v>7.5</v>
      </c>
      <c r="T24" s="2">
        <v>4.0</v>
      </c>
      <c r="U24" s="2">
        <v>10.0</v>
      </c>
      <c r="V24" s="2">
        <v>15.0</v>
      </c>
      <c r="W24" s="2">
        <v>16.0</v>
      </c>
      <c r="X24" s="2">
        <v>30.0</v>
      </c>
      <c r="Y24" s="2">
        <v>30.0</v>
      </c>
      <c r="Z24" s="2">
        <v>29.0</v>
      </c>
      <c r="AA24" s="2">
        <v>28.0</v>
      </c>
      <c r="AB24" s="2">
        <v>50.0</v>
      </c>
      <c r="AC24" s="2">
        <v>300.0</v>
      </c>
      <c r="AD24" s="3">
        <f t="shared" si="4"/>
        <v>8.75</v>
      </c>
    </row>
    <row r="25">
      <c r="A25" s="1" t="s">
        <v>85</v>
      </c>
      <c r="B25" s="1" t="s">
        <v>86</v>
      </c>
      <c r="C25" s="2" t="s">
        <v>87</v>
      </c>
      <c r="D25" s="2"/>
      <c r="E25" s="2">
        <v>31.0</v>
      </c>
      <c r="F25" s="2"/>
      <c r="G25" s="2">
        <v>16.5</v>
      </c>
      <c r="H25" s="2">
        <v>16.0</v>
      </c>
      <c r="I25" s="2">
        <v>33.0</v>
      </c>
      <c r="J25" s="3">
        <f t="shared" si="1"/>
        <v>11.79166667</v>
      </c>
      <c r="K25" s="2">
        <v>100.0</v>
      </c>
      <c r="L25" s="2">
        <v>153.0</v>
      </c>
      <c r="N25" s="3">
        <f t="shared" si="2"/>
        <v>153</v>
      </c>
      <c r="O25" s="2">
        <v>98.0</v>
      </c>
      <c r="P25" s="2">
        <f t="shared" si="3"/>
        <v>13.725</v>
      </c>
      <c r="R25" s="2">
        <v>5.0</v>
      </c>
      <c r="S25" s="2">
        <v>15.0</v>
      </c>
      <c r="T25" s="2">
        <v>11.0</v>
      </c>
      <c r="U25" s="2">
        <v>11.0</v>
      </c>
      <c r="V25" s="2">
        <v>15.0</v>
      </c>
      <c r="W25" s="2">
        <v>20.0</v>
      </c>
      <c r="X25" s="2">
        <v>30.0</v>
      </c>
      <c r="Y25" s="2">
        <v>30.0</v>
      </c>
      <c r="Z25" s="2">
        <v>30.0</v>
      </c>
      <c r="AA25" s="2">
        <v>30.0</v>
      </c>
      <c r="AB25" s="2">
        <v>50.0</v>
      </c>
      <c r="AC25" s="2">
        <v>350.0</v>
      </c>
      <c r="AD25" s="3">
        <f t="shared" si="4"/>
        <v>10</v>
      </c>
    </row>
    <row r="26">
      <c r="A26" s="1" t="s">
        <v>88</v>
      </c>
      <c r="B26" s="1" t="s">
        <v>89</v>
      </c>
      <c r="C26" s="2" t="s">
        <v>90</v>
      </c>
      <c r="D26" s="2"/>
      <c r="E26" s="2">
        <v>29.0</v>
      </c>
      <c r="F26" s="2"/>
      <c r="G26" s="2">
        <v>16.0</v>
      </c>
      <c r="H26" s="2">
        <v>13.5</v>
      </c>
      <c r="I26" s="2">
        <v>35.0</v>
      </c>
      <c r="J26" s="3">
        <f t="shared" si="1"/>
        <v>11.26388889</v>
      </c>
      <c r="K26" s="2">
        <v>100.0</v>
      </c>
      <c r="L26" s="2">
        <v>200.0</v>
      </c>
      <c r="N26" s="3">
        <f t="shared" si="2"/>
        <v>200</v>
      </c>
      <c r="O26" s="2">
        <v>96.0</v>
      </c>
      <c r="P26" s="2">
        <f t="shared" si="3"/>
        <v>14.8</v>
      </c>
      <c r="Q26" s="2">
        <v>7.0</v>
      </c>
      <c r="R26" s="2">
        <v>7.0</v>
      </c>
      <c r="S26" s="2">
        <v>10.0</v>
      </c>
      <c r="T26" s="2">
        <v>12.0</v>
      </c>
      <c r="U26" s="2">
        <v>14.0</v>
      </c>
      <c r="V26" s="2">
        <v>15.0</v>
      </c>
      <c r="W26" s="2">
        <v>20.0</v>
      </c>
      <c r="X26" s="2">
        <v>30.0</v>
      </c>
      <c r="Y26" s="2">
        <v>30.0</v>
      </c>
      <c r="Z26" s="2">
        <v>29.0</v>
      </c>
      <c r="AA26" s="2">
        <v>30.0</v>
      </c>
      <c r="AB26" s="2">
        <v>30.0</v>
      </c>
      <c r="AC26" s="2">
        <v>330.0</v>
      </c>
      <c r="AD26" s="3">
        <f t="shared" si="4"/>
        <v>9</v>
      </c>
    </row>
    <row r="27">
      <c r="A27" s="1" t="s">
        <v>101</v>
      </c>
      <c r="B27" s="1" t="s">
        <v>102</v>
      </c>
      <c r="C27" s="2" t="s">
        <v>103</v>
      </c>
      <c r="D27" s="2"/>
      <c r="E27" s="2">
        <v>33.0</v>
      </c>
      <c r="F27" s="2"/>
      <c r="G27" s="2">
        <v>10.5</v>
      </c>
      <c r="H27" s="2">
        <v>15.0</v>
      </c>
      <c r="I27" s="2">
        <v>40.0</v>
      </c>
      <c r="J27" s="3">
        <f t="shared" si="1"/>
        <v>10.81944444</v>
      </c>
      <c r="K27" s="2">
        <v>100.0</v>
      </c>
      <c r="L27" s="2">
        <v>200.0</v>
      </c>
      <c r="N27" s="3">
        <f t="shared" si="2"/>
        <v>200</v>
      </c>
      <c r="O27" s="2">
        <v>98.0</v>
      </c>
      <c r="P27" s="2">
        <f t="shared" si="3"/>
        <v>14.9</v>
      </c>
      <c r="Q27" s="2">
        <v>7.0</v>
      </c>
      <c r="R27" s="2">
        <v>6.0</v>
      </c>
      <c r="S27" s="2">
        <v>8.0</v>
      </c>
      <c r="T27" s="2">
        <v>3.0</v>
      </c>
      <c r="U27" s="2">
        <v>14.0</v>
      </c>
      <c r="V27" s="2">
        <v>13.0</v>
      </c>
      <c r="W27" s="2">
        <v>18.0</v>
      </c>
      <c r="X27" s="2">
        <v>29.0</v>
      </c>
      <c r="Y27" s="2">
        <v>30.0</v>
      </c>
      <c r="Z27" s="2">
        <v>29.0</v>
      </c>
      <c r="AA27" s="2">
        <v>30.0</v>
      </c>
      <c r="AB27" s="2">
        <v>40.0</v>
      </c>
      <c r="AC27" s="2">
        <v>350.0</v>
      </c>
      <c r="AD27" s="3">
        <f t="shared" si="4"/>
        <v>9.75</v>
      </c>
    </row>
    <row r="28">
      <c r="A28" s="1" t="s">
        <v>107</v>
      </c>
      <c r="B28" s="1" t="s">
        <v>108</v>
      </c>
      <c r="C28" s="2" t="s">
        <v>109</v>
      </c>
      <c r="D28" s="2"/>
      <c r="E28" s="2">
        <v>33.0</v>
      </c>
      <c r="F28" s="2"/>
      <c r="G28" s="2">
        <v>10.0</v>
      </c>
      <c r="H28" s="2">
        <v>11.0</v>
      </c>
      <c r="I28" s="2">
        <v>25.0</v>
      </c>
      <c r="J28" s="3">
        <f t="shared" si="1"/>
        <v>8.027777778</v>
      </c>
      <c r="K28" s="2">
        <v>100.0</v>
      </c>
      <c r="L28" s="2">
        <v>170.0</v>
      </c>
      <c r="N28" s="3">
        <f t="shared" si="2"/>
        <v>170</v>
      </c>
      <c r="O28" s="2">
        <v>97.0</v>
      </c>
      <c r="P28" s="2">
        <f t="shared" si="3"/>
        <v>14.1</v>
      </c>
      <c r="Q28" s="2">
        <v>5.0</v>
      </c>
      <c r="R28" s="2">
        <v>5.0</v>
      </c>
      <c r="S28" s="2">
        <v>12.0</v>
      </c>
      <c r="T28" s="2">
        <v>8.0</v>
      </c>
      <c r="U28" s="2">
        <v>9.0</v>
      </c>
      <c r="V28" s="2">
        <v>8.0</v>
      </c>
      <c r="W28" s="2">
        <v>12.0</v>
      </c>
      <c r="X28" s="2">
        <v>28.0</v>
      </c>
      <c r="Y28" s="2">
        <v>30.0</v>
      </c>
      <c r="Z28" s="2">
        <v>29.0</v>
      </c>
      <c r="AB28" s="2">
        <v>40.0</v>
      </c>
      <c r="AC28" s="2">
        <v>330.0</v>
      </c>
      <c r="AD28" s="3">
        <f t="shared" si="4"/>
        <v>9.25</v>
      </c>
    </row>
    <row r="29">
      <c r="A29" s="1" t="s">
        <v>110</v>
      </c>
      <c r="B29" s="1" t="s">
        <v>111</v>
      </c>
      <c r="C29" s="2" t="s">
        <v>112</v>
      </c>
      <c r="D29" s="2"/>
      <c r="E29" s="2">
        <v>21.0</v>
      </c>
      <c r="F29" s="2"/>
      <c r="G29" s="2">
        <v>11.5</v>
      </c>
      <c r="H29" s="2">
        <v>4.5</v>
      </c>
      <c r="I29" s="2">
        <v>17.5</v>
      </c>
      <c r="J29" s="3">
        <f t="shared" si="1"/>
        <v>5.944444444</v>
      </c>
      <c r="K29" s="2">
        <v>90.0</v>
      </c>
      <c r="L29" s="2">
        <v>96.0</v>
      </c>
      <c r="N29" s="3">
        <f t="shared" si="2"/>
        <v>96</v>
      </c>
      <c r="O29" s="2">
        <v>95.0</v>
      </c>
      <c r="P29" s="2">
        <f t="shared" si="3"/>
        <v>11.65</v>
      </c>
      <c r="Q29" s="2">
        <v>4.0</v>
      </c>
      <c r="R29" s="2">
        <v>2.0</v>
      </c>
      <c r="S29" s="2">
        <v>14.0</v>
      </c>
      <c r="T29" s="2">
        <v>8.0</v>
      </c>
      <c r="U29" s="2">
        <v>11.0</v>
      </c>
      <c r="V29" s="2">
        <v>8.0</v>
      </c>
      <c r="W29" s="2">
        <v>8.0</v>
      </c>
      <c r="X29" s="2">
        <v>28.0</v>
      </c>
      <c r="Y29" s="2">
        <v>26.0</v>
      </c>
      <c r="Z29" s="2">
        <v>30.0</v>
      </c>
      <c r="AA29" s="2">
        <v>28.0</v>
      </c>
      <c r="AB29" s="2">
        <v>50.0</v>
      </c>
      <c r="AC29" s="2">
        <v>330.0</v>
      </c>
      <c r="AD29" s="3">
        <f t="shared" si="4"/>
        <v>9.5</v>
      </c>
    </row>
    <row r="30">
      <c r="A30" s="1" t="s">
        <v>116</v>
      </c>
      <c r="B30" s="1" t="s">
        <v>117</v>
      </c>
      <c r="C30" s="2" t="s">
        <v>118</v>
      </c>
      <c r="D30" s="2"/>
      <c r="E30" s="2">
        <v>32.0</v>
      </c>
      <c r="F30" s="2"/>
      <c r="G30" s="2">
        <v>12.0</v>
      </c>
      <c r="H30" s="2">
        <v>12.0</v>
      </c>
      <c r="I30" s="2">
        <v>21.0</v>
      </c>
      <c r="J30" s="3">
        <f t="shared" si="1"/>
        <v>8.333333333</v>
      </c>
      <c r="K30" s="2">
        <v>100.0</v>
      </c>
      <c r="L30" s="2">
        <v>180.0</v>
      </c>
      <c r="N30" s="3">
        <f t="shared" si="2"/>
        <v>180</v>
      </c>
      <c r="O30" s="2">
        <v>94.0</v>
      </c>
      <c r="P30" s="2">
        <f t="shared" si="3"/>
        <v>14.2</v>
      </c>
      <c r="Q30" s="2">
        <v>0.0</v>
      </c>
      <c r="R30" s="2">
        <v>6.0</v>
      </c>
      <c r="S30" s="2">
        <v>10.5</v>
      </c>
      <c r="T30" s="2">
        <v>9.0</v>
      </c>
      <c r="U30" s="2">
        <v>15.0</v>
      </c>
      <c r="V30" s="2">
        <v>15.0</v>
      </c>
      <c r="W30" s="2">
        <v>19.0</v>
      </c>
      <c r="X30" s="2">
        <v>26.0</v>
      </c>
      <c r="Y30" s="2">
        <v>27.0</v>
      </c>
      <c r="Z30" s="2">
        <v>29.0</v>
      </c>
      <c r="AA30" s="2">
        <v>27.0</v>
      </c>
      <c r="AB30" s="2">
        <v>50.0</v>
      </c>
      <c r="AC30" s="2">
        <v>340.0</v>
      </c>
      <c r="AD30" s="3">
        <f t="shared" si="4"/>
        <v>9.75</v>
      </c>
    </row>
    <row r="31">
      <c r="A31" s="1" t="s">
        <v>122</v>
      </c>
      <c r="B31" s="1" t="s">
        <v>123</v>
      </c>
      <c r="C31" s="2" t="s">
        <v>124</v>
      </c>
      <c r="D31" s="2"/>
      <c r="E31" s="2">
        <v>29.0</v>
      </c>
      <c r="F31" s="2"/>
      <c r="G31" s="2">
        <v>15.0</v>
      </c>
      <c r="H31" s="2">
        <v>10.0</v>
      </c>
      <c r="I31" s="2">
        <v>36.0</v>
      </c>
      <c r="J31" s="3">
        <f t="shared" si="1"/>
        <v>10.25</v>
      </c>
      <c r="K31" s="2">
        <v>85.0</v>
      </c>
      <c r="L31" s="2">
        <v>195.0</v>
      </c>
      <c r="N31" s="3">
        <f t="shared" si="2"/>
        <v>195</v>
      </c>
      <c r="O31" s="2">
        <v>100.0</v>
      </c>
      <c r="P31" s="2">
        <f t="shared" si="3"/>
        <v>14.125</v>
      </c>
      <c r="Q31" s="2">
        <v>7.0</v>
      </c>
      <c r="R31" s="2">
        <v>9.0</v>
      </c>
      <c r="S31" s="2">
        <v>12.0</v>
      </c>
      <c r="T31" s="2">
        <v>11.0</v>
      </c>
      <c r="U31" s="2">
        <v>15.0</v>
      </c>
      <c r="V31" s="2">
        <v>15.0</v>
      </c>
      <c r="W31" s="2">
        <v>20.0</v>
      </c>
      <c r="X31" s="2">
        <v>30.0</v>
      </c>
      <c r="Y31" s="2">
        <v>28.0</v>
      </c>
      <c r="Z31" s="2">
        <v>30.0</v>
      </c>
      <c r="AA31" s="2">
        <v>30.0</v>
      </c>
      <c r="AB31" s="2">
        <v>30.0</v>
      </c>
      <c r="AC31" s="2">
        <v>330.0</v>
      </c>
      <c r="AD31" s="3">
        <f t="shared" si="4"/>
        <v>9</v>
      </c>
    </row>
    <row r="32">
      <c r="A32" s="1" t="s">
        <v>128</v>
      </c>
      <c r="B32" s="1" t="s">
        <v>129</v>
      </c>
      <c r="C32" s="2" t="s">
        <v>130</v>
      </c>
      <c r="D32" s="2"/>
      <c r="E32" s="2">
        <v>14.0</v>
      </c>
      <c r="F32" s="2"/>
      <c r="G32" s="2">
        <v>5.0</v>
      </c>
      <c r="H32" s="2">
        <v>7.0</v>
      </c>
      <c r="I32" s="2">
        <v>16.0</v>
      </c>
      <c r="J32" s="3">
        <f t="shared" si="1"/>
        <v>4.777777778</v>
      </c>
      <c r="K32" s="2">
        <v>100.0</v>
      </c>
      <c r="L32" s="2">
        <v>80.0</v>
      </c>
      <c r="N32" s="3">
        <f t="shared" si="2"/>
        <v>80</v>
      </c>
      <c r="O32" s="2">
        <v>96.0</v>
      </c>
      <c r="P32" s="2">
        <f t="shared" si="3"/>
        <v>11.8</v>
      </c>
      <c r="Q32" s="2">
        <v>5.0</v>
      </c>
      <c r="R32" s="2">
        <v>3.0</v>
      </c>
      <c r="S32" s="2">
        <v>9.5</v>
      </c>
      <c r="T32" s="2">
        <v>0.0</v>
      </c>
      <c r="U32" s="2">
        <v>8.0</v>
      </c>
      <c r="V32" s="2">
        <v>9.0</v>
      </c>
      <c r="W32" s="2">
        <v>15.0</v>
      </c>
      <c r="X32" s="2">
        <v>24.0</v>
      </c>
      <c r="Y32" s="2">
        <v>28.0</v>
      </c>
      <c r="Z32" s="2">
        <v>29.0</v>
      </c>
      <c r="AA32" s="2">
        <v>29.0</v>
      </c>
      <c r="AB32" s="2">
        <v>50.0</v>
      </c>
      <c r="AC32" s="2">
        <v>350.0</v>
      </c>
      <c r="AD32" s="3">
        <f t="shared" si="4"/>
        <v>10</v>
      </c>
    </row>
    <row r="33">
      <c r="A33" s="1" t="s">
        <v>137</v>
      </c>
      <c r="B33" s="1" t="s">
        <v>138</v>
      </c>
      <c r="C33" s="2" t="s">
        <v>139</v>
      </c>
      <c r="D33" s="2"/>
      <c r="E33" s="2">
        <v>36.0</v>
      </c>
      <c r="F33" s="2"/>
      <c r="G33" s="2">
        <v>17.0</v>
      </c>
      <c r="H33" s="2">
        <v>18.0</v>
      </c>
      <c r="I33" s="2">
        <v>38.0</v>
      </c>
      <c r="J33" s="3">
        <f t="shared" si="1"/>
        <v>12.97222222</v>
      </c>
      <c r="K33" s="2">
        <v>100.0</v>
      </c>
      <c r="L33" s="2">
        <v>200.0</v>
      </c>
      <c r="N33" s="3">
        <f t="shared" si="2"/>
        <v>200</v>
      </c>
      <c r="O33" s="2">
        <v>96.0</v>
      </c>
      <c r="P33" s="2">
        <f t="shared" si="3"/>
        <v>14.8</v>
      </c>
      <c r="Q33" s="2">
        <v>7.0</v>
      </c>
      <c r="R33" s="2">
        <v>10.0</v>
      </c>
      <c r="S33" s="2">
        <v>9.0</v>
      </c>
      <c r="T33" s="2">
        <v>7.0</v>
      </c>
      <c r="U33" s="2">
        <v>12.0</v>
      </c>
      <c r="V33" s="2">
        <v>15.0</v>
      </c>
      <c r="W33" s="2">
        <v>20.0</v>
      </c>
      <c r="X33" s="2">
        <v>28.0</v>
      </c>
      <c r="Y33" s="2">
        <v>26.0</v>
      </c>
      <c r="Z33" s="2">
        <v>30.0</v>
      </c>
      <c r="AB33" s="2">
        <v>50.0</v>
      </c>
      <c r="AC33" s="2">
        <v>350.0</v>
      </c>
      <c r="AD33" s="3">
        <f t="shared" si="4"/>
        <v>10</v>
      </c>
    </row>
    <row r="34">
      <c r="A34" s="1" t="s">
        <v>146</v>
      </c>
      <c r="B34" s="1" t="s">
        <v>147</v>
      </c>
      <c r="C34" s="2" t="s">
        <v>148</v>
      </c>
      <c r="D34" s="2"/>
      <c r="E34" s="2">
        <v>33.0</v>
      </c>
      <c r="F34" s="2"/>
      <c r="G34" s="2">
        <v>7.0</v>
      </c>
      <c r="H34" s="2">
        <v>16.5</v>
      </c>
      <c r="J34" s="3">
        <f t="shared" si="1"/>
        <v>5.875</v>
      </c>
      <c r="K34" s="2">
        <v>100.0</v>
      </c>
      <c r="L34" s="2">
        <v>180.0</v>
      </c>
      <c r="M34" s="2">
        <v>195.0</v>
      </c>
      <c r="N34" s="3">
        <f t="shared" si="2"/>
        <v>195</v>
      </c>
      <c r="O34" s="2">
        <v>88.0</v>
      </c>
      <c r="P34" s="2">
        <f t="shared" si="3"/>
        <v>14.275</v>
      </c>
      <c r="Q34" s="2">
        <v>7.0</v>
      </c>
      <c r="R34" s="2">
        <v>8.0</v>
      </c>
      <c r="T34" s="2">
        <v>9.0</v>
      </c>
      <c r="U34" s="2">
        <v>15.0</v>
      </c>
      <c r="V34" s="2">
        <v>15.0</v>
      </c>
      <c r="W34" s="2">
        <v>18.0</v>
      </c>
      <c r="X34" s="2">
        <v>23.0</v>
      </c>
      <c r="Y34" s="2">
        <v>28.0</v>
      </c>
      <c r="Z34" s="2">
        <v>28.0</v>
      </c>
      <c r="AA34" s="2">
        <v>27.0</v>
      </c>
      <c r="AB34" s="2">
        <v>50.0</v>
      </c>
      <c r="AC34" s="2">
        <v>310.0</v>
      </c>
      <c r="AD34" s="3">
        <f t="shared" si="4"/>
        <v>9</v>
      </c>
    </row>
    <row r="35">
      <c r="A35" s="1" t="s">
        <v>149</v>
      </c>
      <c r="B35" s="1" t="s">
        <v>150</v>
      </c>
      <c r="C35" s="2" t="s">
        <v>151</v>
      </c>
      <c r="D35" s="2"/>
      <c r="E35" s="2">
        <v>26.0</v>
      </c>
      <c r="F35" s="2"/>
      <c r="G35" s="2">
        <v>2.0</v>
      </c>
      <c r="H35" s="2">
        <v>8.5</v>
      </c>
      <c r="I35" s="2">
        <v>32.0</v>
      </c>
      <c r="J35" s="3">
        <f t="shared" si="1"/>
        <v>6.180555556</v>
      </c>
      <c r="K35" s="2">
        <v>100.0</v>
      </c>
      <c r="L35" s="2">
        <v>174.0</v>
      </c>
      <c r="N35" s="3">
        <f t="shared" si="2"/>
        <v>174</v>
      </c>
      <c r="O35" s="2">
        <v>92.0</v>
      </c>
      <c r="P35" s="2">
        <f t="shared" si="3"/>
        <v>13.95</v>
      </c>
      <c r="Q35" s="2">
        <v>7.0</v>
      </c>
      <c r="R35" s="2">
        <v>3.0</v>
      </c>
      <c r="T35" s="2">
        <v>12.0</v>
      </c>
      <c r="U35" s="2">
        <v>15.0</v>
      </c>
      <c r="V35" s="2">
        <v>15.0</v>
      </c>
      <c r="W35" s="2">
        <v>20.0</v>
      </c>
      <c r="X35" s="2">
        <v>28.0</v>
      </c>
      <c r="Y35" s="2">
        <v>30.0</v>
      </c>
      <c r="Z35" s="2">
        <v>28.0</v>
      </c>
      <c r="AA35" s="2">
        <v>28.0</v>
      </c>
      <c r="AB35" s="2">
        <v>0.0</v>
      </c>
      <c r="AC35" s="2">
        <v>315.0</v>
      </c>
      <c r="AD35" s="3">
        <f t="shared" si="4"/>
        <v>7.875</v>
      </c>
    </row>
    <row r="36">
      <c r="A36" s="1" t="s">
        <v>155</v>
      </c>
      <c r="B36" s="1" t="s">
        <v>156</v>
      </c>
      <c r="C36" s="2" t="s">
        <v>157</v>
      </c>
      <c r="D36" s="2"/>
      <c r="E36" s="2">
        <v>36.0</v>
      </c>
      <c r="F36" s="2"/>
      <c r="G36" s="2">
        <v>12.0</v>
      </c>
      <c r="H36" s="2">
        <v>19.5</v>
      </c>
      <c r="I36" s="2">
        <v>35.0</v>
      </c>
      <c r="J36" s="3">
        <f t="shared" si="1"/>
        <v>11.76388889</v>
      </c>
      <c r="K36" s="2">
        <v>100.0</v>
      </c>
      <c r="L36" s="2">
        <v>192.0</v>
      </c>
      <c r="N36" s="3">
        <f t="shared" si="2"/>
        <v>192</v>
      </c>
      <c r="O36" s="2">
        <v>92.0</v>
      </c>
      <c r="P36" s="2">
        <f t="shared" si="3"/>
        <v>14.4</v>
      </c>
      <c r="Q36" s="2">
        <v>6.0</v>
      </c>
      <c r="R36" s="2">
        <v>9.0</v>
      </c>
      <c r="T36" s="2">
        <v>13.0</v>
      </c>
      <c r="U36" s="2">
        <v>15.0</v>
      </c>
      <c r="V36" s="2">
        <v>15.0</v>
      </c>
      <c r="W36" s="2">
        <v>20.0</v>
      </c>
      <c r="X36" s="2">
        <v>30.0</v>
      </c>
      <c r="Y36" s="2">
        <v>30.0</v>
      </c>
      <c r="Z36" s="2">
        <v>30.0</v>
      </c>
      <c r="AA36" s="2">
        <v>30.0</v>
      </c>
      <c r="AB36" s="2">
        <v>20.0</v>
      </c>
      <c r="AC36" s="2">
        <v>320.0</v>
      </c>
      <c r="AD36" s="3">
        <f t="shared" si="4"/>
        <v>8.5</v>
      </c>
    </row>
    <row r="37">
      <c r="A37" s="1" t="s">
        <v>158</v>
      </c>
      <c r="B37" s="1" t="s">
        <v>159</v>
      </c>
      <c r="C37" s="2" t="s">
        <v>160</v>
      </c>
      <c r="D37" s="2"/>
      <c r="E37" s="2">
        <v>29.0</v>
      </c>
      <c r="F37" s="2"/>
      <c r="G37" s="2">
        <v>16.0</v>
      </c>
      <c r="H37" s="2">
        <v>14.0</v>
      </c>
      <c r="I37" s="2">
        <v>25.0</v>
      </c>
      <c r="J37" s="3">
        <f t="shared" si="1"/>
        <v>10.27777778</v>
      </c>
      <c r="K37" s="2">
        <v>100.0</v>
      </c>
      <c r="L37" s="2">
        <v>170.0</v>
      </c>
      <c r="M37" s="2">
        <v>200.0</v>
      </c>
      <c r="N37" s="3">
        <f t="shared" si="2"/>
        <v>200</v>
      </c>
      <c r="O37" s="2">
        <v>90.0</v>
      </c>
      <c r="P37" s="2">
        <f t="shared" si="3"/>
        <v>14.5</v>
      </c>
      <c r="Q37" s="2">
        <v>6.0</v>
      </c>
      <c r="R37" s="2">
        <v>8.0</v>
      </c>
      <c r="T37" s="2">
        <v>11.0</v>
      </c>
      <c r="U37" s="2">
        <v>14.0</v>
      </c>
      <c r="W37" s="2">
        <v>18.0</v>
      </c>
      <c r="X37" s="2">
        <v>27.0</v>
      </c>
      <c r="Y37" s="2">
        <v>28.0</v>
      </c>
      <c r="Z37" s="2">
        <v>30.0</v>
      </c>
      <c r="AA37" s="2">
        <v>30.0</v>
      </c>
      <c r="AB37" s="2">
        <v>50.0</v>
      </c>
      <c r="AC37" s="2">
        <v>315.0</v>
      </c>
      <c r="AD37" s="3">
        <f t="shared" si="4"/>
        <v>9.125</v>
      </c>
    </row>
    <row r="38">
      <c r="A38" s="1" t="s">
        <v>161</v>
      </c>
      <c r="B38" s="1" t="s">
        <v>162</v>
      </c>
      <c r="C38" s="2" t="s">
        <v>163</v>
      </c>
      <c r="D38" s="2"/>
      <c r="E38" s="2">
        <v>21.0</v>
      </c>
      <c r="F38" s="2"/>
      <c r="G38" s="2">
        <v>11.0</v>
      </c>
      <c r="H38" s="2">
        <v>14.0</v>
      </c>
      <c r="I38" s="2">
        <v>8.0</v>
      </c>
      <c r="J38" s="3">
        <f t="shared" si="1"/>
        <v>7.138888889</v>
      </c>
      <c r="K38" s="2">
        <v>100.0</v>
      </c>
      <c r="L38" s="2">
        <v>189.0</v>
      </c>
      <c r="N38" s="3">
        <f t="shared" si="2"/>
        <v>189</v>
      </c>
      <c r="O38" s="2">
        <v>90.0</v>
      </c>
      <c r="P38" s="2">
        <f t="shared" si="3"/>
        <v>14.225</v>
      </c>
      <c r="Q38" s="2">
        <v>7.0</v>
      </c>
      <c r="R38" s="2">
        <v>6.0</v>
      </c>
      <c r="T38" s="2">
        <v>8.0</v>
      </c>
      <c r="U38" s="2">
        <v>13.0</v>
      </c>
      <c r="V38" s="2">
        <v>15.0</v>
      </c>
      <c r="W38" s="2">
        <v>20.0</v>
      </c>
      <c r="X38" s="2">
        <v>28.0</v>
      </c>
      <c r="Y38" s="2">
        <v>26.0</v>
      </c>
      <c r="Z38" s="2">
        <v>28.0</v>
      </c>
      <c r="AA38" s="2">
        <v>28.0</v>
      </c>
      <c r="AB38" s="2">
        <v>0.0</v>
      </c>
      <c r="AC38" s="2">
        <v>320.0</v>
      </c>
      <c r="AD38" s="3">
        <f t="shared" si="4"/>
        <v>8</v>
      </c>
    </row>
    <row r="39">
      <c r="A39" s="1" t="s">
        <v>170</v>
      </c>
      <c r="B39" s="1" t="s">
        <v>171</v>
      </c>
      <c r="C39" s="2" t="s">
        <v>172</v>
      </c>
      <c r="D39" s="2"/>
      <c r="E39" s="2">
        <v>21.0</v>
      </c>
      <c r="F39" s="2"/>
      <c r="G39" s="2">
        <v>9.5</v>
      </c>
      <c r="H39" s="2">
        <v>12.0</v>
      </c>
      <c r="I39" s="2">
        <v>30.0</v>
      </c>
      <c r="J39" s="3">
        <f t="shared" si="1"/>
        <v>8.708333333</v>
      </c>
      <c r="K39" s="2">
        <v>100.0</v>
      </c>
      <c r="L39" s="2">
        <v>100.0</v>
      </c>
      <c r="M39" s="2">
        <v>190.0</v>
      </c>
      <c r="N39" s="3">
        <f t="shared" si="2"/>
        <v>190</v>
      </c>
      <c r="P39" s="2">
        <f t="shared" si="3"/>
        <v>9.75</v>
      </c>
      <c r="Q39" s="2">
        <v>6.0</v>
      </c>
      <c r="R39" s="2">
        <v>2.0</v>
      </c>
      <c r="T39" s="2">
        <v>10.0</v>
      </c>
      <c r="V39" s="2">
        <v>10.0</v>
      </c>
      <c r="W39" s="2">
        <v>18.0</v>
      </c>
      <c r="AB39" s="2">
        <v>50.0</v>
      </c>
      <c r="AC39" s="2">
        <v>290.0</v>
      </c>
      <c r="AD39" s="3">
        <f t="shared" si="4"/>
        <v>8.5</v>
      </c>
    </row>
    <row r="40">
      <c r="A40" s="1" t="s">
        <v>173</v>
      </c>
      <c r="B40" s="1" t="s">
        <v>174</v>
      </c>
      <c r="C40" s="2" t="s">
        <v>175</v>
      </c>
      <c r="D40" s="2"/>
      <c r="E40" s="2">
        <v>38.0</v>
      </c>
      <c r="F40" s="2"/>
      <c r="G40" s="2">
        <v>6.0</v>
      </c>
      <c r="H40" s="2">
        <v>16.0</v>
      </c>
      <c r="I40" s="2">
        <v>33.0</v>
      </c>
      <c r="J40" s="3">
        <f t="shared" si="1"/>
        <v>9.166666667</v>
      </c>
      <c r="K40" s="2">
        <v>100.0</v>
      </c>
      <c r="L40" s="2">
        <v>186.0</v>
      </c>
      <c r="N40" s="3">
        <f t="shared" si="2"/>
        <v>186</v>
      </c>
      <c r="O40" s="2">
        <v>88.0</v>
      </c>
      <c r="P40" s="2">
        <f t="shared" si="3"/>
        <v>14.05</v>
      </c>
      <c r="Q40" s="2">
        <v>7.0</v>
      </c>
      <c r="R40" s="2">
        <v>6.0</v>
      </c>
      <c r="T40" s="2">
        <v>12.0</v>
      </c>
      <c r="U40" s="2">
        <v>14.0</v>
      </c>
      <c r="V40" s="2">
        <v>14.0</v>
      </c>
      <c r="W40" s="2">
        <v>16.0</v>
      </c>
      <c r="X40" s="2">
        <v>24.0</v>
      </c>
      <c r="Y40" s="2">
        <v>26.0</v>
      </c>
      <c r="Z40" s="2">
        <v>28.0</v>
      </c>
      <c r="AA40" s="2">
        <v>29.0</v>
      </c>
      <c r="AB40" s="2">
        <v>0.0</v>
      </c>
      <c r="AC40" s="2">
        <v>300.0</v>
      </c>
      <c r="AD40" s="3">
        <f t="shared" si="4"/>
        <v>7.5</v>
      </c>
    </row>
    <row r="41">
      <c r="A41" s="1" t="s">
        <v>176</v>
      </c>
      <c r="B41" s="1" t="s">
        <v>177</v>
      </c>
      <c r="C41" s="2" t="s">
        <v>178</v>
      </c>
      <c r="D41" s="2"/>
      <c r="E41" s="2">
        <v>37.0</v>
      </c>
      <c r="F41" s="2"/>
      <c r="G41" s="2">
        <v>14.0</v>
      </c>
      <c r="H41" s="2">
        <v>18.0</v>
      </c>
      <c r="J41" s="3">
        <f t="shared" si="1"/>
        <v>8</v>
      </c>
      <c r="K41" s="2">
        <v>100.0</v>
      </c>
      <c r="L41" s="2">
        <v>198.0</v>
      </c>
      <c r="N41" s="3">
        <f t="shared" si="2"/>
        <v>198</v>
      </c>
      <c r="O41" s="2">
        <v>94.0</v>
      </c>
      <c r="P41" s="2">
        <f t="shared" si="3"/>
        <v>14.65</v>
      </c>
      <c r="Q41" s="2">
        <v>6.0</v>
      </c>
      <c r="R41" s="2">
        <v>8.0</v>
      </c>
      <c r="T41" s="2">
        <v>11.0</v>
      </c>
      <c r="U41" s="2">
        <v>15.0</v>
      </c>
      <c r="V41" s="2">
        <v>15.0</v>
      </c>
      <c r="W41" s="2">
        <v>20.0</v>
      </c>
      <c r="X41" s="2">
        <v>28.0</v>
      </c>
      <c r="Y41" s="2">
        <v>25.0</v>
      </c>
      <c r="Z41" s="2">
        <v>30.0</v>
      </c>
      <c r="AA41" s="2">
        <v>30.0</v>
      </c>
      <c r="AB41" s="2">
        <v>50.0</v>
      </c>
      <c r="AC41" s="2">
        <v>325.0</v>
      </c>
      <c r="AD41" s="3">
        <f t="shared" si="4"/>
        <v>9.375</v>
      </c>
    </row>
    <row r="42">
      <c r="A42" s="1" t="s">
        <v>179</v>
      </c>
      <c r="B42" s="1" t="s">
        <v>180</v>
      </c>
      <c r="C42" s="2" t="s">
        <v>181</v>
      </c>
      <c r="D42" s="2"/>
      <c r="E42" s="2">
        <v>36.0</v>
      </c>
      <c r="F42" s="2"/>
      <c r="G42" s="2">
        <v>16.0</v>
      </c>
      <c r="H42" s="2">
        <v>17.0</v>
      </c>
      <c r="I42" s="2">
        <v>27.0</v>
      </c>
      <c r="J42" s="3">
        <f t="shared" si="1"/>
        <v>11.25</v>
      </c>
      <c r="K42" s="2">
        <v>100.0</v>
      </c>
      <c r="L42" s="2">
        <v>190.0</v>
      </c>
      <c r="N42" s="3">
        <f t="shared" si="2"/>
        <v>190</v>
      </c>
      <c r="O42" s="2">
        <v>92.0</v>
      </c>
      <c r="P42" s="2">
        <f t="shared" si="3"/>
        <v>14.35</v>
      </c>
      <c r="Q42" s="2">
        <v>7.0</v>
      </c>
      <c r="R42" s="2">
        <v>6.0</v>
      </c>
      <c r="T42" s="2">
        <v>9.0</v>
      </c>
      <c r="U42" s="2">
        <v>12.0</v>
      </c>
      <c r="V42" s="2">
        <v>15.0</v>
      </c>
      <c r="W42" s="2">
        <v>20.0</v>
      </c>
      <c r="X42" s="2">
        <v>26.0</v>
      </c>
      <c r="Y42" s="2">
        <v>24.0</v>
      </c>
      <c r="Z42" s="2">
        <v>29.0</v>
      </c>
      <c r="AA42" s="2">
        <v>29.0</v>
      </c>
      <c r="AB42" s="2">
        <v>50.0</v>
      </c>
      <c r="AC42" s="2">
        <v>310.0</v>
      </c>
      <c r="AD42" s="3">
        <f t="shared" si="4"/>
        <v>9</v>
      </c>
    </row>
    <row r="43">
      <c r="A43" s="1" t="s">
        <v>182</v>
      </c>
      <c r="B43" s="1" t="s">
        <v>183</v>
      </c>
      <c r="C43" s="2" t="s">
        <v>184</v>
      </c>
      <c r="D43" s="2"/>
      <c r="E43" s="2">
        <v>33.0</v>
      </c>
      <c r="F43" s="2"/>
      <c r="G43" s="2">
        <v>16.0</v>
      </c>
      <c r="H43" s="2">
        <v>19.0</v>
      </c>
      <c r="I43" s="2">
        <v>34.0</v>
      </c>
      <c r="J43" s="3">
        <f t="shared" si="1"/>
        <v>12.52777778</v>
      </c>
      <c r="K43" s="2">
        <v>100.0</v>
      </c>
      <c r="L43" s="2">
        <v>200.0</v>
      </c>
      <c r="N43" s="3">
        <f t="shared" si="2"/>
        <v>200</v>
      </c>
      <c r="O43" s="2">
        <v>95.0</v>
      </c>
      <c r="P43" s="2">
        <f t="shared" si="3"/>
        <v>14.75</v>
      </c>
      <c r="Q43" s="2">
        <v>6.0</v>
      </c>
      <c r="R43" s="2">
        <v>10.0</v>
      </c>
      <c r="T43" s="2">
        <v>13.0</v>
      </c>
      <c r="U43" s="2">
        <v>15.0</v>
      </c>
      <c r="V43" s="2">
        <v>14.0</v>
      </c>
      <c r="W43" s="2">
        <v>20.0</v>
      </c>
      <c r="X43" s="2">
        <v>28.0</v>
      </c>
      <c r="Y43" s="2">
        <v>30.0</v>
      </c>
      <c r="Z43" s="2">
        <v>30.0</v>
      </c>
      <c r="AA43" s="2">
        <v>30.0</v>
      </c>
      <c r="AB43" s="2">
        <v>30.0</v>
      </c>
      <c r="AC43" s="2">
        <v>340.0</v>
      </c>
      <c r="AD43" s="3">
        <f t="shared" si="4"/>
        <v>9.25</v>
      </c>
    </row>
    <row r="44">
      <c r="A44" s="1" t="s">
        <v>189</v>
      </c>
      <c r="B44" s="1" t="s">
        <v>190</v>
      </c>
      <c r="C44" s="2" t="s">
        <v>191</v>
      </c>
      <c r="D44" s="2"/>
      <c r="E44" s="2">
        <v>37.0</v>
      </c>
      <c r="F44" s="2"/>
      <c r="G44" s="2">
        <v>19.0</v>
      </c>
      <c r="H44" s="2">
        <v>17.0</v>
      </c>
      <c r="I44" s="2">
        <v>41.0</v>
      </c>
      <c r="J44" s="3">
        <f t="shared" si="1"/>
        <v>13.55555556</v>
      </c>
      <c r="K44" s="2">
        <v>100.0</v>
      </c>
      <c r="L44" s="2">
        <v>200.0</v>
      </c>
      <c r="N44" s="3">
        <f t="shared" si="2"/>
        <v>200</v>
      </c>
      <c r="O44" s="2">
        <v>93.0</v>
      </c>
      <c r="P44" s="2">
        <f t="shared" si="3"/>
        <v>14.65</v>
      </c>
      <c r="Q44" s="2">
        <v>7.0</v>
      </c>
      <c r="R44" s="2">
        <v>10.0</v>
      </c>
      <c r="T44" s="2">
        <v>7.0</v>
      </c>
      <c r="U44" s="2">
        <v>13.0</v>
      </c>
      <c r="V44" s="2">
        <v>14.0</v>
      </c>
      <c r="W44" s="2">
        <v>18.0</v>
      </c>
      <c r="X44" s="2">
        <v>24.0</v>
      </c>
      <c r="Y44" s="2">
        <v>26.0</v>
      </c>
      <c r="Z44" s="2">
        <v>29.0</v>
      </c>
      <c r="AA44" s="2">
        <v>28.0</v>
      </c>
      <c r="AB44" s="2">
        <v>30.0</v>
      </c>
      <c r="AC44" s="2">
        <v>290.0</v>
      </c>
      <c r="AD44" s="3">
        <f t="shared" si="4"/>
        <v>8</v>
      </c>
    </row>
    <row r="45">
      <c r="A45" s="1" t="s">
        <v>192</v>
      </c>
      <c r="B45" s="1" t="s">
        <v>193</v>
      </c>
      <c r="C45" s="2" t="s">
        <v>194</v>
      </c>
      <c r="D45" s="2"/>
      <c r="E45" s="2">
        <v>33.0</v>
      </c>
      <c r="F45" s="2"/>
      <c r="G45" s="2">
        <v>14.0</v>
      </c>
      <c r="H45" s="2">
        <v>16.0</v>
      </c>
      <c r="I45" s="2">
        <v>34.0</v>
      </c>
      <c r="J45" s="3">
        <f t="shared" si="1"/>
        <v>11.27777778</v>
      </c>
      <c r="K45" s="2">
        <v>100.0</v>
      </c>
      <c r="L45" s="2">
        <v>150.0</v>
      </c>
      <c r="M45" s="2">
        <v>190.0</v>
      </c>
      <c r="N45" s="3">
        <f t="shared" si="2"/>
        <v>190</v>
      </c>
      <c r="O45" s="2">
        <v>90.0</v>
      </c>
      <c r="P45" s="2">
        <f t="shared" si="3"/>
        <v>14.25</v>
      </c>
      <c r="Q45" s="2">
        <v>7.0</v>
      </c>
      <c r="R45" s="2">
        <v>5.0</v>
      </c>
      <c r="T45" s="2">
        <v>11.0</v>
      </c>
      <c r="U45" s="2">
        <v>15.0</v>
      </c>
      <c r="V45" s="2">
        <v>15.0</v>
      </c>
      <c r="W45" s="2">
        <v>18.0</v>
      </c>
      <c r="X45" s="2">
        <v>26.0</v>
      </c>
      <c r="Y45" s="2">
        <v>28.0</v>
      </c>
      <c r="Z45" s="2">
        <v>29.0</v>
      </c>
      <c r="AA45" s="2">
        <v>28.0</v>
      </c>
      <c r="AB45" s="2">
        <v>50.0</v>
      </c>
      <c r="AC45" s="2">
        <v>300.0</v>
      </c>
      <c r="AD45" s="3">
        <f t="shared" si="4"/>
        <v>8.75</v>
      </c>
    </row>
    <row r="46">
      <c r="A46" s="1" t="s">
        <v>195</v>
      </c>
      <c r="B46" s="1" t="s">
        <v>196</v>
      </c>
      <c r="C46" s="2" t="s">
        <v>197</v>
      </c>
      <c r="D46" s="2"/>
      <c r="E46" s="2">
        <v>40.0</v>
      </c>
      <c r="F46" s="2"/>
      <c r="G46" s="2">
        <v>15.0</v>
      </c>
      <c r="H46" s="2">
        <v>0.0</v>
      </c>
      <c r="I46" s="2">
        <v>41.0</v>
      </c>
      <c r="J46" s="3">
        <f t="shared" si="1"/>
        <v>8.305555556</v>
      </c>
      <c r="K46" s="2">
        <v>100.0</v>
      </c>
      <c r="L46" s="2">
        <v>195.0</v>
      </c>
      <c r="M46" s="2">
        <v>0.0</v>
      </c>
      <c r="N46" s="3">
        <f t="shared" si="2"/>
        <v>195</v>
      </c>
      <c r="O46" s="2">
        <v>98.0</v>
      </c>
      <c r="P46" s="2">
        <f t="shared" si="3"/>
        <v>14.775</v>
      </c>
      <c r="Q46" s="2">
        <v>6.0</v>
      </c>
      <c r="R46" s="2">
        <v>10.0</v>
      </c>
      <c r="T46" s="2">
        <v>13.0</v>
      </c>
      <c r="U46" s="2">
        <v>15.0</v>
      </c>
      <c r="V46" s="2">
        <v>15.0</v>
      </c>
      <c r="W46" s="2">
        <v>20.0</v>
      </c>
      <c r="X46" s="2">
        <v>28.0</v>
      </c>
      <c r="Y46" s="2">
        <v>30.0</v>
      </c>
      <c r="Z46" s="2">
        <v>28.0</v>
      </c>
      <c r="AA46" s="2">
        <v>29.0</v>
      </c>
      <c r="AB46" s="2">
        <v>50.0</v>
      </c>
      <c r="AC46" s="2">
        <v>330.0</v>
      </c>
      <c r="AD46" s="3">
        <f t="shared" si="4"/>
        <v>9.5</v>
      </c>
    </row>
    <row r="47">
      <c r="A47" s="1" t="s">
        <v>216</v>
      </c>
      <c r="B47" s="1" t="s">
        <v>217</v>
      </c>
      <c r="C47" s="2" t="s">
        <v>218</v>
      </c>
      <c r="D47" s="2"/>
      <c r="E47" s="2">
        <v>32.0</v>
      </c>
      <c r="F47" s="2"/>
      <c r="G47" s="2">
        <v>12.0</v>
      </c>
      <c r="H47" s="2">
        <v>14.0</v>
      </c>
      <c r="I47" s="2">
        <v>27.0</v>
      </c>
      <c r="J47" s="3">
        <f t="shared" si="1"/>
        <v>9.5</v>
      </c>
      <c r="K47" s="2">
        <v>93.0</v>
      </c>
      <c r="L47" s="2">
        <v>184.0</v>
      </c>
      <c r="N47" s="3">
        <f t="shared" si="2"/>
        <v>184</v>
      </c>
      <c r="O47" s="2">
        <v>100.0</v>
      </c>
      <c r="P47" s="2">
        <f t="shared" si="3"/>
        <v>14.25</v>
      </c>
      <c r="Q47" s="2">
        <v>7.0</v>
      </c>
      <c r="R47" s="2">
        <v>7.0</v>
      </c>
      <c r="S47" s="2">
        <v>12.0</v>
      </c>
      <c r="T47" s="2">
        <v>12.0</v>
      </c>
      <c r="U47" s="2">
        <v>14.0</v>
      </c>
      <c r="V47" s="2">
        <v>14.5</v>
      </c>
      <c r="W47" s="2">
        <v>18.0</v>
      </c>
      <c r="X47" s="2">
        <v>30.0</v>
      </c>
      <c r="Y47" s="2">
        <v>30.0</v>
      </c>
      <c r="Z47" s="2">
        <v>28.0</v>
      </c>
      <c r="AA47" s="2">
        <v>28.0</v>
      </c>
      <c r="AB47" s="2">
        <v>0.0</v>
      </c>
      <c r="AC47" s="2">
        <v>270.0</v>
      </c>
      <c r="AD47" s="3">
        <f t="shared" si="4"/>
        <v>6.75</v>
      </c>
    </row>
    <row r="48">
      <c r="A48" s="1" t="s">
        <v>235</v>
      </c>
      <c r="B48" s="1" t="s">
        <v>236</v>
      </c>
      <c r="C48" s="2" t="s">
        <v>237</v>
      </c>
      <c r="D48" s="2"/>
      <c r="E48" s="2">
        <v>31.0</v>
      </c>
      <c r="F48" s="2"/>
      <c r="G48" s="2">
        <v>14.0</v>
      </c>
      <c r="H48" s="2">
        <v>16.0</v>
      </c>
      <c r="I48" s="2">
        <v>28.0</v>
      </c>
      <c r="J48" s="3">
        <f t="shared" si="1"/>
        <v>10.61111111</v>
      </c>
      <c r="K48" s="2">
        <v>95.0</v>
      </c>
      <c r="L48" s="2">
        <v>174.0</v>
      </c>
      <c r="N48" s="3">
        <f t="shared" si="2"/>
        <v>174</v>
      </c>
      <c r="O48" s="2">
        <v>100.0</v>
      </c>
      <c r="P48" s="2">
        <f t="shared" si="3"/>
        <v>14.1</v>
      </c>
      <c r="Q48" s="2">
        <v>6.0</v>
      </c>
      <c r="R48" s="2">
        <v>6.0</v>
      </c>
      <c r="S48" s="2">
        <v>5.0</v>
      </c>
      <c r="T48" s="2">
        <v>4.0</v>
      </c>
      <c r="U48" s="2">
        <v>12.0</v>
      </c>
      <c r="V48" s="2">
        <v>13.0</v>
      </c>
      <c r="W48" s="2">
        <v>15.0</v>
      </c>
      <c r="X48" s="2">
        <v>26.0</v>
      </c>
      <c r="Y48" s="2">
        <v>24.0</v>
      </c>
      <c r="Z48" s="2">
        <v>27.0</v>
      </c>
      <c r="AA48" s="2">
        <v>28.0</v>
      </c>
      <c r="AB48" s="2">
        <v>30.0</v>
      </c>
      <c r="AC48" s="2">
        <v>200.0</v>
      </c>
      <c r="AD48" s="3">
        <f t="shared" si="4"/>
        <v>5.75</v>
      </c>
    </row>
    <row r="49">
      <c r="A49" s="1" t="s">
        <v>241</v>
      </c>
      <c r="B49" s="1" t="s">
        <v>242</v>
      </c>
      <c r="C49" s="2" t="s">
        <v>243</v>
      </c>
      <c r="D49" s="2"/>
      <c r="E49" s="2">
        <v>32.0</v>
      </c>
      <c r="F49" s="2"/>
      <c r="G49" s="2">
        <v>9.0</v>
      </c>
      <c r="H49" s="2">
        <v>17.5</v>
      </c>
      <c r="I49" s="2">
        <v>32.0</v>
      </c>
      <c r="J49" s="3">
        <f t="shared" si="1"/>
        <v>10.18055556</v>
      </c>
      <c r="K49" s="2">
        <v>95.0</v>
      </c>
      <c r="L49" s="2">
        <v>186.0</v>
      </c>
      <c r="N49" s="3">
        <f t="shared" si="2"/>
        <v>186</v>
      </c>
      <c r="O49" s="2">
        <v>95.0</v>
      </c>
      <c r="P49" s="2">
        <f t="shared" si="3"/>
        <v>14.15</v>
      </c>
      <c r="Q49" s="2">
        <v>7.0</v>
      </c>
      <c r="R49" s="2">
        <v>10.0</v>
      </c>
      <c r="S49" s="2">
        <v>9.0</v>
      </c>
      <c r="T49" s="2">
        <v>12.0</v>
      </c>
      <c r="U49" s="2">
        <v>14.0</v>
      </c>
      <c r="V49" s="2">
        <v>12.0</v>
      </c>
      <c r="W49" s="2">
        <v>18.0</v>
      </c>
      <c r="X49" s="2">
        <v>25.0</v>
      </c>
      <c r="Y49" s="2">
        <v>25.0</v>
      </c>
      <c r="Z49" s="2">
        <v>29.0</v>
      </c>
      <c r="AA49" s="2">
        <v>28.0</v>
      </c>
      <c r="AB49" s="2">
        <v>50.0</v>
      </c>
      <c r="AC49" s="2">
        <v>300.0</v>
      </c>
      <c r="AD49" s="3">
        <f t="shared" si="4"/>
        <v>8.75</v>
      </c>
    </row>
    <row r="50">
      <c r="A50" s="1" t="s">
        <v>250</v>
      </c>
      <c r="B50" s="1" t="s">
        <v>251</v>
      </c>
      <c r="C50" s="2" t="s">
        <v>252</v>
      </c>
      <c r="D50" s="2"/>
      <c r="E50" s="2">
        <v>28.0</v>
      </c>
      <c r="F50" s="2"/>
      <c r="G50" s="2">
        <v>6.0</v>
      </c>
      <c r="H50" s="2">
        <v>11.5</v>
      </c>
      <c r="I50" s="2">
        <v>23.0</v>
      </c>
      <c r="J50" s="3">
        <f t="shared" si="1"/>
        <v>6.930555556</v>
      </c>
      <c r="K50" s="2">
        <v>78.0</v>
      </c>
      <c r="L50" s="2">
        <v>170.0</v>
      </c>
      <c r="N50" s="3">
        <f t="shared" si="2"/>
        <v>170</v>
      </c>
      <c r="O50" s="2">
        <v>95.0</v>
      </c>
      <c r="P50" s="2">
        <f t="shared" si="3"/>
        <v>12.9</v>
      </c>
      <c r="Q50" s="2">
        <v>4.0</v>
      </c>
      <c r="R50" s="2">
        <v>8.0</v>
      </c>
      <c r="S50" s="2">
        <v>6.0</v>
      </c>
      <c r="T50" s="2">
        <v>10.0</v>
      </c>
      <c r="U50" s="2">
        <v>12.0</v>
      </c>
      <c r="V50" s="2">
        <v>14.0</v>
      </c>
      <c r="W50" s="2">
        <v>16.0</v>
      </c>
      <c r="X50" s="2">
        <v>27.0</v>
      </c>
      <c r="Y50" s="2">
        <v>28.0</v>
      </c>
      <c r="Z50" s="2">
        <v>27.0</v>
      </c>
      <c r="AA50" s="2">
        <v>28.0</v>
      </c>
      <c r="AB50" s="2">
        <v>20.0</v>
      </c>
      <c r="AC50" s="2">
        <v>270.0</v>
      </c>
      <c r="AD50" s="3">
        <f t="shared" si="4"/>
        <v>7.25</v>
      </c>
    </row>
    <row r="51">
      <c r="A51" s="1" t="s">
        <v>274</v>
      </c>
      <c r="B51" s="1" t="s">
        <v>275</v>
      </c>
      <c r="C51" s="2" t="s">
        <v>276</v>
      </c>
      <c r="D51" s="2"/>
      <c r="E51" s="2">
        <v>40.0</v>
      </c>
      <c r="F51" s="2"/>
      <c r="G51" s="2">
        <v>8.5</v>
      </c>
      <c r="H51" s="2">
        <v>16.5</v>
      </c>
      <c r="I51" s="2">
        <v>29.0</v>
      </c>
      <c r="J51" s="3">
        <f t="shared" si="1"/>
        <v>9.472222222</v>
      </c>
      <c r="K51" s="2">
        <v>100.0</v>
      </c>
      <c r="L51" s="2">
        <v>200.0</v>
      </c>
      <c r="N51" s="3">
        <f t="shared" si="2"/>
        <v>200</v>
      </c>
      <c r="O51" s="2">
        <v>90.0</v>
      </c>
      <c r="P51" s="2">
        <f t="shared" si="3"/>
        <v>14.5</v>
      </c>
      <c r="R51" s="2">
        <v>8.0</v>
      </c>
      <c r="S51" s="2">
        <v>12.0</v>
      </c>
      <c r="T51" s="2">
        <v>7.0</v>
      </c>
      <c r="U51" s="2">
        <v>15.0</v>
      </c>
      <c r="V51" s="2">
        <v>14.0</v>
      </c>
      <c r="W51" s="2">
        <v>20.0</v>
      </c>
      <c r="X51" s="2">
        <v>30.0</v>
      </c>
      <c r="Y51" s="2">
        <v>29.0</v>
      </c>
      <c r="Z51" s="2">
        <v>27.0</v>
      </c>
      <c r="AA51" s="2">
        <v>29.0</v>
      </c>
      <c r="AB51" s="2">
        <v>20.0</v>
      </c>
      <c r="AC51" s="2">
        <v>45.0</v>
      </c>
      <c r="AD51" s="3">
        <f t="shared" si="4"/>
        <v>1.625</v>
      </c>
    </row>
    <row r="52">
      <c r="A52" s="1" t="s">
        <v>280</v>
      </c>
      <c r="B52" s="1" t="s">
        <v>281</v>
      </c>
      <c r="C52" s="2" t="s">
        <v>282</v>
      </c>
      <c r="D52" s="2"/>
      <c r="E52" s="2">
        <v>26.0</v>
      </c>
      <c r="F52" s="2"/>
      <c r="G52" s="2">
        <v>11.0</v>
      </c>
      <c r="H52" s="2">
        <v>16.5</v>
      </c>
      <c r="I52" s="2">
        <v>33.0</v>
      </c>
      <c r="J52" s="3">
        <f t="shared" si="1"/>
        <v>10.54166667</v>
      </c>
      <c r="K52" s="2">
        <v>95.0</v>
      </c>
      <c r="L52" s="2">
        <v>196.0</v>
      </c>
      <c r="N52" s="3">
        <f t="shared" si="2"/>
        <v>196</v>
      </c>
      <c r="O52" s="2">
        <v>91.0</v>
      </c>
      <c r="P52" s="2">
        <f t="shared" si="3"/>
        <v>14.2</v>
      </c>
      <c r="Q52" s="2">
        <v>7.0</v>
      </c>
      <c r="R52" s="2">
        <v>7.0</v>
      </c>
      <c r="S52" s="2">
        <v>9.0</v>
      </c>
      <c r="T52" s="2">
        <v>8.0</v>
      </c>
      <c r="U52" s="2">
        <v>15.0</v>
      </c>
      <c r="V52" s="2">
        <v>15.0</v>
      </c>
      <c r="W52" s="2">
        <v>15.0</v>
      </c>
      <c r="X52" s="2">
        <v>29.0</v>
      </c>
      <c r="Y52" s="2">
        <v>22.0</v>
      </c>
      <c r="Z52" s="2">
        <v>29.0</v>
      </c>
      <c r="AA52" s="2">
        <v>28.0</v>
      </c>
      <c r="AB52" s="2">
        <v>30.0</v>
      </c>
      <c r="AC52" s="2">
        <v>310.0</v>
      </c>
      <c r="AD52" s="3">
        <f t="shared" si="4"/>
        <v>8.5</v>
      </c>
    </row>
    <row r="53">
      <c r="A53" s="1" t="s">
        <v>283</v>
      </c>
      <c r="B53" s="1" t="s">
        <v>284</v>
      </c>
      <c r="C53" s="2" t="s">
        <v>285</v>
      </c>
      <c r="D53" s="2"/>
      <c r="E53" s="2">
        <v>35.0</v>
      </c>
      <c r="F53" s="2"/>
      <c r="G53" s="2">
        <v>15.0</v>
      </c>
      <c r="H53" s="2">
        <v>18.5</v>
      </c>
      <c r="I53" s="2">
        <v>36.0</v>
      </c>
      <c r="J53" s="3">
        <f t="shared" si="1"/>
        <v>12.375</v>
      </c>
      <c r="K53" s="2">
        <v>90.0</v>
      </c>
      <c r="L53" s="2">
        <v>192.0</v>
      </c>
      <c r="N53" s="3">
        <f t="shared" si="2"/>
        <v>192</v>
      </c>
      <c r="O53" s="2">
        <v>93.0</v>
      </c>
      <c r="P53" s="2">
        <f t="shared" si="3"/>
        <v>13.95</v>
      </c>
      <c r="Q53" s="2">
        <v>7.0</v>
      </c>
      <c r="R53" s="2">
        <v>7.0</v>
      </c>
      <c r="S53" s="2">
        <v>0.0</v>
      </c>
      <c r="T53" s="2">
        <v>8.0</v>
      </c>
      <c r="U53" s="2">
        <v>13.0</v>
      </c>
      <c r="V53" s="2">
        <v>15.0</v>
      </c>
      <c r="W53" s="2">
        <v>20.0</v>
      </c>
      <c r="X53" s="2">
        <v>29.0</v>
      </c>
      <c r="Y53" s="2">
        <v>26.0</v>
      </c>
      <c r="Z53" s="2">
        <v>29.0</v>
      </c>
      <c r="AA53" s="2">
        <v>29.0</v>
      </c>
      <c r="AB53" s="2">
        <v>50.0</v>
      </c>
      <c r="AC53" s="2">
        <v>330.0</v>
      </c>
      <c r="AD53" s="3">
        <f t="shared" si="4"/>
        <v>9.5</v>
      </c>
    </row>
    <row r="54">
      <c r="A54" s="1" t="s">
        <v>300</v>
      </c>
      <c r="B54" s="1" t="s">
        <v>301</v>
      </c>
      <c r="C54" s="2" t="s">
        <v>302</v>
      </c>
      <c r="D54" s="2"/>
      <c r="E54" s="2">
        <v>34.0</v>
      </c>
      <c r="F54" s="2"/>
      <c r="G54" s="2">
        <v>10.0</v>
      </c>
      <c r="H54" s="2">
        <v>12.5</v>
      </c>
      <c r="I54" s="2">
        <v>17.5</v>
      </c>
      <c r="J54" s="3">
        <f t="shared" si="1"/>
        <v>7.569444444</v>
      </c>
      <c r="K54" s="2">
        <v>90.0</v>
      </c>
      <c r="L54" s="2">
        <v>174.0</v>
      </c>
      <c r="N54" s="3">
        <f t="shared" si="2"/>
        <v>174</v>
      </c>
      <c r="O54" s="2">
        <v>90.0</v>
      </c>
      <c r="P54" s="2">
        <f t="shared" si="3"/>
        <v>13.35</v>
      </c>
      <c r="Q54" s="2">
        <v>6.0</v>
      </c>
      <c r="R54" s="2">
        <v>9.0</v>
      </c>
      <c r="S54" s="2">
        <v>7.0</v>
      </c>
      <c r="T54" s="2">
        <v>7.0</v>
      </c>
      <c r="U54" s="2">
        <v>15.0</v>
      </c>
      <c r="V54" s="2">
        <v>15.0</v>
      </c>
      <c r="W54" s="2">
        <v>20.0</v>
      </c>
      <c r="X54" s="2">
        <v>28.0</v>
      </c>
      <c r="Y54" s="2">
        <v>29.0</v>
      </c>
      <c r="Z54" s="2">
        <v>29.0</v>
      </c>
      <c r="AA54" s="2">
        <v>29.0</v>
      </c>
      <c r="AB54" s="2">
        <v>50.0</v>
      </c>
      <c r="AC54" s="2">
        <v>335.0</v>
      </c>
      <c r="AD54" s="3">
        <f t="shared" si="4"/>
        <v>9.625</v>
      </c>
    </row>
    <row r="55">
      <c r="A55" s="1" t="s">
        <v>306</v>
      </c>
      <c r="B55" s="1" t="s">
        <v>307</v>
      </c>
      <c r="C55" s="2" t="s">
        <v>308</v>
      </c>
      <c r="D55" s="2"/>
      <c r="E55" s="2">
        <v>37.0</v>
      </c>
      <c r="F55" s="2"/>
      <c r="G55" s="2">
        <v>16.0</v>
      </c>
      <c r="H55" s="2">
        <v>14.5</v>
      </c>
      <c r="I55" s="2">
        <v>33.5</v>
      </c>
      <c r="J55" s="3">
        <f t="shared" si="1"/>
        <v>11.34722222</v>
      </c>
      <c r="K55" s="2">
        <v>85.0</v>
      </c>
      <c r="L55" s="2">
        <v>194.0</v>
      </c>
      <c r="N55" s="3">
        <f t="shared" si="2"/>
        <v>194</v>
      </c>
      <c r="O55" s="2">
        <v>88.0</v>
      </c>
      <c r="P55" s="2">
        <f t="shared" si="3"/>
        <v>13.5</v>
      </c>
      <c r="Q55" s="2">
        <v>7.0</v>
      </c>
      <c r="R55" s="2">
        <v>7.0</v>
      </c>
      <c r="S55" s="2">
        <v>13.0</v>
      </c>
      <c r="T55" s="2">
        <v>12.0</v>
      </c>
      <c r="U55" s="2">
        <v>13.0</v>
      </c>
      <c r="V55" s="2">
        <v>12.0</v>
      </c>
      <c r="W55" s="2">
        <v>19.0</v>
      </c>
      <c r="X55" s="2">
        <v>29.0</v>
      </c>
      <c r="Y55" s="2">
        <v>26.0</v>
      </c>
      <c r="Z55" s="2">
        <v>29.0</v>
      </c>
      <c r="AA55" s="2">
        <v>29.0</v>
      </c>
      <c r="AB55" s="2">
        <v>50.0</v>
      </c>
      <c r="AC55" s="2">
        <v>330.0</v>
      </c>
      <c r="AD55" s="3">
        <f t="shared" si="4"/>
        <v>9.5</v>
      </c>
    </row>
    <row r="56">
      <c r="A56" s="1" t="s">
        <v>309</v>
      </c>
      <c r="B56" s="1" t="s">
        <v>310</v>
      </c>
      <c r="C56" s="2" t="s">
        <v>311</v>
      </c>
      <c r="D56" s="2"/>
      <c r="E56" s="2">
        <v>3.0</v>
      </c>
      <c r="H56" s="2">
        <v>11.0</v>
      </c>
      <c r="I56" s="2">
        <v>10.0</v>
      </c>
      <c r="J56" s="3">
        <f t="shared" si="1"/>
        <v>3.861111111</v>
      </c>
      <c r="K56" s="2">
        <v>100.0</v>
      </c>
      <c r="L56" s="2">
        <v>100.0</v>
      </c>
      <c r="N56" s="3">
        <f t="shared" si="2"/>
        <v>100</v>
      </c>
      <c r="O56" s="2">
        <v>80.0</v>
      </c>
      <c r="P56" s="2">
        <f t="shared" si="3"/>
        <v>11.5</v>
      </c>
      <c r="Q56" s="2">
        <v>7.0</v>
      </c>
      <c r="R56" s="2">
        <v>4.0</v>
      </c>
      <c r="S56" s="2">
        <v>8.0</v>
      </c>
      <c r="T56" s="2">
        <v>7.0</v>
      </c>
      <c r="U56" s="2">
        <v>15.0</v>
      </c>
      <c r="V56" s="2">
        <v>15.0</v>
      </c>
      <c r="W56" s="2">
        <v>19.0</v>
      </c>
      <c r="X56" s="2">
        <v>0.0</v>
      </c>
      <c r="Y56" s="2">
        <v>0.0</v>
      </c>
      <c r="Z56" s="2">
        <v>30.0</v>
      </c>
      <c r="AA56" s="2">
        <v>28.0</v>
      </c>
      <c r="AB56" s="2">
        <v>30.0</v>
      </c>
      <c r="AC56" s="2">
        <v>335.0</v>
      </c>
      <c r="AD56" s="3">
        <f t="shared" si="4"/>
        <v>9.125</v>
      </c>
    </row>
    <row r="57">
      <c r="A57" s="1" t="s">
        <v>318</v>
      </c>
      <c r="B57" s="1" t="s">
        <v>319</v>
      </c>
      <c r="C57" s="2" t="s">
        <v>320</v>
      </c>
      <c r="D57" s="2"/>
      <c r="E57" s="2">
        <v>26.0</v>
      </c>
      <c r="F57" s="2"/>
      <c r="G57" s="2">
        <v>12.0</v>
      </c>
      <c r="H57" s="2">
        <v>12.0</v>
      </c>
      <c r="I57" s="2">
        <v>30.0</v>
      </c>
      <c r="J57" s="3">
        <f t="shared" si="1"/>
        <v>9.333333333</v>
      </c>
      <c r="K57" s="2">
        <v>85.0</v>
      </c>
      <c r="L57" s="2">
        <v>200.0</v>
      </c>
      <c r="N57" s="3">
        <f t="shared" si="2"/>
        <v>200</v>
      </c>
      <c r="O57" s="2">
        <v>90.0</v>
      </c>
      <c r="P57" s="2">
        <f t="shared" si="3"/>
        <v>13.75</v>
      </c>
      <c r="Q57" s="2">
        <v>6.0</v>
      </c>
      <c r="R57" s="2">
        <v>3.0</v>
      </c>
      <c r="S57" s="2">
        <v>12.0</v>
      </c>
      <c r="T57" s="2">
        <v>11.0</v>
      </c>
      <c r="U57" s="2">
        <v>10.0</v>
      </c>
      <c r="V57" s="2">
        <v>0.0</v>
      </c>
      <c r="W57" s="2">
        <v>14.0</v>
      </c>
      <c r="X57" s="2">
        <v>26.0</v>
      </c>
      <c r="Y57" s="2">
        <v>28.0</v>
      </c>
      <c r="Z57" s="2">
        <v>28.0</v>
      </c>
      <c r="AA57" s="2">
        <v>28.0</v>
      </c>
      <c r="AB57" s="2">
        <v>0.0</v>
      </c>
      <c r="AC57" s="2">
        <v>310.0</v>
      </c>
      <c r="AD57" s="3">
        <f t="shared" si="4"/>
        <v>7.75</v>
      </c>
    </row>
    <row r="58">
      <c r="A58" s="1" t="s">
        <v>321</v>
      </c>
      <c r="B58" s="1" t="s">
        <v>322</v>
      </c>
      <c r="C58" s="2" t="s">
        <v>323</v>
      </c>
      <c r="D58" s="2"/>
      <c r="E58" s="2">
        <v>13.0</v>
      </c>
      <c r="F58" s="2"/>
      <c r="G58" s="2">
        <v>10.0</v>
      </c>
      <c r="H58" s="2">
        <v>5.0</v>
      </c>
      <c r="I58" s="2">
        <v>15.5</v>
      </c>
      <c r="J58" s="3">
        <f t="shared" si="1"/>
        <v>5.472222222</v>
      </c>
      <c r="K58" s="2">
        <v>80.0</v>
      </c>
      <c r="L58" s="2">
        <v>0.0</v>
      </c>
      <c r="M58" s="2">
        <v>175.0</v>
      </c>
      <c r="N58" s="3">
        <f t="shared" si="2"/>
        <v>175</v>
      </c>
      <c r="O58" s="2">
        <v>92.0</v>
      </c>
      <c r="P58" s="2">
        <f t="shared" si="3"/>
        <v>12.975</v>
      </c>
      <c r="Q58" s="2">
        <v>5.0</v>
      </c>
      <c r="R58" s="2">
        <v>4.0</v>
      </c>
      <c r="S58" s="2">
        <v>7.0</v>
      </c>
      <c r="T58" s="2">
        <v>11.0</v>
      </c>
      <c r="U58" s="2">
        <v>14.0</v>
      </c>
      <c r="V58" s="2">
        <v>13.0</v>
      </c>
      <c r="W58" s="2">
        <v>14.0</v>
      </c>
      <c r="X58" s="2">
        <v>29.0</v>
      </c>
      <c r="Y58" s="2">
        <v>25.0</v>
      </c>
      <c r="Z58" s="2">
        <v>28.0</v>
      </c>
      <c r="AA58" s="2">
        <v>28.0</v>
      </c>
      <c r="AB58" s="2">
        <v>50.0</v>
      </c>
      <c r="AC58" s="2">
        <v>330.0</v>
      </c>
      <c r="AD58" s="3">
        <f t="shared" si="4"/>
        <v>9.5</v>
      </c>
    </row>
    <row r="59">
      <c r="A59" s="1" t="s">
        <v>324</v>
      </c>
      <c r="B59" s="1" t="s">
        <v>325</v>
      </c>
      <c r="C59" s="2" t="s">
        <v>326</v>
      </c>
      <c r="D59" s="2"/>
      <c r="E59" s="2">
        <v>18.0</v>
      </c>
      <c r="F59" s="2"/>
      <c r="G59" s="2">
        <v>7.0</v>
      </c>
      <c r="H59" s="2">
        <v>10.5</v>
      </c>
      <c r="I59" s="2">
        <v>17.5</v>
      </c>
      <c r="J59" s="3">
        <f t="shared" si="1"/>
        <v>6.319444444</v>
      </c>
      <c r="K59" s="2">
        <v>90.0</v>
      </c>
      <c r="L59" s="2">
        <v>175.0</v>
      </c>
      <c r="N59" s="3">
        <f t="shared" si="2"/>
        <v>175</v>
      </c>
      <c r="O59" s="2">
        <v>89.0</v>
      </c>
      <c r="P59" s="2">
        <f t="shared" si="3"/>
        <v>13.325</v>
      </c>
      <c r="R59" s="2">
        <v>3.0</v>
      </c>
      <c r="S59" s="2">
        <v>8.0</v>
      </c>
      <c r="T59" s="2">
        <v>7.0</v>
      </c>
      <c r="U59" s="2">
        <v>12.0</v>
      </c>
      <c r="V59" s="2">
        <v>13.0</v>
      </c>
      <c r="W59" s="2">
        <v>19.0</v>
      </c>
      <c r="X59" s="2">
        <v>22.0</v>
      </c>
      <c r="Y59" s="2">
        <v>23.0</v>
      </c>
      <c r="Z59" s="2">
        <v>28.0</v>
      </c>
      <c r="AA59" s="2">
        <v>29.0</v>
      </c>
      <c r="AB59" s="2">
        <v>50.0</v>
      </c>
      <c r="AC59" s="2">
        <v>325.0</v>
      </c>
      <c r="AD59" s="3">
        <f t="shared" si="4"/>
        <v>9.375</v>
      </c>
    </row>
    <row r="60">
      <c r="A60" s="1" t="s">
        <v>327</v>
      </c>
      <c r="B60" s="1" t="s">
        <v>328</v>
      </c>
      <c r="C60" s="2" t="s">
        <v>329</v>
      </c>
      <c r="D60" s="2"/>
      <c r="E60" s="2">
        <v>20.0</v>
      </c>
      <c r="F60" s="2"/>
      <c r="G60" s="2">
        <v>4.0</v>
      </c>
      <c r="H60" s="2">
        <v>8.5</v>
      </c>
      <c r="I60" s="2">
        <v>20.5</v>
      </c>
      <c r="J60" s="3">
        <f t="shared" si="1"/>
        <v>5.402777778</v>
      </c>
      <c r="K60" s="2">
        <v>70.0</v>
      </c>
      <c r="L60" s="2">
        <v>185.0</v>
      </c>
      <c r="N60" s="3">
        <f t="shared" si="2"/>
        <v>185</v>
      </c>
      <c r="O60" s="2">
        <v>91.0</v>
      </c>
      <c r="P60" s="2">
        <f t="shared" si="3"/>
        <v>12.675</v>
      </c>
      <c r="Q60" s="2">
        <v>6.0</v>
      </c>
      <c r="R60" s="2">
        <v>8.0</v>
      </c>
      <c r="S60" s="2">
        <v>9.0</v>
      </c>
      <c r="T60" s="2">
        <v>7.0</v>
      </c>
      <c r="V60" s="2">
        <v>15.0</v>
      </c>
      <c r="W60" s="2">
        <v>18.0</v>
      </c>
      <c r="X60" s="2">
        <v>29.0</v>
      </c>
      <c r="Y60" s="2">
        <v>20.0</v>
      </c>
      <c r="Z60" s="2">
        <v>29.0</v>
      </c>
      <c r="AA60" s="2">
        <v>28.0</v>
      </c>
      <c r="AB60" s="2">
        <v>50.0</v>
      </c>
      <c r="AC60" s="2">
        <v>325.0</v>
      </c>
      <c r="AD60" s="3">
        <f t="shared" si="4"/>
        <v>9.375</v>
      </c>
    </row>
    <row r="61">
      <c r="A61" s="1" t="s">
        <v>348</v>
      </c>
      <c r="B61" s="1" t="s">
        <v>349</v>
      </c>
      <c r="C61" s="2" t="s">
        <v>350</v>
      </c>
      <c r="D61" s="2"/>
      <c r="E61" s="2">
        <v>24.0</v>
      </c>
      <c r="F61" s="2"/>
      <c r="G61" s="2">
        <v>3.5</v>
      </c>
      <c r="H61" s="2">
        <v>10.0</v>
      </c>
      <c r="I61" s="2">
        <v>23.0</v>
      </c>
      <c r="J61" s="3">
        <f t="shared" si="1"/>
        <v>5.930555556</v>
      </c>
      <c r="K61" s="2">
        <v>100.0</v>
      </c>
      <c r="L61" s="2">
        <v>200.0</v>
      </c>
      <c r="N61" s="3">
        <f t="shared" si="2"/>
        <v>200</v>
      </c>
      <c r="O61" s="2">
        <v>100.0</v>
      </c>
      <c r="P61" s="2">
        <f t="shared" si="3"/>
        <v>15</v>
      </c>
      <c r="Q61" s="2">
        <v>7.0</v>
      </c>
      <c r="R61" s="2">
        <v>8.0</v>
      </c>
      <c r="S61" s="2">
        <v>15.0</v>
      </c>
      <c r="T61" s="2">
        <v>14.0</v>
      </c>
      <c r="U61" s="2">
        <v>14.0</v>
      </c>
      <c r="V61" s="2">
        <v>14.0</v>
      </c>
      <c r="W61" s="2">
        <v>20.0</v>
      </c>
      <c r="X61" s="2">
        <v>30.0</v>
      </c>
      <c r="Y61" s="2">
        <v>30.0</v>
      </c>
      <c r="Z61" s="2">
        <v>29.0</v>
      </c>
      <c r="AA61" s="2">
        <v>30.0</v>
      </c>
      <c r="AB61" s="2">
        <v>50.0</v>
      </c>
      <c r="AC61" s="2">
        <v>350.0</v>
      </c>
      <c r="AD61" s="3">
        <f t="shared" si="4"/>
        <v>10</v>
      </c>
    </row>
    <row r="62">
      <c r="A62" s="1" t="s">
        <v>354</v>
      </c>
      <c r="B62" s="1" t="s">
        <v>355</v>
      </c>
      <c r="C62" s="2" t="s">
        <v>356</v>
      </c>
      <c r="D62" s="2"/>
      <c r="E62" s="2">
        <v>33.0</v>
      </c>
      <c r="F62" s="2"/>
      <c r="G62" s="2">
        <v>9.0</v>
      </c>
      <c r="H62" s="2">
        <v>16.0</v>
      </c>
      <c r="I62" s="2">
        <v>37.0</v>
      </c>
      <c r="J62" s="3">
        <f t="shared" si="1"/>
        <v>10.36111111</v>
      </c>
      <c r="K62" s="2">
        <v>100.0</v>
      </c>
      <c r="L62" s="2">
        <v>200.0</v>
      </c>
      <c r="N62" s="3">
        <f t="shared" si="2"/>
        <v>200</v>
      </c>
      <c r="O62" s="2">
        <v>100.0</v>
      </c>
      <c r="P62" s="2">
        <f t="shared" si="3"/>
        <v>15</v>
      </c>
      <c r="Q62" s="2">
        <v>6.0</v>
      </c>
      <c r="R62" s="2">
        <v>4.0</v>
      </c>
      <c r="S62" s="2">
        <v>15.0</v>
      </c>
      <c r="T62" s="2">
        <v>14.0</v>
      </c>
      <c r="U62" s="2">
        <v>14.0</v>
      </c>
      <c r="V62" s="2">
        <v>14.0</v>
      </c>
      <c r="W62" s="2">
        <v>20.0</v>
      </c>
      <c r="X62" s="2">
        <v>30.0</v>
      </c>
      <c r="Y62" s="2">
        <v>30.0</v>
      </c>
      <c r="Z62" s="2">
        <v>30.0</v>
      </c>
      <c r="AA62" s="2">
        <v>30.0</v>
      </c>
      <c r="AB62" s="2">
        <v>50.0</v>
      </c>
      <c r="AC62" s="2">
        <v>350.0</v>
      </c>
      <c r="AD62" s="3">
        <f t="shared" si="4"/>
        <v>10</v>
      </c>
    </row>
    <row r="63">
      <c r="A63" s="1" t="s">
        <v>363</v>
      </c>
      <c r="B63" s="1" t="s">
        <v>364</v>
      </c>
      <c r="C63" s="2" t="s">
        <v>365</v>
      </c>
      <c r="D63" s="2"/>
      <c r="E63" s="2">
        <v>13.0</v>
      </c>
      <c r="F63" s="2"/>
      <c r="G63" s="2">
        <v>10.0</v>
      </c>
      <c r="H63" s="2">
        <v>10.0</v>
      </c>
      <c r="I63" s="2">
        <v>22.0</v>
      </c>
      <c r="J63" s="3">
        <f t="shared" si="1"/>
        <v>7.444444444</v>
      </c>
      <c r="K63" s="2">
        <v>95.0</v>
      </c>
      <c r="L63" s="2">
        <v>100.0</v>
      </c>
      <c r="N63" s="3">
        <f t="shared" si="2"/>
        <v>100</v>
      </c>
      <c r="O63" s="2">
        <v>96.0</v>
      </c>
      <c r="P63" s="2">
        <f t="shared" si="3"/>
        <v>12.05</v>
      </c>
      <c r="Q63" s="2">
        <v>5.0</v>
      </c>
      <c r="R63" s="2">
        <v>3.0</v>
      </c>
      <c r="S63" s="2">
        <v>13.0</v>
      </c>
      <c r="T63" s="2">
        <v>12.0</v>
      </c>
      <c r="U63" s="2">
        <v>13.0</v>
      </c>
      <c r="V63" s="2">
        <v>12.0</v>
      </c>
      <c r="W63" s="2">
        <v>17.0</v>
      </c>
      <c r="X63" s="2">
        <v>30.0</v>
      </c>
      <c r="Y63" s="2">
        <v>25.0</v>
      </c>
      <c r="Z63" s="2">
        <v>30.0</v>
      </c>
      <c r="AA63" s="2">
        <v>28.0</v>
      </c>
      <c r="AB63" s="2">
        <v>50.0</v>
      </c>
      <c r="AC63" s="2">
        <v>330.0</v>
      </c>
      <c r="AD63" s="3">
        <f t="shared" si="4"/>
        <v>9.5</v>
      </c>
    </row>
    <row r="64">
      <c r="A64" s="1" t="s">
        <v>366</v>
      </c>
      <c r="B64" s="1" t="s">
        <v>367</v>
      </c>
      <c r="C64" s="2" t="s">
        <v>368</v>
      </c>
      <c r="D64" s="2"/>
      <c r="E64" s="2">
        <v>33.0</v>
      </c>
      <c r="F64" s="2"/>
      <c r="G64" s="2">
        <v>15.0</v>
      </c>
      <c r="H64" s="2">
        <v>10.0</v>
      </c>
      <c r="I64" s="2">
        <v>39.0</v>
      </c>
      <c r="J64" s="3">
        <f t="shared" si="1"/>
        <v>10.58333333</v>
      </c>
      <c r="K64" s="2">
        <v>100.0</v>
      </c>
      <c r="L64" s="2">
        <v>190.0</v>
      </c>
      <c r="N64" s="3">
        <f t="shared" si="2"/>
        <v>190</v>
      </c>
      <c r="O64" s="2">
        <v>100.0</v>
      </c>
      <c r="P64" s="2">
        <f t="shared" si="3"/>
        <v>14.75</v>
      </c>
      <c r="Q64" s="2">
        <v>7.0</v>
      </c>
      <c r="R64" s="2">
        <v>8.0</v>
      </c>
      <c r="S64" s="2">
        <v>15.0</v>
      </c>
      <c r="T64" s="2">
        <v>13.0</v>
      </c>
      <c r="U64" s="2">
        <v>14.0</v>
      </c>
      <c r="V64" s="2">
        <v>14.0</v>
      </c>
      <c r="W64" s="2">
        <v>20.0</v>
      </c>
      <c r="X64" s="2">
        <v>30.0</v>
      </c>
      <c r="Y64" s="2">
        <v>30.0</v>
      </c>
      <c r="Z64" s="2">
        <v>29.0</v>
      </c>
      <c r="AA64" s="2">
        <v>30.0</v>
      </c>
      <c r="AB64" s="2">
        <v>50.0</v>
      </c>
      <c r="AC64" s="2">
        <v>350.0</v>
      </c>
      <c r="AD64" s="3">
        <f t="shared" si="4"/>
        <v>10</v>
      </c>
    </row>
    <row r="65">
      <c r="A65" s="1" t="s">
        <v>369</v>
      </c>
      <c r="B65" s="1" t="s">
        <v>370</v>
      </c>
      <c r="C65" s="2" t="s">
        <v>371</v>
      </c>
      <c r="D65" s="2"/>
      <c r="E65" s="2">
        <v>35.0</v>
      </c>
      <c r="F65" s="2"/>
      <c r="G65" s="2">
        <v>12.0</v>
      </c>
      <c r="H65" s="2">
        <v>10.0</v>
      </c>
      <c r="I65" s="2">
        <v>42.0</v>
      </c>
      <c r="J65" s="3">
        <f t="shared" si="1"/>
        <v>10.16666667</v>
      </c>
      <c r="K65" s="2">
        <v>100.0</v>
      </c>
      <c r="L65" s="2">
        <v>200.0</v>
      </c>
      <c r="N65" s="3">
        <f t="shared" si="2"/>
        <v>200</v>
      </c>
      <c r="O65" s="2">
        <v>100.0</v>
      </c>
      <c r="P65" s="2">
        <f t="shared" si="3"/>
        <v>15</v>
      </c>
      <c r="Q65" s="2">
        <v>7.0</v>
      </c>
      <c r="R65" s="2">
        <v>8.0</v>
      </c>
      <c r="S65" s="2">
        <v>15.0</v>
      </c>
      <c r="T65" s="2">
        <v>14.0</v>
      </c>
      <c r="U65" s="2">
        <v>15.0</v>
      </c>
      <c r="V65" s="2">
        <v>14.0</v>
      </c>
      <c r="W65" s="2">
        <v>20.0</v>
      </c>
      <c r="X65" s="2">
        <v>30.0</v>
      </c>
      <c r="Y65" s="2">
        <v>30.0</v>
      </c>
      <c r="Z65" s="2">
        <v>30.0</v>
      </c>
      <c r="AA65" s="2">
        <v>29.0</v>
      </c>
      <c r="AB65" s="2">
        <v>50.0</v>
      </c>
      <c r="AC65" s="2">
        <v>350.0</v>
      </c>
      <c r="AD65" s="3">
        <f t="shared" si="4"/>
        <v>10</v>
      </c>
    </row>
    <row r="66">
      <c r="A66" s="1" t="s">
        <v>378</v>
      </c>
      <c r="B66" s="1" t="s">
        <v>379</v>
      </c>
      <c r="C66" s="2" t="s">
        <v>380</v>
      </c>
      <c r="D66" s="2"/>
      <c r="E66" s="2">
        <v>28.0</v>
      </c>
      <c r="F66" s="2"/>
      <c r="G66" s="2">
        <v>16.0</v>
      </c>
      <c r="H66" s="2">
        <v>10.0</v>
      </c>
      <c r="I66" s="2">
        <v>32.0</v>
      </c>
      <c r="J66" s="3">
        <f t="shared" si="1"/>
        <v>10.05555556</v>
      </c>
      <c r="K66" s="2">
        <v>100.0</v>
      </c>
      <c r="L66" s="2">
        <v>190.0</v>
      </c>
      <c r="N66" s="3">
        <f t="shared" si="2"/>
        <v>190</v>
      </c>
      <c r="O66" s="2">
        <v>100.0</v>
      </c>
      <c r="P66" s="2">
        <f t="shared" si="3"/>
        <v>14.75</v>
      </c>
      <c r="Q66" s="2">
        <v>6.0</v>
      </c>
      <c r="R66" s="2">
        <v>8.0</v>
      </c>
      <c r="S66" s="2">
        <v>15.0</v>
      </c>
      <c r="T66" s="2">
        <v>12.0</v>
      </c>
      <c r="U66" s="2">
        <v>15.0</v>
      </c>
      <c r="V66" s="2">
        <v>14.0</v>
      </c>
      <c r="W66" s="2">
        <v>20.0</v>
      </c>
      <c r="X66" s="2">
        <v>30.0</v>
      </c>
      <c r="Y66" s="2">
        <v>30.0</v>
      </c>
      <c r="Z66" s="2">
        <v>30.0</v>
      </c>
      <c r="AA66" s="2">
        <v>30.0</v>
      </c>
      <c r="AB66" s="2">
        <v>50.0</v>
      </c>
      <c r="AC66" s="2">
        <v>350.0</v>
      </c>
      <c r="AD66" s="3">
        <f t="shared" si="4"/>
        <v>10</v>
      </c>
    </row>
    <row r="67">
      <c r="A67" s="1" t="s">
        <v>384</v>
      </c>
      <c r="B67" s="1" t="s">
        <v>385</v>
      </c>
      <c r="C67" s="2" t="s">
        <v>386</v>
      </c>
      <c r="D67" s="2"/>
      <c r="E67" s="2">
        <v>37.0</v>
      </c>
      <c r="F67" s="2"/>
      <c r="G67" s="2">
        <v>16.0</v>
      </c>
      <c r="H67" s="2">
        <v>19.0</v>
      </c>
      <c r="I67" s="2">
        <v>33.0</v>
      </c>
      <c r="J67" s="3">
        <f t="shared" si="1"/>
        <v>12.41666667</v>
      </c>
      <c r="K67" s="2">
        <v>100.0</v>
      </c>
      <c r="L67" s="2">
        <v>200.0</v>
      </c>
      <c r="N67" s="3">
        <f t="shared" si="2"/>
        <v>200</v>
      </c>
      <c r="O67" s="2">
        <v>100.0</v>
      </c>
      <c r="P67" s="2">
        <f t="shared" si="3"/>
        <v>15</v>
      </c>
      <c r="Q67" s="2">
        <v>7.0</v>
      </c>
      <c r="R67" s="2">
        <v>7.0</v>
      </c>
      <c r="S67" s="2">
        <v>15.0</v>
      </c>
      <c r="T67" s="2">
        <v>13.0</v>
      </c>
      <c r="U67" s="2">
        <v>13.0</v>
      </c>
      <c r="V67" s="2">
        <v>12.0</v>
      </c>
      <c r="W67" s="2">
        <v>20.0</v>
      </c>
      <c r="X67" s="2">
        <v>30.0</v>
      </c>
      <c r="Y67" s="2">
        <v>30.0</v>
      </c>
      <c r="Z67" s="2">
        <v>30.0</v>
      </c>
      <c r="AA67" s="2">
        <v>30.0</v>
      </c>
      <c r="AB67" s="2">
        <v>40.0</v>
      </c>
      <c r="AC67" s="2">
        <v>350.0</v>
      </c>
      <c r="AD67" s="3">
        <f t="shared" si="4"/>
        <v>9.75</v>
      </c>
    </row>
    <row r="68">
      <c r="A68" s="1" t="s">
        <v>387</v>
      </c>
      <c r="B68" s="1" t="s">
        <v>388</v>
      </c>
      <c r="C68" s="2" t="s">
        <v>389</v>
      </c>
      <c r="D68" s="2"/>
      <c r="E68" s="2">
        <v>36.0</v>
      </c>
      <c r="F68" s="2"/>
      <c r="G68" s="2">
        <v>7.0</v>
      </c>
      <c r="H68" s="2">
        <v>16.0</v>
      </c>
      <c r="I68" s="2">
        <v>34.0</v>
      </c>
      <c r="J68" s="3">
        <f t="shared" si="1"/>
        <v>9.527777778</v>
      </c>
      <c r="K68" s="2">
        <v>90.0</v>
      </c>
      <c r="L68" s="2">
        <v>185.0</v>
      </c>
      <c r="N68" s="3">
        <f t="shared" si="2"/>
        <v>185</v>
      </c>
      <c r="O68" s="2">
        <v>95.0</v>
      </c>
      <c r="P68" s="2">
        <f t="shared" si="3"/>
        <v>13.875</v>
      </c>
      <c r="Q68" s="2">
        <v>7.0</v>
      </c>
      <c r="R68" s="2">
        <v>9.0</v>
      </c>
      <c r="S68" s="2">
        <v>13.0</v>
      </c>
      <c r="T68" s="2">
        <v>15.0</v>
      </c>
      <c r="U68" s="2">
        <v>11.0</v>
      </c>
      <c r="V68" s="2">
        <v>10.0</v>
      </c>
      <c r="W68" s="2">
        <v>20.0</v>
      </c>
      <c r="X68" s="2">
        <v>30.0</v>
      </c>
      <c r="Y68" s="2">
        <v>30.0</v>
      </c>
      <c r="Z68" s="2">
        <v>30.0</v>
      </c>
      <c r="AA68" s="2">
        <v>30.0</v>
      </c>
      <c r="AB68" s="2">
        <v>30.0</v>
      </c>
      <c r="AC68" s="2">
        <v>350.0</v>
      </c>
      <c r="AD68" s="3">
        <f t="shared" si="4"/>
        <v>9.5</v>
      </c>
    </row>
    <row r="69">
      <c r="A69" s="1" t="s">
        <v>390</v>
      </c>
      <c r="B69" s="1" t="s">
        <v>391</v>
      </c>
      <c r="C69" s="2" t="s">
        <v>392</v>
      </c>
      <c r="D69" s="2"/>
      <c r="E69" s="2">
        <v>36.0</v>
      </c>
      <c r="F69" s="2"/>
      <c r="G69" s="2">
        <v>12.0</v>
      </c>
      <c r="H69" s="2">
        <v>10.0</v>
      </c>
      <c r="I69" s="2">
        <v>45.0</v>
      </c>
      <c r="J69" s="3">
        <f t="shared" si="1"/>
        <v>10.5</v>
      </c>
      <c r="K69" s="2">
        <v>100.0</v>
      </c>
      <c r="L69" s="2">
        <v>200.0</v>
      </c>
      <c r="N69" s="3">
        <f t="shared" si="2"/>
        <v>200</v>
      </c>
      <c r="O69" s="2">
        <v>100.0</v>
      </c>
      <c r="P69" s="2">
        <f t="shared" si="3"/>
        <v>15</v>
      </c>
      <c r="Q69" s="2">
        <v>7.0</v>
      </c>
      <c r="R69" s="2">
        <v>9.0</v>
      </c>
      <c r="S69" s="2">
        <v>15.0</v>
      </c>
      <c r="T69" s="2">
        <v>14.0</v>
      </c>
      <c r="U69" s="2">
        <v>15.0</v>
      </c>
      <c r="V69" s="2">
        <v>15.0</v>
      </c>
      <c r="W69" s="2">
        <v>19.0</v>
      </c>
      <c r="X69" s="2">
        <v>30.0</v>
      </c>
      <c r="Y69" s="2">
        <v>30.0</v>
      </c>
      <c r="Z69" s="2">
        <v>30.0</v>
      </c>
      <c r="AA69" s="2">
        <v>30.0</v>
      </c>
      <c r="AB69" s="2">
        <v>50.0</v>
      </c>
      <c r="AC69" s="2">
        <v>350.0</v>
      </c>
      <c r="AD69" s="3">
        <f t="shared" si="4"/>
        <v>10</v>
      </c>
    </row>
    <row r="70">
      <c r="A70" s="1" t="s">
        <v>399</v>
      </c>
      <c r="B70" s="1" t="s">
        <v>400</v>
      </c>
      <c r="C70" s="2" t="s">
        <v>401</v>
      </c>
      <c r="D70" s="2"/>
      <c r="E70" s="2">
        <v>32.0</v>
      </c>
      <c r="F70" s="2"/>
      <c r="G70" s="2">
        <v>6.0</v>
      </c>
      <c r="H70" s="2">
        <v>10.0</v>
      </c>
      <c r="I70" s="2">
        <v>39.0</v>
      </c>
      <c r="J70" s="3">
        <f t="shared" si="1"/>
        <v>8.333333333</v>
      </c>
      <c r="K70" s="2">
        <v>85.0</v>
      </c>
      <c r="L70" s="2">
        <v>160.0</v>
      </c>
      <c r="N70" s="3">
        <f t="shared" si="2"/>
        <v>160</v>
      </c>
      <c r="O70" s="2">
        <v>94.0</v>
      </c>
      <c r="P70" s="2">
        <f t="shared" si="3"/>
        <v>12.95</v>
      </c>
      <c r="Q70" s="2">
        <v>7.0</v>
      </c>
      <c r="R70" s="2">
        <v>2.0</v>
      </c>
      <c r="S70" s="2">
        <v>12.0</v>
      </c>
      <c r="T70" s="2">
        <v>14.0</v>
      </c>
      <c r="U70" s="2">
        <v>15.0</v>
      </c>
      <c r="V70" s="2">
        <v>13.0</v>
      </c>
      <c r="W70" s="2">
        <v>19.0</v>
      </c>
      <c r="X70" s="2">
        <v>30.0</v>
      </c>
      <c r="Y70" s="2">
        <v>26.0</v>
      </c>
      <c r="Z70" s="2">
        <v>29.0</v>
      </c>
      <c r="AA70" s="2">
        <v>28.0</v>
      </c>
      <c r="AB70" s="2">
        <v>50.0</v>
      </c>
      <c r="AC70" s="2">
        <v>342.0</v>
      </c>
      <c r="AD70" s="3">
        <f t="shared" si="4"/>
        <v>9.8</v>
      </c>
    </row>
    <row r="71">
      <c r="A71" s="1" t="s">
        <v>402</v>
      </c>
      <c r="B71" s="1" t="s">
        <v>403</v>
      </c>
      <c r="C71" s="2" t="s">
        <v>404</v>
      </c>
      <c r="D71" s="2"/>
      <c r="E71" s="2">
        <v>12.0</v>
      </c>
      <c r="F71" s="2"/>
      <c r="G71" s="2">
        <v>2.0</v>
      </c>
      <c r="H71" s="2">
        <v>10.0</v>
      </c>
      <c r="I71" s="2">
        <v>31.0</v>
      </c>
      <c r="J71" s="3">
        <f t="shared" si="1"/>
        <v>6.444444444</v>
      </c>
      <c r="K71" s="2">
        <v>95.0</v>
      </c>
      <c r="L71" s="2">
        <v>185.0</v>
      </c>
      <c r="N71" s="3">
        <f t="shared" si="2"/>
        <v>185</v>
      </c>
      <c r="O71" s="2">
        <v>97.0</v>
      </c>
      <c r="P71" s="2">
        <f t="shared" si="3"/>
        <v>14.225</v>
      </c>
      <c r="Q71" s="2">
        <v>6.0</v>
      </c>
      <c r="R71" s="2">
        <v>2.0</v>
      </c>
      <c r="S71" s="2">
        <v>9.0</v>
      </c>
      <c r="T71" s="2">
        <v>10.0</v>
      </c>
      <c r="U71" s="2">
        <v>12.0</v>
      </c>
      <c r="V71" s="2">
        <v>5.0</v>
      </c>
      <c r="W71" s="2">
        <v>16.0</v>
      </c>
      <c r="X71" s="2">
        <v>30.0</v>
      </c>
      <c r="Y71" s="2">
        <v>27.0</v>
      </c>
      <c r="Z71" s="2">
        <v>29.0</v>
      </c>
      <c r="AA71" s="2">
        <v>28.0</v>
      </c>
      <c r="AB71" s="2">
        <v>48.0</v>
      </c>
      <c r="AC71" s="2">
        <v>343.0</v>
      </c>
      <c r="AD71" s="3">
        <f t="shared" si="4"/>
        <v>9.775</v>
      </c>
    </row>
    <row r="72">
      <c r="A72" s="1" t="s">
        <v>405</v>
      </c>
      <c r="B72" s="1" t="s">
        <v>406</v>
      </c>
      <c r="C72" s="2" t="s">
        <v>407</v>
      </c>
      <c r="D72" s="2"/>
      <c r="E72" s="2">
        <v>39.0</v>
      </c>
      <c r="F72" s="2"/>
      <c r="G72" s="2">
        <v>19.0</v>
      </c>
      <c r="H72" s="2">
        <v>20.0</v>
      </c>
      <c r="I72" s="2">
        <v>39.0</v>
      </c>
      <c r="J72" s="3">
        <f t="shared" si="1"/>
        <v>14.08333333</v>
      </c>
      <c r="K72" s="2">
        <v>90.0</v>
      </c>
      <c r="L72" s="2">
        <v>200.0</v>
      </c>
      <c r="N72" s="3">
        <f t="shared" si="2"/>
        <v>200</v>
      </c>
      <c r="O72" s="2">
        <v>100.0</v>
      </c>
      <c r="P72" s="2">
        <f t="shared" si="3"/>
        <v>14.5</v>
      </c>
      <c r="Q72" s="2">
        <v>7.0</v>
      </c>
      <c r="R72" s="2">
        <v>10.0</v>
      </c>
      <c r="S72" s="2">
        <v>15.0</v>
      </c>
      <c r="U72" s="2">
        <v>15.0</v>
      </c>
      <c r="V72" s="2">
        <v>15.0</v>
      </c>
      <c r="W72" s="2">
        <v>20.0</v>
      </c>
      <c r="X72" s="2">
        <v>30.0</v>
      </c>
      <c r="Y72" s="2">
        <v>27.0</v>
      </c>
      <c r="Z72" s="2">
        <v>30.0</v>
      </c>
      <c r="AA72" s="2">
        <v>30.0</v>
      </c>
      <c r="AB72" s="2">
        <v>20.0</v>
      </c>
      <c r="AC72" s="2">
        <v>346.0</v>
      </c>
      <c r="AD72" s="3">
        <f t="shared" si="4"/>
        <v>9.15</v>
      </c>
    </row>
    <row r="73">
      <c r="A73" s="1" t="s">
        <v>408</v>
      </c>
      <c r="B73" s="1" t="s">
        <v>409</v>
      </c>
      <c r="C73" s="2" t="s">
        <v>410</v>
      </c>
      <c r="D73" s="2"/>
      <c r="E73" s="2">
        <v>30.0</v>
      </c>
      <c r="F73" s="2"/>
      <c r="G73" s="2">
        <v>9.0</v>
      </c>
      <c r="H73" s="2">
        <v>19.0</v>
      </c>
      <c r="I73" s="2">
        <v>33.0</v>
      </c>
      <c r="J73" s="3">
        <f t="shared" si="1"/>
        <v>10.66666667</v>
      </c>
      <c r="K73" s="2">
        <v>90.0</v>
      </c>
      <c r="L73" s="2">
        <v>200.0</v>
      </c>
      <c r="N73" s="3">
        <f t="shared" si="2"/>
        <v>200</v>
      </c>
      <c r="O73" s="2">
        <v>98.0</v>
      </c>
      <c r="P73" s="2">
        <f t="shared" si="3"/>
        <v>14.4</v>
      </c>
      <c r="Q73" s="2">
        <v>7.0</v>
      </c>
      <c r="R73" s="2">
        <v>9.0</v>
      </c>
      <c r="S73" s="2">
        <v>5.0</v>
      </c>
      <c r="T73" s="2">
        <v>14.0</v>
      </c>
      <c r="U73" s="2">
        <v>12.0</v>
      </c>
      <c r="V73" s="2">
        <v>14.0</v>
      </c>
      <c r="W73" s="2">
        <v>20.0</v>
      </c>
      <c r="X73" s="2">
        <v>30.0</v>
      </c>
      <c r="Y73" s="2">
        <v>21.0</v>
      </c>
      <c r="Z73" s="2">
        <v>30.0</v>
      </c>
      <c r="AA73" s="2">
        <v>30.0</v>
      </c>
      <c r="AB73" s="2">
        <v>50.0</v>
      </c>
      <c r="AC73" s="2">
        <v>346.0</v>
      </c>
      <c r="AD73" s="3">
        <f t="shared" si="4"/>
        <v>9.9</v>
      </c>
    </row>
    <row r="74">
      <c r="A74" s="1" t="s">
        <v>417</v>
      </c>
      <c r="B74" s="1" t="s">
        <v>418</v>
      </c>
      <c r="C74" s="2" t="s">
        <v>419</v>
      </c>
      <c r="D74" s="2"/>
      <c r="E74" s="2">
        <v>27.0</v>
      </c>
      <c r="I74" s="2">
        <v>22.0</v>
      </c>
      <c r="J74" s="3">
        <f t="shared" si="1"/>
        <v>2.444444444</v>
      </c>
      <c r="K74" s="2">
        <v>85.0</v>
      </c>
      <c r="L74" s="2">
        <v>165.0</v>
      </c>
      <c r="N74" s="3">
        <f t="shared" si="2"/>
        <v>165</v>
      </c>
      <c r="O74" s="2">
        <v>94.0</v>
      </c>
      <c r="P74" s="2">
        <f t="shared" si="3"/>
        <v>13.075</v>
      </c>
      <c r="Q74" s="2">
        <v>7.0</v>
      </c>
      <c r="R74" s="2">
        <v>6.0</v>
      </c>
      <c r="S74" s="2">
        <v>6.0</v>
      </c>
      <c r="T74" s="2">
        <v>5.0</v>
      </c>
      <c r="U74" s="2">
        <v>0.0</v>
      </c>
      <c r="V74" s="2">
        <v>6.0</v>
      </c>
      <c r="W74" s="2">
        <v>9.0</v>
      </c>
      <c r="X74" s="2">
        <v>27.0</v>
      </c>
      <c r="Y74" s="2">
        <v>27.0</v>
      </c>
      <c r="Z74" s="2">
        <v>29.0</v>
      </c>
      <c r="AC74" s="2">
        <v>325.0</v>
      </c>
      <c r="AD74" s="3">
        <f t="shared" si="4"/>
        <v>8.125</v>
      </c>
    </row>
    <row r="75">
      <c r="A75" s="1" t="s">
        <v>420</v>
      </c>
      <c r="B75" s="1" t="s">
        <v>421</v>
      </c>
      <c r="C75" s="2" t="s">
        <v>422</v>
      </c>
      <c r="D75" s="2"/>
      <c r="E75" s="2">
        <v>36.0</v>
      </c>
      <c r="F75" s="2"/>
      <c r="G75" s="2">
        <v>16.0</v>
      </c>
      <c r="H75" s="2">
        <v>17.0</v>
      </c>
      <c r="I75" s="2">
        <v>39.0</v>
      </c>
      <c r="J75" s="3">
        <f t="shared" si="1"/>
        <v>12.58333333</v>
      </c>
      <c r="K75" s="2">
        <v>100.0</v>
      </c>
      <c r="L75" s="2">
        <v>200.0</v>
      </c>
      <c r="N75" s="3">
        <f t="shared" si="2"/>
        <v>200</v>
      </c>
      <c r="O75" s="2">
        <v>99.0</v>
      </c>
      <c r="P75" s="2">
        <f t="shared" si="3"/>
        <v>14.95</v>
      </c>
      <c r="Q75" s="2">
        <v>7.0</v>
      </c>
      <c r="R75" s="2">
        <v>9.0</v>
      </c>
      <c r="S75" s="2">
        <v>12.0</v>
      </c>
      <c r="T75" s="2">
        <v>14.0</v>
      </c>
      <c r="U75" s="2">
        <v>15.0</v>
      </c>
      <c r="V75" s="2">
        <v>14.0</v>
      </c>
      <c r="W75" s="2">
        <v>20.0</v>
      </c>
      <c r="X75" s="2">
        <v>30.0</v>
      </c>
      <c r="Y75" s="2">
        <v>27.0</v>
      </c>
      <c r="Z75" s="2">
        <v>30.0</v>
      </c>
      <c r="AA75" s="2">
        <v>30.0</v>
      </c>
      <c r="AB75" s="2">
        <v>40.0</v>
      </c>
      <c r="AC75" s="2">
        <v>343.0</v>
      </c>
      <c r="AD75" s="3">
        <f t="shared" si="4"/>
        <v>9.575</v>
      </c>
    </row>
    <row r="76">
      <c r="A76" s="1" t="s">
        <v>423</v>
      </c>
      <c r="B76" s="1" t="s">
        <v>424</v>
      </c>
      <c r="C76" s="2" t="s">
        <v>425</v>
      </c>
      <c r="D76" s="2"/>
      <c r="E76" s="2">
        <v>33.0</v>
      </c>
      <c r="F76" s="2"/>
      <c r="G76" s="2">
        <v>7.0</v>
      </c>
      <c r="H76" s="2">
        <v>18.0</v>
      </c>
      <c r="I76" s="2">
        <v>36.0</v>
      </c>
      <c r="J76" s="3">
        <f t="shared" si="1"/>
        <v>10.25</v>
      </c>
      <c r="K76" s="2">
        <v>100.0</v>
      </c>
      <c r="L76" s="2">
        <v>185.0</v>
      </c>
      <c r="N76" s="3">
        <f t="shared" si="2"/>
        <v>185</v>
      </c>
      <c r="O76" s="2">
        <v>95.0</v>
      </c>
      <c r="P76" s="2">
        <f t="shared" si="3"/>
        <v>14.375</v>
      </c>
      <c r="Q76" s="2">
        <v>7.0</v>
      </c>
      <c r="S76" s="2">
        <v>9.0</v>
      </c>
      <c r="T76" s="2">
        <v>10.0</v>
      </c>
      <c r="U76" s="2">
        <v>7.0</v>
      </c>
      <c r="V76" s="2">
        <v>14.0</v>
      </c>
      <c r="W76" s="2">
        <v>7.0</v>
      </c>
      <c r="X76" s="2">
        <v>30.0</v>
      </c>
      <c r="Y76" s="2">
        <v>27.0</v>
      </c>
      <c r="Z76" s="2">
        <v>29.0</v>
      </c>
      <c r="AA76" s="2">
        <v>27.0</v>
      </c>
      <c r="AB76" s="2">
        <v>25.0</v>
      </c>
      <c r="AC76" s="2">
        <v>345.0</v>
      </c>
      <c r="AD76" s="3">
        <f t="shared" si="4"/>
        <v>9.25</v>
      </c>
    </row>
    <row r="77">
      <c r="A77" s="1" t="s">
        <v>432</v>
      </c>
      <c r="B77" s="1" t="s">
        <v>433</v>
      </c>
      <c r="C77" s="2" t="s">
        <v>434</v>
      </c>
      <c r="D77" s="2"/>
      <c r="E77" s="2">
        <v>29.0</v>
      </c>
      <c r="F77" s="2"/>
      <c r="G77" s="2">
        <v>10.0</v>
      </c>
      <c r="H77" s="2">
        <v>14.5</v>
      </c>
      <c r="I77" s="2">
        <v>43.0</v>
      </c>
      <c r="J77" s="3">
        <f t="shared" si="1"/>
        <v>10.90277778</v>
      </c>
      <c r="K77" s="2">
        <v>80.0</v>
      </c>
      <c r="L77" s="2">
        <v>180.0</v>
      </c>
      <c r="N77" s="3">
        <f t="shared" si="2"/>
        <v>180</v>
      </c>
      <c r="O77" s="2">
        <v>98.0</v>
      </c>
      <c r="P77" s="2">
        <f t="shared" si="3"/>
        <v>13.4</v>
      </c>
      <c r="Q77" s="2">
        <v>6.0</v>
      </c>
      <c r="R77" s="2">
        <v>5.0</v>
      </c>
      <c r="S77" s="2">
        <v>10.0</v>
      </c>
      <c r="T77" s="2">
        <v>10.0</v>
      </c>
      <c r="U77" s="2">
        <v>15.0</v>
      </c>
      <c r="V77" s="2">
        <v>14.0</v>
      </c>
      <c r="W77" s="2">
        <v>20.0</v>
      </c>
      <c r="X77" s="2">
        <v>30.0</v>
      </c>
      <c r="Y77" s="2">
        <v>24.0</v>
      </c>
      <c r="Z77" s="2">
        <v>29.0</v>
      </c>
      <c r="AA77" s="2">
        <v>30.0</v>
      </c>
      <c r="AB77" s="2">
        <v>50.0</v>
      </c>
      <c r="AC77" s="2">
        <v>345.0</v>
      </c>
      <c r="AD77" s="3">
        <f t="shared" si="4"/>
        <v>9.875</v>
      </c>
    </row>
    <row r="78">
      <c r="A78" s="1" t="s">
        <v>435</v>
      </c>
      <c r="B78" s="1" t="s">
        <v>436</v>
      </c>
      <c r="C78" s="2" t="s">
        <v>437</v>
      </c>
      <c r="D78" s="2"/>
      <c r="E78" s="2">
        <v>24.0</v>
      </c>
      <c r="F78" s="2"/>
      <c r="G78" s="2">
        <v>8.0</v>
      </c>
      <c r="H78" s="2">
        <v>14.5</v>
      </c>
      <c r="I78" s="2">
        <v>34.0</v>
      </c>
      <c r="J78" s="3">
        <f t="shared" si="1"/>
        <v>9.402777778</v>
      </c>
      <c r="K78" s="2">
        <v>90.0</v>
      </c>
      <c r="L78" s="2">
        <v>160.0</v>
      </c>
      <c r="N78" s="3">
        <f t="shared" si="2"/>
        <v>160</v>
      </c>
      <c r="O78" s="2">
        <v>99.0</v>
      </c>
      <c r="P78" s="2">
        <f t="shared" si="3"/>
        <v>13.45</v>
      </c>
      <c r="Q78" s="2">
        <v>7.0</v>
      </c>
      <c r="R78" s="2">
        <v>6.0</v>
      </c>
      <c r="S78" s="2">
        <v>14.0</v>
      </c>
      <c r="T78" s="2">
        <v>14.0</v>
      </c>
      <c r="U78" s="2">
        <v>15.0</v>
      </c>
      <c r="V78" s="2">
        <v>14.0</v>
      </c>
      <c r="W78" s="2">
        <v>18.0</v>
      </c>
      <c r="X78" s="2">
        <v>30.0</v>
      </c>
      <c r="Y78" s="2">
        <v>30.0</v>
      </c>
      <c r="Z78" s="2">
        <v>29.0</v>
      </c>
      <c r="AA78" s="2">
        <v>29.0</v>
      </c>
      <c r="AB78" s="2">
        <v>30.0</v>
      </c>
      <c r="AC78" s="2">
        <v>345.0</v>
      </c>
      <c r="AD78" s="3">
        <f t="shared" si="4"/>
        <v>9.375</v>
      </c>
    </row>
    <row r="79">
      <c r="A79" s="1" t="s">
        <v>438</v>
      </c>
      <c r="B79" s="1" t="s">
        <v>439</v>
      </c>
      <c r="C79" s="2" t="s">
        <v>440</v>
      </c>
      <c r="D79" s="2"/>
      <c r="E79" s="2">
        <v>32.0</v>
      </c>
      <c r="F79" s="2"/>
      <c r="G79" s="2">
        <v>13.0</v>
      </c>
      <c r="H79" s="2">
        <v>17.5</v>
      </c>
      <c r="I79" s="2">
        <v>-1.0</v>
      </c>
      <c r="J79" s="3">
        <f t="shared" si="1"/>
        <v>7.513888889</v>
      </c>
      <c r="K79" s="2">
        <v>85.0</v>
      </c>
      <c r="L79" s="2">
        <v>200.0</v>
      </c>
      <c r="N79" s="3">
        <f t="shared" si="2"/>
        <v>200</v>
      </c>
      <c r="O79" s="2">
        <v>99.0</v>
      </c>
      <c r="P79" s="2">
        <f t="shared" si="3"/>
        <v>14.2</v>
      </c>
      <c r="Q79" s="2">
        <v>7.0</v>
      </c>
      <c r="R79" s="2">
        <v>10.0</v>
      </c>
      <c r="S79" s="2">
        <v>12.0</v>
      </c>
      <c r="U79" s="2">
        <v>14.0</v>
      </c>
      <c r="V79" s="2">
        <v>15.0</v>
      </c>
      <c r="W79" s="2">
        <v>17.0</v>
      </c>
      <c r="X79" s="2">
        <v>30.0</v>
      </c>
      <c r="Y79" s="2">
        <v>27.0</v>
      </c>
      <c r="Z79" s="2">
        <v>30.0</v>
      </c>
      <c r="AA79" s="2">
        <v>29.0</v>
      </c>
      <c r="AB79" s="2">
        <v>50.0</v>
      </c>
      <c r="AC79" s="2">
        <v>348.0</v>
      </c>
      <c r="AD79" s="3">
        <f t="shared" si="4"/>
        <v>9.95</v>
      </c>
    </row>
    <row r="80">
      <c r="A80" s="1" t="s">
        <v>453</v>
      </c>
      <c r="B80" s="1" t="s">
        <v>454</v>
      </c>
      <c r="C80" s="2" t="s">
        <v>455</v>
      </c>
      <c r="D80" s="2"/>
      <c r="E80" s="2">
        <v>23.0</v>
      </c>
      <c r="F80" s="2"/>
      <c r="G80" s="2">
        <v>10.0</v>
      </c>
      <c r="H80" s="2">
        <v>19.0</v>
      </c>
      <c r="I80" s="2">
        <v>42.0</v>
      </c>
      <c r="J80" s="3">
        <f t="shared" si="1"/>
        <v>11.91666667</v>
      </c>
      <c r="K80" s="2">
        <v>90.0</v>
      </c>
      <c r="L80" s="2">
        <v>185.0</v>
      </c>
      <c r="N80" s="3">
        <f t="shared" si="2"/>
        <v>185</v>
      </c>
      <c r="O80" s="2">
        <v>99.0</v>
      </c>
      <c r="P80" s="2">
        <f t="shared" si="3"/>
        <v>14.075</v>
      </c>
      <c r="Q80" s="2">
        <v>5.0</v>
      </c>
      <c r="R80" s="2">
        <v>3.0</v>
      </c>
      <c r="S80" s="2">
        <v>9.0</v>
      </c>
      <c r="U80" s="2">
        <v>13.0</v>
      </c>
      <c r="V80" s="2">
        <v>6.0</v>
      </c>
      <c r="W80" s="2">
        <v>19.0</v>
      </c>
      <c r="X80" s="2">
        <v>30.0</v>
      </c>
      <c r="Y80" s="2">
        <v>27.0</v>
      </c>
      <c r="Z80" s="2">
        <v>27.0</v>
      </c>
      <c r="AA80" s="2">
        <v>28.0</v>
      </c>
      <c r="AB80" s="2">
        <v>0.0</v>
      </c>
      <c r="AC80" s="2">
        <v>340.0</v>
      </c>
      <c r="AD80" s="3">
        <f t="shared" si="4"/>
        <v>8.5</v>
      </c>
    </row>
    <row r="81">
      <c r="A81" s="1" t="s">
        <v>456</v>
      </c>
      <c r="B81" s="1" t="s">
        <v>457</v>
      </c>
      <c r="C81" s="2" t="s">
        <v>458</v>
      </c>
      <c r="D81" s="2"/>
      <c r="E81" s="2">
        <v>37.0</v>
      </c>
      <c r="F81" s="2"/>
      <c r="G81" s="2">
        <v>18.0</v>
      </c>
      <c r="H81" s="2">
        <v>16.5</v>
      </c>
      <c r="I81" s="2">
        <v>40.0</v>
      </c>
      <c r="J81" s="3">
        <f t="shared" si="1"/>
        <v>13.06944444</v>
      </c>
      <c r="K81" s="2">
        <v>100.0</v>
      </c>
      <c r="L81" s="2">
        <v>200.0</v>
      </c>
      <c r="N81" s="3">
        <f t="shared" si="2"/>
        <v>200</v>
      </c>
      <c r="O81" s="2">
        <v>97.0</v>
      </c>
      <c r="P81" s="2">
        <f t="shared" si="3"/>
        <v>14.85</v>
      </c>
      <c r="Q81" s="2">
        <v>7.0</v>
      </c>
      <c r="R81" s="2">
        <v>8.0</v>
      </c>
      <c r="S81" s="2">
        <v>12.0</v>
      </c>
      <c r="T81" s="2">
        <v>13.0</v>
      </c>
      <c r="U81" s="2">
        <v>14.0</v>
      </c>
      <c r="V81" s="2">
        <v>15.0</v>
      </c>
      <c r="W81" s="2">
        <v>20.0</v>
      </c>
      <c r="X81" s="2">
        <v>30.0</v>
      </c>
      <c r="Y81" s="2">
        <v>27.0</v>
      </c>
      <c r="Z81" s="2">
        <v>30.0</v>
      </c>
      <c r="AA81" s="2">
        <v>29.0</v>
      </c>
      <c r="AB81" s="2">
        <v>50.0</v>
      </c>
      <c r="AC81" s="2">
        <v>343.0</v>
      </c>
      <c r="AD81" s="3">
        <f t="shared" si="4"/>
        <v>9.825</v>
      </c>
    </row>
    <row r="82">
      <c r="A82" s="1" t="s">
        <v>465</v>
      </c>
      <c r="B82" s="1" t="s">
        <v>466</v>
      </c>
      <c r="C82" s="2" t="s">
        <v>467</v>
      </c>
      <c r="D82" s="2"/>
      <c r="E82" s="2">
        <v>21.0</v>
      </c>
      <c r="F82" s="2"/>
      <c r="G82" s="2">
        <v>9.0</v>
      </c>
      <c r="H82" s="2">
        <v>14.0</v>
      </c>
      <c r="I82" s="2">
        <v>35.0</v>
      </c>
      <c r="J82" s="3">
        <f t="shared" si="1"/>
        <v>9.638888889</v>
      </c>
      <c r="K82" s="2">
        <v>93.0</v>
      </c>
      <c r="L82" s="2">
        <v>190.0</v>
      </c>
      <c r="N82" s="3">
        <f t="shared" si="2"/>
        <v>190</v>
      </c>
      <c r="O82" s="2">
        <v>98.0</v>
      </c>
      <c r="P82" s="2">
        <f t="shared" si="3"/>
        <v>14.3</v>
      </c>
      <c r="Q82" s="2">
        <v>7.0</v>
      </c>
      <c r="R82" s="2">
        <v>10.0</v>
      </c>
      <c r="S82" s="2">
        <v>10.0</v>
      </c>
      <c r="T82" s="2">
        <v>13.5</v>
      </c>
      <c r="U82" s="2">
        <v>15.0</v>
      </c>
      <c r="V82" s="2">
        <v>14.0</v>
      </c>
      <c r="W82" s="2">
        <v>20.0</v>
      </c>
      <c r="X82" s="2">
        <v>29.0</v>
      </c>
      <c r="Y82" s="2">
        <v>28.0</v>
      </c>
      <c r="Z82" s="2">
        <v>29.0</v>
      </c>
      <c r="AA82" s="2">
        <v>30.0</v>
      </c>
      <c r="AB82" s="2">
        <v>50.0</v>
      </c>
      <c r="AC82" s="2">
        <v>348.0</v>
      </c>
      <c r="AD82" s="3">
        <f t="shared" si="4"/>
        <v>9.95</v>
      </c>
    </row>
    <row r="83">
      <c r="A83" s="1" t="s">
        <v>471</v>
      </c>
      <c r="B83" s="1" t="s">
        <v>472</v>
      </c>
      <c r="C83" s="2" t="s">
        <v>473</v>
      </c>
      <c r="D83" s="2"/>
      <c r="E83" s="2">
        <v>9.0</v>
      </c>
      <c r="F83" s="2"/>
      <c r="G83" s="2">
        <v>4.0</v>
      </c>
      <c r="H83" s="2">
        <v>4.0</v>
      </c>
      <c r="I83" s="2">
        <v>31.0</v>
      </c>
      <c r="J83" s="3">
        <f t="shared" si="1"/>
        <v>5.444444444</v>
      </c>
      <c r="K83" s="2">
        <v>70.0</v>
      </c>
      <c r="L83" s="2">
        <v>185.0</v>
      </c>
      <c r="N83" s="3">
        <f t="shared" si="2"/>
        <v>185</v>
      </c>
      <c r="O83" s="2">
        <v>97.0</v>
      </c>
      <c r="P83" s="2">
        <f t="shared" si="3"/>
        <v>12.975</v>
      </c>
      <c r="Q83" s="2">
        <v>5.0</v>
      </c>
      <c r="R83" s="2">
        <v>5.0</v>
      </c>
      <c r="S83" s="2">
        <v>7.0</v>
      </c>
      <c r="T83" s="2">
        <v>11.0</v>
      </c>
      <c r="U83" s="2">
        <v>14.5</v>
      </c>
      <c r="V83" s="2">
        <v>13.5</v>
      </c>
      <c r="W83" s="2">
        <v>19.5</v>
      </c>
      <c r="X83" s="2">
        <v>20.0</v>
      </c>
      <c r="Y83" s="2">
        <v>27.0</v>
      </c>
      <c r="Z83" s="2">
        <v>29.0</v>
      </c>
      <c r="AB83" s="2">
        <v>50.0</v>
      </c>
      <c r="AC83" s="2">
        <v>343.0</v>
      </c>
      <c r="AD83" s="3">
        <f t="shared" si="4"/>
        <v>9.825</v>
      </c>
    </row>
    <row r="84">
      <c r="A84" s="1" t="s">
        <v>474</v>
      </c>
      <c r="B84" s="1" t="s">
        <v>475</v>
      </c>
      <c r="C84" s="2" t="s">
        <v>476</v>
      </c>
      <c r="D84" s="2"/>
      <c r="E84" s="2">
        <v>33.0</v>
      </c>
      <c r="F84" s="2"/>
      <c r="G84" s="2">
        <v>13.0</v>
      </c>
      <c r="H84" s="2">
        <v>16.0</v>
      </c>
      <c r="I84" s="2">
        <v>28.0</v>
      </c>
      <c r="J84" s="3">
        <f t="shared" si="1"/>
        <v>10.36111111</v>
      </c>
      <c r="K84" s="2">
        <v>99.0</v>
      </c>
      <c r="L84" s="2">
        <v>195.0</v>
      </c>
      <c r="N84" s="3">
        <f t="shared" si="2"/>
        <v>195</v>
      </c>
      <c r="O84" s="2">
        <v>98.0</v>
      </c>
      <c r="P84" s="2">
        <f t="shared" si="3"/>
        <v>14.725</v>
      </c>
      <c r="Q84" s="2">
        <v>5.0</v>
      </c>
      <c r="R84" s="2">
        <v>10.0</v>
      </c>
      <c r="S84" s="2">
        <v>11.0</v>
      </c>
      <c r="T84" s="2">
        <v>10.0</v>
      </c>
      <c r="U84" s="2">
        <v>15.0</v>
      </c>
      <c r="V84" s="2">
        <v>14.0</v>
      </c>
      <c r="W84" s="2">
        <v>19.5</v>
      </c>
      <c r="X84" s="2">
        <v>29.0</v>
      </c>
      <c r="Y84" s="2">
        <v>27.0</v>
      </c>
      <c r="Z84" s="2">
        <v>28.0</v>
      </c>
      <c r="AA84" s="2">
        <v>27.0</v>
      </c>
      <c r="AB84" s="2">
        <v>0.0</v>
      </c>
      <c r="AC84" s="2">
        <v>344.0</v>
      </c>
      <c r="AD84" s="3">
        <f t="shared" si="4"/>
        <v>8.6</v>
      </c>
    </row>
    <row r="85">
      <c r="A85" s="1" t="s">
        <v>503</v>
      </c>
      <c r="B85" s="1" t="s">
        <v>504</v>
      </c>
      <c r="C85" s="2" t="s">
        <v>505</v>
      </c>
      <c r="D85" s="2"/>
      <c r="E85" s="2">
        <v>21.0</v>
      </c>
      <c r="F85" s="2"/>
      <c r="G85" s="2">
        <v>7.0</v>
      </c>
      <c r="H85" s="2">
        <v>7.5</v>
      </c>
      <c r="I85" s="2">
        <v>29.0</v>
      </c>
      <c r="J85" s="3">
        <f t="shared" si="1"/>
        <v>6.847222222</v>
      </c>
      <c r="K85" s="2">
        <v>90.0</v>
      </c>
      <c r="L85" s="2">
        <v>185.0</v>
      </c>
      <c r="N85" s="3">
        <f t="shared" si="2"/>
        <v>185</v>
      </c>
      <c r="O85" s="2">
        <v>97.0</v>
      </c>
      <c r="P85" s="2">
        <f t="shared" si="3"/>
        <v>13.975</v>
      </c>
      <c r="Q85" s="2">
        <v>7.0</v>
      </c>
      <c r="R85" s="2">
        <v>7.0</v>
      </c>
      <c r="S85" s="2">
        <v>7.0</v>
      </c>
      <c r="T85" s="2">
        <v>11.0</v>
      </c>
      <c r="U85" s="2">
        <v>14.5</v>
      </c>
      <c r="V85" s="2">
        <v>14.0</v>
      </c>
      <c r="W85" s="2">
        <v>20.0</v>
      </c>
      <c r="X85" s="2">
        <v>28.0</v>
      </c>
      <c r="Y85" s="2">
        <v>27.0</v>
      </c>
      <c r="Z85" s="2">
        <v>29.0</v>
      </c>
      <c r="AA85" s="2">
        <v>29.0</v>
      </c>
      <c r="AB85" s="2">
        <v>40.0</v>
      </c>
      <c r="AC85" s="2">
        <v>342.0</v>
      </c>
      <c r="AD85" s="3">
        <f t="shared" si="4"/>
        <v>9.55</v>
      </c>
    </row>
    <row r="86">
      <c r="A86" s="1" t="s">
        <v>515</v>
      </c>
      <c r="B86" s="1" t="s">
        <v>516</v>
      </c>
      <c r="C86" s="2" t="s">
        <v>517</v>
      </c>
      <c r="D86" s="2"/>
      <c r="E86" s="2">
        <v>14.0</v>
      </c>
      <c r="F86" s="2"/>
      <c r="G86" s="2">
        <v>7.0</v>
      </c>
      <c r="H86" s="2">
        <v>4.0</v>
      </c>
      <c r="I86" s="2">
        <v>22.0</v>
      </c>
      <c r="J86" s="3">
        <f t="shared" si="1"/>
        <v>5.194444444</v>
      </c>
      <c r="K86" s="2">
        <v>95.0</v>
      </c>
      <c r="L86" s="2">
        <v>170.0</v>
      </c>
      <c r="M86" s="2">
        <v>143.0</v>
      </c>
      <c r="N86" s="3">
        <f t="shared" si="2"/>
        <v>170</v>
      </c>
      <c r="O86" s="2">
        <v>97.0</v>
      </c>
      <c r="P86" s="2">
        <f t="shared" si="3"/>
        <v>13.85</v>
      </c>
      <c r="Q86" s="2">
        <v>7.0</v>
      </c>
      <c r="R86" s="2">
        <v>6.0</v>
      </c>
      <c r="S86" s="2">
        <v>0.0</v>
      </c>
      <c r="T86" s="2">
        <v>14.0</v>
      </c>
      <c r="U86" s="2">
        <v>14.0</v>
      </c>
      <c r="V86" s="2">
        <v>14.0</v>
      </c>
      <c r="W86" s="2">
        <v>19.0</v>
      </c>
      <c r="X86" s="2">
        <v>29.0</v>
      </c>
      <c r="Y86" s="2">
        <v>27.0</v>
      </c>
      <c r="Z86" s="2">
        <v>27.0</v>
      </c>
      <c r="AA86" s="2">
        <v>28.0</v>
      </c>
      <c r="AB86" s="2">
        <v>10.0</v>
      </c>
      <c r="AC86" s="2">
        <v>346.0</v>
      </c>
      <c r="AD86" s="3">
        <f t="shared" si="4"/>
        <v>8.9</v>
      </c>
    </row>
    <row r="87">
      <c r="A87" s="1" t="s">
        <v>518</v>
      </c>
      <c r="B87" s="1" t="s">
        <v>519</v>
      </c>
      <c r="C87" s="2" t="s">
        <v>520</v>
      </c>
      <c r="D87" s="2"/>
      <c r="E87" s="2">
        <v>35.0</v>
      </c>
      <c r="F87" s="2"/>
      <c r="G87" s="2">
        <v>15.0</v>
      </c>
      <c r="H87" s="2">
        <v>18.5</v>
      </c>
      <c r="I87" s="2">
        <v>43.0</v>
      </c>
      <c r="J87" s="3">
        <f t="shared" si="1"/>
        <v>13.15277778</v>
      </c>
      <c r="K87" s="2">
        <v>100.0</v>
      </c>
      <c r="L87" s="2">
        <v>200.0</v>
      </c>
      <c r="N87" s="3">
        <f t="shared" si="2"/>
        <v>200</v>
      </c>
      <c r="O87" s="2">
        <v>100.0</v>
      </c>
      <c r="P87" s="2">
        <f t="shared" si="3"/>
        <v>15</v>
      </c>
      <c r="Q87" s="2">
        <v>7.0</v>
      </c>
      <c r="R87" s="2">
        <v>8.0</v>
      </c>
      <c r="S87" s="2">
        <v>9.0</v>
      </c>
      <c r="T87" s="2">
        <v>14.0</v>
      </c>
      <c r="U87" s="2">
        <v>15.0</v>
      </c>
      <c r="V87" s="2">
        <v>15.0</v>
      </c>
      <c r="W87" s="2">
        <v>20.0</v>
      </c>
      <c r="X87" s="2">
        <v>30.0</v>
      </c>
      <c r="Y87" s="2">
        <v>29.0</v>
      </c>
      <c r="Z87" s="2">
        <v>30.0</v>
      </c>
      <c r="AA87" s="2">
        <v>30.0</v>
      </c>
      <c r="AB87" s="2">
        <v>40.0</v>
      </c>
      <c r="AC87" s="2">
        <v>350.0</v>
      </c>
      <c r="AD87" s="3">
        <f t="shared" si="4"/>
        <v>9.75</v>
      </c>
    </row>
    <row r="88">
      <c r="A88" s="1" t="s">
        <v>527</v>
      </c>
      <c r="B88" s="1" t="s">
        <v>528</v>
      </c>
      <c r="C88" s="2" t="s">
        <v>529</v>
      </c>
      <c r="D88" s="2"/>
      <c r="E88" s="2">
        <v>20.0</v>
      </c>
      <c r="F88" s="2"/>
      <c r="G88" s="2">
        <v>11.0</v>
      </c>
      <c r="H88" s="2">
        <v>13.5</v>
      </c>
      <c r="I88" s="2">
        <v>31.0</v>
      </c>
      <c r="J88" s="3">
        <f t="shared" si="1"/>
        <v>9.569444444</v>
      </c>
      <c r="K88" s="2">
        <v>97.0</v>
      </c>
      <c r="L88" s="2">
        <v>192.0</v>
      </c>
      <c r="N88" s="3">
        <f t="shared" si="2"/>
        <v>192</v>
      </c>
      <c r="O88" s="2">
        <v>98.0</v>
      </c>
      <c r="P88" s="2">
        <f t="shared" si="3"/>
        <v>14.55</v>
      </c>
      <c r="Q88" s="2">
        <v>7.0</v>
      </c>
      <c r="R88" s="2">
        <v>3.0</v>
      </c>
      <c r="S88" s="2">
        <v>10.0</v>
      </c>
      <c r="T88" s="2">
        <v>12.0</v>
      </c>
      <c r="U88" s="2">
        <v>15.0</v>
      </c>
      <c r="V88" s="2">
        <v>14.5</v>
      </c>
      <c r="W88" s="2">
        <v>20.0</v>
      </c>
      <c r="X88" s="2">
        <v>29.0</v>
      </c>
      <c r="Y88" s="2">
        <v>27.0</v>
      </c>
      <c r="Z88" s="2">
        <v>30.0</v>
      </c>
      <c r="AA88" s="2">
        <v>30.0</v>
      </c>
      <c r="AB88" s="2">
        <v>50.0</v>
      </c>
      <c r="AC88" s="2">
        <v>350.0</v>
      </c>
      <c r="AD88" s="3">
        <f t="shared" si="4"/>
        <v>10</v>
      </c>
    </row>
    <row r="89">
      <c r="A89" s="1" t="s">
        <v>539</v>
      </c>
      <c r="B89" s="1" t="s">
        <v>540</v>
      </c>
      <c r="C89" s="2" t="s">
        <v>541</v>
      </c>
      <c r="D89" s="2"/>
      <c r="E89" s="2">
        <v>29.0</v>
      </c>
      <c r="F89" s="2"/>
      <c r="G89" s="2">
        <v>8.0</v>
      </c>
      <c r="H89" s="2">
        <v>17.5</v>
      </c>
      <c r="I89" s="2">
        <v>38.0</v>
      </c>
      <c r="J89" s="3">
        <f t="shared" si="1"/>
        <v>10.59722222</v>
      </c>
      <c r="K89" s="2">
        <v>94.0</v>
      </c>
      <c r="L89" s="2">
        <v>192.0</v>
      </c>
      <c r="N89" s="3">
        <f t="shared" si="2"/>
        <v>192</v>
      </c>
      <c r="O89" s="2">
        <v>100.0</v>
      </c>
      <c r="P89" s="2">
        <f t="shared" si="3"/>
        <v>14.5</v>
      </c>
      <c r="Q89" s="2">
        <v>7.0</v>
      </c>
      <c r="R89" s="2">
        <v>6.0</v>
      </c>
      <c r="S89" s="2">
        <v>11.0</v>
      </c>
      <c r="T89" s="2">
        <v>9.0</v>
      </c>
      <c r="U89" s="2">
        <v>15.0</v>
      </c>
      <c r="V89" s="2">
        <v>15.0</v>
      </c>
      <c r="W89" s="2">
        <v>19.5</v>
      </c>
      <c r="X89" s="2">
        <v>29.0</v>
      </c>
      <c r="Y89" s="2">
        <v>25.0</v>
      </c>
      <c r="Z89" s="2">
        <v>30.0</v>
      </c>
      <c r="AA89" s="2">
        <v>30.0</v>
      </c>
      <c r="AB89" s="2">
        <v>30.0</v>
      </c>
      <c r="AC89" s="2">
        <v>348.0</v>
      </c>
      <c r="AD89" s="3">
        <f t="shared" si="4"/>
        <v>9.45</v>
      </c>
    </row>
    <row r="90">
      <c r="A90" s="1" t="s">
        <v>554</v>
      </c>
      <c r="B90" s="1" t="s">
        <v>555</v>
      </c>
      <c r="C90" s="2" t="s">
        <v>556</v>
      </c>
      <c r="D90" s="2"/>
      <c r="E90" s="2">
        <v>32.0</v>
      </c>
      <c r="F90" s="2"/>
      <c r="G90" s="2">
        <v>11.0</v>
      </c>
      <c r="H90" s="2">
        <v>12.5</v>
      </c>
      <c r="I90" s="2">
        <v>37.0</v>
      </c>
      <c r="J90" s="3">
        <f t="shared" si="1"/>
        <v>9.986111111</v>
      </c>
      <c r="K90" s="2">
        <v>98.0</v>
      </c>
      <c r="L90" s="2">
        <v>187.0</v>
      </c>
      <c r="N90" s="3">
        <f t="shared" si="2"/>
        <v>187</v>
      </c>
      <c r="O90" s="2">
        <v>99.0</v>
      </c>
      <c r="P90" s="2">
        <f t="shared" si="3"/>
        <v>14.525</v>
      </c>
      <c r="Q90" s="2">
        <v>6.0</v>
      </c>
      <c r="R90" s="2">
        <v>4.0</v>
      </c>
      <c r="S90" s="2">
        <v>13.0</v>
      </c>
      <c r="T90" s="2">
        <v>11.0</v>
      </c>
      <c r="U90" s="2">
        <v>14.5</v>
      </c>
      <c r="V90" s="2">
        <v>15.0</v>
      </c>
      <c r="W90" s="2">
        <v>20.0</v>
      </c>
      <c r="X90" s="2">
        <v>29.0</v>
      </c>
      <c r="Y90" s="2">
        <v>28.0</v>
      </c>
      <c r="Z90" s="2">
        <v>30.0</v>
      </c>
      <c r="AA90" s="2">
        <v>30.0</v>
      </c>
      <c r="AB90" s="2">
        <v>30.0</v>
      </c>
      <c r="AC90" s="2">
        <v>348.0</v>
      </c>
      <c r="AD90" s="3">
        <f t="shared" si="4"/>
        <v>9.45</v>
      </c>
    </row>
    <row r="91">
      <c r="A91" s="1" t="s">
        <v>566</v>
      </c>
      <c r="B91" s="1" t="s">
        <v>567</v>
      </c>
      <c r="C91" s="2" t="s">
        <v>568</v>
      </c>
      <c r="D91" s="2"/>
      <c r="E91" s="2">
        <v>28.0</v>
      </c>
      <c r="F91" s="2"/>
      <c r="G91" s="2">
        <v>13.0</v>
      </c>
      <c r="H91" s="2">
        <v>17.0</v>
      </c>
      <c r="I91" s="2">
        <v>35.0</v>
      </c>
      <c r="J91" s="3">
        <f t="shared" si="1"/>
        <v>11.38888889</v>
      </c>
      <c r="K91" s="2">
        <v>98.0</v>
      </c>
      <c r="L91" s="2">
        <v>200.0</v>
      </c>
      <c r="N91" s="3">
        <f t="shared" si="2"/>
        <v>200</v>
      </c>
      <c r="O91" s="2">
        <v>100.0</v>
      </c>
      <c r="P91" s="2">
        <f t="shared" si="3"/>
        <v>14.9</v>
      </c>
      <c r="Q91" s="2">
        <v>7.0</v>
      </c>
      <c r="R91" s="2">
        <v>4.0</v>
      </c>
      <c r="S91" s="2">
        <v>11.0</v>
      </c>
      <c r="T91" s="2">
        <v>12.0</v>
      </c>
      <c r="U91" s="2">
        <v>14.5</v>
      </c>
      <c r="V91" s="2">
        <v>15.0</v>
      </c>
      <c r="W91" s="2">
        <v>20.0</v>
      </c>
      <c r="X91" s="2">
        <v>30.0</v>
      </c>
      <c r="Y91" s="2">
        <v>29.0</v>
      </c>
      <c r="Z91" s="2">
        <v>30.0</v>
      </c>
      <c r="AA91" s="2">
        <v>30.0</v>
      </c>
      <c r="AB91" s="2">
        <v>50.0</v>
      </c>
      <c r="AC91" s="2">
        <v>347.0</v>
      </c>
      <c r="AD91" s="3">
        <f t="shared" si="4"/>
        <v>9.925</v>
      </c>
    </row>
    <row r="92">
      <c r="A92" s="1" t="s">
        <v>572</v>
      </c>
      <c r="B92" s="1" t="s">
        <v>573</v>
      </c>
      <c r="C92" s="2" t="s">
        <v>574</v>
      </c>
      <c r="D92" s="2"/>
      <c r="E92" s="2">
        <v>9.0</v>
      </c>
      <c r="F92" s="2"/>
      <c r="G92" s="2">
        <v>3.0</v>
      </c>
      <c r="H92" s="2">
        <v>8.5</v>
      </c>
      <c r="I92" s="2">
        <v>31.0</v>
      </c>
      <c r="J92" s="3">
        <f t="shared" si="1"/>
        <v>6.319444444</v>
      </c>
      <c r="K92" s="2">
        <v>80.0</v>
      </c>
      <c r="L92" s="2">
        <v>180.0</v>
      </c>
      <c r="N92" s="3">
        <f t="shared" si="2"/>
        <v>180</v>
      </c>
      <c r="O92" s="2">
        <v>97.0</v>
      </c>
      <c r="P92" s="2">
        <f t="shared" si="3"/>
        <v>13.35</v>
      </c>
      <c r="Q92" s="2">
        <v>6.0</v>
      </c>
      <c r="R92" s="2">
        <v>4.0</v>
      </c>
      <c r="S92" s="2">
        <v>0.0</v>
      </c>
      <c r="T92" s="2">
        <v>10.0</v>
      </c>
      <c r="U92" s="2">
        <v>15.0</v>
      </c>
      <c r="V92" s="2">
        <v>11.5</v>
      </c>
      <c r="W92" s="2">
        <v>20.0</v>
      </c>
      <c r="X92" s="2">
        <v>28.0</v>
      </c>
      <c r="Y92" s="2">
        <v>23.0</v>
      </c>
      <c r="Z92" s="2">
        <v>28.0</v>
      </c>
      <c r="AA92" s="2">
        <v>28.0</v>
      </c>
      <c r="AB92" s="2">
        <v>50.0</v>
      </c>
      <c r="AC92" s="2">
        <v>346.0</v>
      </c>
      <c r="AD92" s="3">
        <f t="shared" si="4"/>
        <v>9.9</v>
      </c>
    </row>
    <row r="93">
      <c r="A93" s="1" t="s">
        <v>578</v>
      </c>
      <c r="B93" s="1" t="s">
        <v>579</v>
      </c>
      <c r="C93" s="2" t="s">
        <v>580</v>
      </c>
      <c r="D93" s="2"/>
      <c r="E93" s="2">
        <v>4.0</v>
      </c>
      <c r="F93" s="2"/>
      <c r="G93" s="2">
        <v>1.5</v>
      </c>
      <c r="H93" s="2">
        <v>3.0</v>
      </c>
      <c r="I93" s="2">
        <v>0.0</v>
      </c>
      <c r="J93" s="3">
        <f t="shared" si="1"/>
        <v>1.125</v>
      </c>
      <c r="K93" s="2">
        <v>0.0</v>
      </c>
      <c r="L93" s="2">
        <v>95.0</v>
      </c>
      <c r="N93" s="3">
        <f t="shared" si="2"/>
        <v>95</v>
      </c>
      <c r="O93" s="2">
        <v>80.0</v>
      </c>
      <c r="P93" s="2">
        <f t="shared" si="3"/>
        <v>6.375</v>
      </c>
      <c r="Q93" s="2">
        <v>6.0</v>
      </c>
      <c r="R93" s="2">
        <v>5.0</v>
      </c>
      <c r="S93" s="2">
        <v>0.0</v>
      </c>
      <c r="T93" s="2">
        <v>8.0</v>
      </c>
      <c r="U93" s="2">
        <v>5.0</v>
      </c>
      <c r="V93" s="2">
        <v>13.0</v>
      </c>
      <c r="W93" s="2">
        <v>18.0</v>
      </c>
      <c r="X93" s="2">
        <v>28.0</v>
      </c>
      <c r="Y93" s="2">
        <v>0.0</v>
      </c>
      <c r="AA93" s="2">
        <v>29.0</v>
      </c>
      <c r="AB93" s="2">
        <v>50.0</v>
      </c>
      <c r="AC93" s="2">
        <v>280.0</v>
      </c>
      <c r="AD93" s="3">
        <f t="shared" si="4"/>
        <v>8.25</v>
      </c>
    </row>
    <row r="94">
      <c r="A94" s="1" t="s">
        <v>581</v>
      </c>
      <c r="B94" s="1" t="s">
        <v>582</v>
      </c>
      <c r="C94" s="2" t="s">
        <v>583</v>
      </c>
      <c r="D94" s="2"/>
      <c r="E94" s="2">
        <v>30.0</v>
      </c>
      <c r="F94" s="2"/>
      <c r="G94" s="2">
        <v>13.0</v>
      </c>
      <c r="H94" s="2">
        <v>12.0</v>
      </c>
      <c r="I94" s="2">
        <v>29.0</v>
      </c>
      <c r="J94" s="3">
        <f t="shared" si="1"/>
        <v>9.472222222</v>
      </c>
      <c r="K94" s="2">
        <v>95.0</v>
      </c>
      <c r="L94" s="2">
        <v>195.0</v>
      </c>
      <c r="N94" s="3">
        <f t="shared" si="2"/>
        <v>195</v>
      </c>
      <c r="O94" s="2">
        <v>100.0</v>
      </c>
      <c r="P94" s="2">
        <f t="shared" si="3"/>
        <v>14.625</v>
      </c>
      <c r="Q94" s="2">
        <v>7.0</v>
      </c>
      <c r="R94" s="2">
        <v>6.0</v>
      </c>
      <c r="S94" s="2">
        <v>5.0</v>
      </c>
      <c r="T94" s="2">
        <v>9.0</v>
      </c>
      <c r="U94" s="2">
        <v>15.0</v>
      </c>
      <c r="V94" s="2">
        <v>15.0</v>
      </c>
      <c r="W94" s="2">
        <v>20.0</v>
      </c>
      <c r="X94" s="2">
        <v>28.0</v>
      </c>
      <c r="Y94" s="2">
        <v>30.0</v>
      </c>
      <c r="Z94" s="2">
        <v>29.0</v>
      </c>
      <c r="AA94" s="2">
        <v>29.0</v>
      </c>
      <c r="AB94" s="2">
        <v>30.0</v>
      </c>
      <c r="AC94" s="2">
        <v>350.0</v>
      </c>
      <c r="AD94" s="3">
        <f t="shared" si="4"/>
        <v>9.5</v>
      </c>
    </row>
    <row r="95">
      <c r="A95" s="1" t="s">
        <v>611</v>
      </c>
      <c r="B95" s="1" t="s">
        <v>612</v>
      </c>
      <c r="C95" s="2" t="s">
        <v>613</v>
      </c>
      <c r="D95" s="2"/>
      <c r="E95" s="2">
        <v>22.0</v>
      </c>
      <c r="F95" s="2"/>
      <c r="G95" s="2">
        <v>18.0</v>
      </c>
      <c r="H95" s="2">
        <v>13.0</v>
      </c>
      <c r="I95" s="2">
        <v>28.0</v>
      </c>
      <c r="J95" s="3">
        <f t="shared" si="1"/>
        <v>10.86111111</v>
      </c>
      <c r="K95" s="2">
        <v>95.0</v>
      </c>
      <c r="L95" s="2">
        <v>200.0</v>
      </c>
      <c r="N95" s="3">
        <f t="shared" si="2"/>
        <v>200</v>
      </c>
      <c r="O95" s="2">
        <v>100.0</v>
      </c>
      <c r="P95" s="2">
        <f t="shared" si="3"/>
        <v>14.75</v>
      </c>
      <c r="Q95" s="2">
        <v>7.0</v>
      </c>
      <c r="R95" s="2">
        <v>0.0</v>
      </c>
      <c r="S95" s="2">
        <v>12.0</v>
      </c>
      <c r="T95" s="2">
        <v>11.0</v>
      </c>
      <c r="U95" s="2">
        <v>15.0</v>
      </c>
      <c r="V95" s="2">
        <v>15.0</v>
      </c>
      <c r="W95" s="2">
        <v>20.0</v>
      </c>
      <c r="X95" s="2">
        <v>28.0</v>
      </c>
      <c r="Y95" s="2">
        <v>30.0</v>
      </c>
      <c r="Z95" s="2">
        <v>30.0</v>
      </c>
      <c r="AA95" s="2">
        <v>30.0</v>
      </c>
      <c r="AB95" s="2">
        <v>50.0</v>
      </c>
      <c r="AC95" s="2">
        <v>345.0</v>
      </c>
      <c r="AD95" s="3">
        <f t="shared" si="4"/>
        <v>9.875</v>
      </c>
    </row>
    <row r="96">
      <c r="A96" s="1" t="s">
        <v>614</v>
      </c>
      <c r="B96" s="1" t="s">
        <v>615</v>
      </c>
      <c r="C96" s="2" t="s">
        <v>616</v>
      </c>
      <c r="D96" s="2"/>
      <c r="E96" s="2">
        <v>19.0</v>
      </c>
      <c r="F96" s="2"/>
      <c r="G96" s="2">
        <v>5.0</v>
      </c>
      <c r="H96" s="2">
        <v>8.0</v>
      </c>
      <c r="I96" s="2">
        <v>26.5</v>
      </c>
      <c r="J96" s="3">
        <f t="shared" si="1"/>
        <v>6.194444444</v>
      </c>
      <c r="K96" s="2">
        <v>100.0</v>
      </c>
      <c r="L96" s="2">
        <v>110.0</v>
      </c>
      <c r="N96" s="3">
        <f t="shared" si="2"/>
        <v>110</v>
      </c>
      <c r="O96" s="2">
        <v>80.0</v>
      </c>
      <c r="P96" s="2">
        <f t="shared" si="3"/>
        <v>11.75</v>
      </c>
      <c r="Q96" s="2">
        <v>7.0</v>
      </c>
      <c r="R96" s="2">
        <v>0.0</v>
      </c>
      <c r="S96" s="2">
        <v>12.0</v>
      </c>
      <c r="T96" s="2">
        <v>8.0</v>
      </c>
      <c r="U96" s="2">
        <v>14.0</v>
      </c>
      <c r="V96" s="2">
        <v>15.0</v>
      </c>
      <c r="W96" s="2">
        <v>20.0</v>
      </c>
      <c r="X96" s="2">
        <v>28.0</v>
      </c>
      <c r="Y96" s="2">
        <v>27.0</v>
      </c>
      <c r="Z96" s="2">
        <v>30.0</v>
      </c>
      <c r="AA96" s="2">
        <v>28.0</v>
      </c>
      <c r="AB96" s="2">
        <v>50.0</v>
      </c>
      <c r="AC96" s="2">
        <v>330.0</v>
      </c>
      <c r="AD96" s="3">
        <f t="shared" si="4"/>
        <v>9.5</v>
      </c>
    </row>
    <row r="97">
      <c r="A97" s="1" t="s">
        <v>626</v>
      </c>
      <c r="B97" s="1" t="s">
        <v>627</v>
      </c>
      <c r="C97" s="2" t="s">
        <v>628</v>
      </c>
      <c r="D97" s="2"/>
      <c r="E97" s="2">
        <v>26.0</v>
      </c>
      <c r="F97" s="2"/>
      <c r="G97" s="2">
        <v>8.0</v>
      </c>
      <c r="H97" s="2">
        <v>13.0</v>
      </c>
      <c r="I97" s="2">
        <v>35.0</v>
      </c>
      <c r="J97" s="3">
        <f t="shared" si="1"/>
        <v>9.138888889</v>
      </c>
      <c r="K97" s="2">
        <v>100.0</v>
      </c>
      <c r="L97" s="2">
        <v>120.0</v>
      </c>
      <c r="N97" s="3">
        <f t="shared" si="2"/>
        <v>120</v>
      </c>
      <c r="O97" s="2">
        <v>80.0</v>
      </c>
      <c r="P97" s="2">
        <f t="shared" si="3"/>
        <v>12</v>
      </c>
      <c r="Q97" s="2">
        <v>7.0</v>
      </c>
      <c r="R97" s="2">
        <v>8.0</v>
      </c>
      <c r="S97" s="2">
        <v>15.0</v>
      </c>
      <c r="T97" s="2">
        <v>2.0</v>
      </c>
      <c r="U97" s="2">
        <v>15.0</v>
      </c>
      <c r="V97" s="2">
        <v>15.0</v>
      </c>
      <c r="W97" s="2">
        <v>15.0</v>
      </c>
      <c r="X97" s="2">
        <v>28.0</v>
      </c>
      <c r="Y97" s="2">
        <v>27.0</v>
      </c>
      <c r="Z97" s="2">
        <v>28.0</v>
      </c>
      <c r="AA97" s="2">
        <v>29.0</v>
      </c>
      <c r="AB97" s="2">
        <v>50.0</v>
      </c>
      <c r="AC97" s="2">
        <v>350.0</v>
      </c>
      <c r="AD97" s="3">
        <f t="shared" si="4"/>
        <v>10</v>
      </c>
    </row>
    <row r="98">
      <c r="A98" s="1" t="s">
        <v>632</v>
      </c>
      <c r="B98" s="1" t="s">
        <v>633</v>
      </c>
      <c r="C98" s="2" t="s">
        <v>634</v>
      </c>
      <c r="D98" s="2"/>
      <c r="E98" s="2">
        <v>32.0</v>
      </c>
      <c r="F98" s="2"/>
      <c r="G98" s="2">
        <v>15.0</v>
      </c>
      <c r="H98" s="2">
        <v>6.5</v>
      </c>
      <c r="I98" s="2">
        <v>27.0</v>
      </c>
      <c r="J98" s="3">
        <f t="shared" si="1"/>
        <v>8.375</v>
      </c>
      <c r="K98" s="2">
        <v>90.0</v>
      </c>
      <c r="L98" s="2">
        <v>150.0</v>
      </c>
      <c r="N98" s="3">
        <f t="shared" si="2"/>
        <v>150</v>
      </c>
      <c r="O98" s="2">
        <v>0.0</v>
      </c>
      <c r="P98" s="2">
        <f t="shared" si="3"/>
        <v>8.25</v>
      </c>
      <c r="Q98" s="2">
        <v>7.0</v>
      </c>
      <c r="R98" s="2">
        <v>7.0</v>
      </c>
      <c r="S98" s="2">
        <v>0.0</v>
      </c>
      <c r="T98" s="2">
        <v>4.0</v>
      </c>
      <c r="U98" s="2">
        <v>14.0</v>
      </c>
      <c r="V98" s="2">
        <v>14.0</v>
      </c>
      <c r="W98" s="2">
        <v>20.0</v>
      </c>
      <c r="X98" s="2">
        <v>30.0</v>
      </c>
      <c r="Y98" s="2">
        <v>30.0</v>
      </c>
      <c r="Z98" s="2">
        <v>28.0</v>
      </c>
      <c r="AB98" s="2">
        <v>30.0</v>
      </c>
      <c r="AC98" s="2">
        <v>310.0</v>
      </c>
      <c r="AD98" s="3">
        <f t="shared" si="4"/>
        <v>8.5</v>
      </c>
    </row>
    <row r="99">
      <c r="A99" s="1" t="s">
        <v>635</v>
      </c>
      <c r="B99" s="1" t="s">
        <v>636</v>
      </c>
      <c r="C99" s="2" t="s">
        <v>637</v>
      </c>
      <c r="D99" s="2"/>
      <c r="E99" s="2">
        <v>18.0</v>
      </c>
      <c r="F99" s="2"/>
      <c r="G99" s="2">
        <v>6.0</v>
      </c>
      <c r="H99" s="2">
        <v>9.0</v>
      </c>
      <c r="I99" s="2">
        <v>27.0</v>
      </c>
      <c r="J99" s="3">
        <f t="shared" si="1"/>
        <v>6.75</v>
      </c>
      <c r="K99" s="2">
        <v>90.0</v>
      </c>
      <c r="L99" s="2">
        <v>165.0</v>
      </c>
      <c r="N99" s="3">
        <f t="shared" si="2"/>
        <v>165</v>
      </c>
      <c r="O99" s="2">
        <v>100.0</v>
      </c>
      <c r="P99" s="2">
        <f t="shared" si="3"/>
        <v>13.625</v>
      </c>
      <c r="Q99" s="2">
        <v>6.0</v>
      </c>
      <c r="R99" s="2">
        <v>5.0</v>
      </c>
      <c r="S99" s="2">
        <v>7.0</v>
      </c>
      <c r="T99" s="2">
        <v>15.0</v>
      </c>
      <c r="U99" s="2">
        <v>15.0</v>
      </c>
      <c r="V99" s="2">
        <v>13.0</v>
      </c>
      <c r="W99" s="2">
        <v>17.0</v>
      </c>
      <c r="X99" s="2">
        <v>27.0</v>
      </c>
      <c r="Y99" s="2">
        <v>27.0</v>
      </c>
      <c r="Z99" s="2">
        <v>28.0</v>
      </c>
      <c r="AA99" s="2">
        <v>28.0</v>
      </c>
      <c r="AB99" s="2">
        <v>40.0</v>
      </c>
      <c r="AC99" s="2">
        <v>300.0</v>
      </c>
      <c r="AD99" s="3">
        <f t="shared" si="4"/>
        <v>8.5</v>
      </c>
    </row>
    <row r="100">
      <c r="A100" s="1" t="s">
        <v>641</v>
      </c>
      <c r="B100" s="1" t="s">
        <v>642</v>
      </c>
      <c r="C100" s="2" t="s">
        <v>643</v>
      </c>
      <c r="D100" s="2"/>
      <c r="E100" s="2">
        <v>24.0</v>
      </c>
      <c r="F100" s="2"/>
      <c r="G100" s="2">
        <v>7.0</v>
      </c>
      <c r="H100" s="2">
        <v>8.0</v>
      </c>
      <c r="I100" s="2">
        <v>35.0</v>
      </c>
      <c r="J100" s="3">
        <f t="shared" si="1"/>
        <v>7.638888889</v>
      </c>
      <c r="K100" s="2">
        <v>90.0</v>
      </c>
      <c r="L100" s="2">
        <v>100.0</v>
      </c>
      <c r="M100" s="2">
        <v>165.0</v>
      </c>
      <c r="N100" s="3">
        <f t="shared" si="2"/>
        <v>165</v>
      </c>
      <c r="O100" s="2">
        <v>100.0</v>
      </c>
      <c r="P100" s="2">
        <f t="shared" si="3"/>
        <v>13.625</v>
      </c>
      <c r="Q100" s="2">
        <v>7.0</v>
      </c>
      <c r="R100" s="2">
        <v>7.0</v>
      </c>
      <c r="S100" s="2">
        <v>12.0</v>
      </c>
      <c r="T100" s="2">
        <v>10.0</v>
      </c>
      <c r="U100" s="2">
        <v>15.0</v>
      </c>
      <c r="V100" s="2">
        <v>14.0</v>
      </c>
      <c r="W100" s="2">
        <v>20.0</v>
      </c>
      <c r="X100" s="2">
        <v>30.0</v>
      </c>
      <c r="Y100" s="2">
        <v>27.0</v>
      </c>
      <c r="Z100" s="2">
        <v>27.0</v>
      </c>
      <c r="AA100" s="2">
        <v>28.0</v>
      </c>
      <c r="AB100" s="2">
        <v>0.0</v>
      </c>
      <c r="AC100" s="2">
        <v>330.0</v>
      </c>
      <c r="AD100" s="3">
        <f t="shared" si="4"/>
        <v>8.25</v>
      </c>
    </row>
    <row r="101">
      <c r="A101" s="1" t="s">
        <v>644</v>
      </c>
      <c r="B101" s="1" t="s">
        <v>645</v>
      </c>
      <c r="C101" s="2" t="s">
        <v>646</v>
      </c>
      <c r="D101" s="2"/>
      <c r="E101" s="2">
        <v>21.0</v>
      </c>
      <c r="F101" s="2"/>
      <c r="G101" s="2">
        <v>10.0</v>
      </c>
      <c r="H101" s="2">
        <v>17.0</v>
      </c>
      <c r="I101" s="2">
        <v>32.0</v>
      </c>
      <c r="J101" s="3">
        <f t="shared" si="1"/>
        <v>10.30555556</v>
      </c>
      <c r="K101" s="2">
        <v>90.0</v>
      </c>
      <c r="L101" s="2">
        <v>160.0</v>
      </c>
      <c r="N101" s="3">
        <f t="shared" si="2"/>
        <v>160</v>
      </c>
      <c r="O101" s="2">
        <v>98.0</v>
      </c>
      <c r="P101" s="2">
        <f t="shared" si="3"/>
        <v>13.4</v>
      </c>
      <c r="Q101" s="2">
        <v>7.0</v>
      </c>
      <c r="R101" s="2">
        <v>5.0</v>
      </c>
      <c r="S101" s="2">
        <v>12.0</v>
      </c>
      <c r="T101" s="2">
        <v>15.0</v>
      </c>
      <c r="U101" s="2">
        <v>15.0</v>
      </c>
      <c r="V101" s="2">
        <v>15.0</v>
      </c>
      <c r="W101" s="2">
        <v>19.0</v>
      </c>
      <c r="X101" s="2">
        <v>25.0</v>
      </c>
      <c r="Y101" s="2">
        <v>28.0</v>
      </c>
      <c r="Z101" s="2">
        <v>28.0</v>
      </c>
      <c r="AA101" s="2">
        <v>28.0</v>
      </c>
      <c r="AB101" s="2">
        <v>50.0</v>
      </c>
      <c r="AC101" s="2">
        <v>310.0</v>
      </c>
      <c r="AD101" s="3">
        <f t="shared" si="4"/>
        <v>9</v>
      </c>
    </row>
    <row r="102">
      <c r="A102" s="1" t="s">
        <v>650</v>
      </c>
      <c r="B102" s="1" t="s">
        <v>651</v>
      </c>
      <c r="C102" s="2" t="s">
        <v>652</v>
      </c>
      <c r="D102" s="2"/>
      <c r="E102" s="2">
        <v>25.0</v>
      </c>
      <c r="F102" s="2"/>
      <c r="G102" s="2">
        <v>9.0</v>
      </c>
      <c r="H102" s="2">
        <v>18.5</v>
      </c>
      <c r="I102" s="2">
        <v>26.0</v>
      </c>
      <c r="J102" s="3">
        <f t="shared" si="1"/>
        <v>9.763888889</v>
      </c>
      <c r="K102" s="2">
        <v>90.0</v>
      </c>
      <c r="L102" s="2">
        <v>185.0</v>
      </c>
      <c r="N102" s="3">
        <f t="shared" si="2"/>
        <v>185</v>
      </c>
      <c r="O102" s="2">
        <v>100.0</v>
      </c>
      <c r="P102" s="2">
        <f t="shared" si="3"/>
        <v>14.125</v>
      </c>
      <c r="Q102" s="2">
        <v>7.0</v>
      </c>
      <c r="R102" s="2">
        <v>3.0</v>
      </c>
      <c r="S102" s="2">
        <v>9.0</v>
      </c>
      <c r="T102" s="2">
        <v>10.0</v>
      </c>
      <c r="U102" s="2">
        <v>12.0</v>
      </c>
      <c r="V102" s="2">
        <v>15.0</v>
      </c>
      <c r="W102" s="2">
        <v>19.0</v>
      </c>
      <c r="X102" s="2">
        <v>25.0</v>
      </c>
      <c r="Y102" s="2">
        <v>27.0</v>
      </c>
      <c r="Z102" s="2">
        <v>29.0</v>
      </c>
      <c r="AA102" s="2">
        <v>29.0</v>
      </c>
      <c r="AB102" s="2">
        <v>50.0</v>
      </c>
      <c r="AC102" s="2">
        <v>320.0</v>
      </c>
      <c r="AD102" s="3">
        <f t="shared" si="4"/>
        <v>9.25</v>
      </c>
    </row>
    <row r="103">
      <c r="A103" s="1" t="s">
        <v>653</v>
      </c>
      <c r="B103" s="1" t="s">
        <v>654</v>
      </c>
      <c r="C103" s="2" t="s">
        <v>655</v>
      </c>
      <c r="D103" s="2"/>
      <c r="E103" s="2">
        <v>31.0</v>
      </c>
      <c r="F103" s="2"/>
      <c r="G103" s="2">
        <v>13.0</v>
      </c>
      <c r="H103" s="2">
        <v>15.5</v>
      </c>
      <c r="I103" s="2">
        <v>28.0</v>
      </c>
      <c r="J103" s="3">
        <f t="shared" si="1"/>
        <v>10.23611111</v>
      </c>
      <c r="K103" s="2">
        <v>100.0</v>
      </c>
      <c r="L103" s="2">
        <v>195.0</v>
      </c>
      <c r="N103" s="3">
        <f t="shared" si="2"/>
        <v>195</v>
      </c>
      <c r="O103" s="2">
        <v>98.0</v>
      </c>
      <c r="P103" s="2">
        <f t="shared" si="3"/>
        <v>14.775</v>
      </c>
      <c r="Q103" s="2">
        <v>7.0</v>
      </c>
      <c r="R103" s="2">
        <v>7.0</v>
      </c>
      <c r="S103" s="2">
        <v>12.0</v>
      </c>
      <c r="T103" s="2">
        <v>12.0</v>
      </c>
      <c r="U103" s="2">
        <v>15.0</v>
      </c>
      <c r="V103" s="2">
        <v>15.0</v>
      </c>
      <c r="W103" s="2">
        <v>20.0</v>
      </c>
      <c r="X103" s="2">
        <v>26.0</v>
      </c>
      <c r="Y103" s="2">
        <v>30.0</v>
      </c>
      <c r="Z103" s="2">
        <v>29.0</v>
      </c>
      <c r="AA103" s="2">
        <v>29.0</v>
      </c>
      <c r="AB103" s="2">
        <v>50.0</v>
      </c>
      <c r="AC103" s="2">
        <v>310.0</v>
      </c>
      <c r="AD103" s="3">
        <f t="shared" si="4"/>
        <v>9</v>
      </c>
    </row>
    <row r="104">
      <c r="A104" s="1" t="s">
        <v>668</v>
      </c>
      <c r="B104" s="1" t="s">
        <v>669</v>
      </c>
      <c r="C104" s="2" t="s">
        <v>670</v>
      </c>
      <c r="D104" s="2"/>
      <c r="E104" s="2">
        <v>36.0</v>
      </c>
      <c r="F104" s="2"/>
      <c r="G104" s="2">
        <v>16.0</v>
      </c>
      <c r="H104" s="2">
        <v>20.0</v>
      </c>
      <c r="I104" s="2">
        <v>41.0</v>
      </c>
      <c r="J104" s="3">
        <f t="shared" si="1"/>
        <v>13.55555556</v>
      </c>
      <c r="K104" s="2">
        <v>95.0</v>
      </c>
      <c r="L104" s="2">
        <v>195.0</v>
      </c>
      <c r="N104" s="3">
        <f t="shared" si="2"/>
        <v>195</v>
      </c>
      <c r="O104" s="2">
        <v>100.0</v>
      </c>
      <c r="P104" s="2">
        <f t="shared" si="3"/>
        <v>14.625</v>
      </c>
      <c r="Q104" s="2">
        <v>7.0</v>
      </c>
      <c r="R104" s="2">
        <v>7.0</v>
      </c>
      <c r="S104" s="2">
        <v>9.0</v>
      </c>
      <c r="T104" s="2">
        <v>14.0</v>
      </c>
      <c r="U104" s="2">
        <v>15.0</v>
      </c>
      <c r="V104" s="2">
        <v>15.0</v>
      </c>
      <c r="W104" s="2">
        <v>18.0</v>
      </c>
      <c r="X104" s="2">
        <v>29.0</v>
      </c>
      <c r="Y104" s="2">
        <v>28.0</v>
      </c>
      <c r="Z104" s="2">
        <v>30.0</v>
      </c>
      <c r="AA104" s="2">
        <v>30.0</v>
      </c>
      <c r="AB104" s="2">
        <v>50.0</v>
      </c>
      <c r="AC104" s="2">
        <v>300.0</v>
      </c>
      <c r="AD104" s="3">
        <f t="shared" si="4"/>
        <v>8.75</v>
      </c>
    </row>
    <row r="105">
      <c r="A105" s="1" t="s">
        <v>671</v>
      </c>
      <c r="B105" s="1" t="s">
        <v>672</v>
      </c>
      <c r="C105" s="2" t="s">
        <v>673</v>
      </c>
      <c r="D105" s="2"/>
      <c r="E105" s="2">
        <v>36.0</v>
      </c>
      <c r="F105" s="2"/>
      <c r="G105" s="2">
        <v>16.0</v>
      </c>
      <c r="H105" s="2">
        <v>18.5</v>
      </c>
      <c r="I105" s="2">
        <v>34.0</v>
      </c>
      <c r="J105" s="3">
        <f t="shared" si="1"/>
        <v>12.40277778</v>
      </c>
      <c r="K105" s="2">
        <v>90.0</v>
      </c>
      <c r="L105" s="2">
        <v>200.0</v>
      </c>
      <c r="N105" s="3">
        <f t="shared" si="2"/>
        <v>200</v>
      </c>
      <c r="O105" s="2">
        <v>100.0</v>
      </c>
      <c r="P105" s="2">
        <f t="shared" si="3"/>
        <v>14.5</v>
      </c>
      <c r="Q105" s="2">
        <v>6.0</v>
      </c>
      <c r="R105" s="2">
        <v>10.0</v>
      </c>
      <c r="S105" s="2">
        <v>15.0</v>
      </c>
      <c r="T105" s="2">
        <v>10.0</v>
      </c>
      <c r="U105" s="2">
        <v>12.0</v>
      </c>
      <c r="V105" s="2">
        <v>15.0</v>
      </c>
      <c r="W105" s="2">
        <v>20.0</v>
      </c>
      <c r="X105" s="2">
        <v>30.0</v>
      </c>
      <c r="Y105" s="2">
        <v>28.0</v>
      </c>
      <c r="Z105" s="2">
        <v>30.0</v>
      </c>
      <c r="AA105" s="2">
        <v>30.0</v>
      </c>
      <c r="AB105" s="2">
        <v>50.0</v>
      </c>
      <c r="AC105" s="2">
        <v>310.0</v>
      </c>
      <c r="AD105" s="3">
        <f t="shared" si="4"/>
        <v>9</v>
      </c>
    </row>
    <row r="106">
      <c r="A106" s="1" t="s">
        <v>680</v>
      </c>
      <c r="B106" s="1" t="s">
        <v>681</v>
      </c>
      <c r="C106" s="2" t="s">
        <v>682</v>
      </c>
      <c r="D106" s="2"/>
      <c r="E106" s="2">
        <v>32.0</v>
      </c>
      <c r="F106" s="2"/>
      <c r="G106" s="2">
        <v>9.0</v>
      </c>
      <c r="H106" s="2">
        <v>14.0</v>
      </c>
      <c r="I106" s="2">
        <v>36.0</v>
      </c>
      <c r="J106" s="3">
        <f t="shared" si="1"/>
        <v>9.75</v>
      </c>
      <c r="K106" s="2">
        <v>100.0</v>
      </c>
      <c r="L106" s="2">
        <v>190.0</v>
      </c>
      <c r="N106" s="3">
        <f t="shared" si="2"/>
        <v>190</v>
      </c>
      <c r="O106" s="2">
        <v>98.0</v>
      </c>
      <c r="P106" s="2">
        <f t="shared" si="3"/>
        <v>14.65</v>
      </c>
      <c r="Q106" s="2">
        <v>7.0</v>
      </c>
      <c r="R106" s="2">
        <v>8.0</v>
      </c>
      <c r="S106" s="2">
        <v>9.0</v>
      </c>
      <c r="T106" s="2">
        <v>15.0</v>
      </c>
      <c r="U106" s="2">
        <v>15.0</v>
      </c>
      <c r="V106" s="2">
        <v>14.0</v>
      </c>
      <c r="W106" s="2">
        <v>20.0</v>
      </c>
      <c r="X106" s="2">
        <v>29.0</v>
      </c>
      <c r="Y106" s="2">
        <v>27.0</v>
      </c>
      <c r="Z106" s="2">
        <v>29.0</v>
      </c>
      <c r="AA106" s="2">
        <v>28.0</v>
      </c>
      <c r="AB106" s="2">
        <v>50.0</v>
      </c>
      <c r="AC106" s="2">
        <v>300.0</v>
      </c>
      <c r="AD106" s="3">
        <f t="shared" si="4"/>
        <v>8.75</v>
      </c>
    </row>
    <row r="107">
      <c r="A107" s="1" t="s">
        <v>683</v>
      </c>
      <c r="B107" s="1" t="s">
        <v>684</v>
      </c>
      <c r="C107" s="2" t="s">
        <v>685</v>
      </c>
      <c r="D107" s="2"/>
      <c r="E107" s="2">
        <v>24.0</v>
      </c>
      <c r="F107" s="2"/>
      <c r="G107" s="2">
        <v>13.0</v>
      </c>
      <c r="H107" s="2">
        <v>13.0</v>
      </c>
      <c r="I107" s="2">
        <v>34.0</v>
      </c>
      <c r="J107" s="3">
        <f t="shared" si="1"/>
        <v>10.27777778</v>
      </c>
      <c r="K107" s="2">
        <v>100.0</v>
      </c>
      <c r="L107" s="2">
        <v>200.0</v>
      </c>
      <c r="N107" s="3">
        <f t="shared" si="2"/>
        <v>200</v>
      </c>
      <c r="O107" s="2">
        <v>95.0</v>
      </c>
      <c r="P107" s="2">
        <f t="shared" si="3"/>
        <v>14.75</v>
      </c>
      <c r="Q107" s="2">
        <v>7.0</v>
      </c>
      <c r="R107" s="2">
        <v>8.0</v>
      </c>
      <c r="S107" s="2">
        <v>9.0</v>
      </c>
      <c r="T107" s="2">
        <v>10.0</v>
      </c>
      <c r="U107" s="2">
        <v>15.0</v>
      </c>
      <c r="V107" s="2">
        <v>14.0</v>
      </c>
      <c r="W107" s="2">
        <v>19.0</v>
      </c>
      <c r="X107" s="2">
        <v>30.0</v>
      </c>
      <c r="Y107" s="2">
        <v>30.0</v>
      </c>
      <c r="Z107" s="2">
        <v>29.0</v>
      </c>
      <c r="AA107" s="2">
        <v>29.0</v>
      </c>
      <c r="AB107" s="2">
        <v>50.0</v>
      </c>
      <c r="AC107" s="2">
        <v>300.0</v>
      </c>
      <c r="AD107" s="3">
        <f t="shared" si="4"/>
        <v>8.75</v>
      </c>
    </row>
    <row r="108">
      <c r="A108" s="1" t="s">
        <v>686</v>
      </c>
      <c r="B108" s="1" t="s">
        <v>687</v>
      </c>
      <c r="C108" s="2" t="s">
        <v>688</v>
      </c>
      <c r="D108" s="2"/>
      <c r="E108" s="2">
        <v>15.0</v>
      </c>
      <c r="F108" s="2"/>
      <c r="G108" s="2">
        <v>2.0</v>
      </c>
      <c r="H108" s="2">
        <v>9.5</v>
      </c>
      <c r="I108" s="2">
        <v>18.0</v>
      </c>
      <c r="J108" s="3">
        <f t="shared" si="1"/>
        <v>4.875</v>
      </c>
      <c r="K108" s="2">
        <v>80.0</v>
      </c>
      <c r="L108" s="2">
        <v>155.0</v>
      </c>
      <c r="N108" s="3">
        <f t="shared" si="2"/>
        <v>155</v>
      </c>
      <c r="O108" s="2">
        <v>98.0</v>
      </c>
      <c r="P108" s="2">
        <f t="shared" si="3"/>
        <v>12.775</v>
      </c>
      <c r="Q108" s="2">
        <v>5.0</v>
      </c>
      <c r="R108" s="2">
        <v>5.0</v>
      </c>
      <c r="S108" s="2">
        <v>12.0</v>
      </c>
      <c r="T108" s="2">
        <v>12.0</v>
      </c>
      <c r="U108" s="2">
        <v>15.0</v>
      </c>
      <c r="V108" s="2">
        <v>12.0</v>
      </c>
      <c r="W108" s="2">
        <v>20.0</v>
      </c>
      <c r="X108" s="2">
        <v>22.0</v>
      </c>
      <c r="Y108" s="2">
        <v>17.0</v>
      </c>
      <c r="Z108" s="2">
        <v>29.0</v>
      </c>
      <c r="AA108" s="2">
        <v>28.0</v>
      </c>
      <c r="AB108" s="2">
        <v>50.0</v>
      </c>
      <c r="AC108" s="2">
        <v>250.0</v>
      </c>
      <c r="AD108" s="3">
        <f t="shared" si="4"/>
        <v>7.5</v>
      </c>
    </row>
    <row r="109">
      <c r="A109" s="1" t="s">
        <v>695</v>
      </c>
      <c r="B109" s="1" t="s">
        <v>696</v>
      </c>
      <c r="C109" s="2" t="s">
        <v>697</v>
      </c>
      <c r="D109" s="2"/>
      <c r="E109" s="2">
        <v>7.0</v>
      </c>
      <c r="F109" s="2"/>
      <c r="G109" s="2">
        <v>5.0</v>
      </c>
      <c r="H109" s="2">
        <v>0.0</v>
      </c>
      <c r="I109" s="2">
        <v>40.0</v>
      </c>
      <c r="J109" s="3">
        <f t="shared" si="1"/>
        <v>5.694444444</v>
      </c>
      <c r="K109" s="2">
        <v>100.0</v>
      </c>
      <c r="L109" s="2">
        <v>125.0</v>
      </c>
      <c r="N109" s="3">
        <f t="shared" si="2"/>
        <v>125</v>
      </c>
      <c r="O109" s="2">
        <v>0.0</v>
      </c>
      <c r="P109" s="2">
        <f t="shared" si="3"/>
        <v>8.125</v>
      </c>
      <c r="Q109" s="2">
        <v>7.0</v>
      </c>
      <c r="R109" s="2">
        <v>7.0</v>
      </c>
      <c r="S109" s="2">
        <v>15.0</v>
      </c>
      <c r="T109" s="2">
        <v>15.0</v>
      </c>
      <c r="U109" s="2">
        <v>15.0</v>
      </c>
      <c r="V109" s="2">
        <v>13.0</v>
      </c>
      <c r="W109" s="2">
        <v>20.0</v>
      </c>
      <c r="X109" s="2">
        <v>0.0</v>
      </c>
      <c r="Y109" s="2">
        <v>0.0</v>
      </c>
      <c r="Z109" s="2">
        <v>29.0</v>
      </c>
      <c r="AA109" s="2">
        <v>27.0</v>
      </c>
      <c r="AB109" s="2">
        <v>50.0</v>
      </c>
      <c r="AC109" s="2">
        <v>320.0</v>
      </c>
      <c r="AD109" s="3">
        <f t="shared" si="4"/>
        <v>9.25</v>
      </c>
    </row>
    <row r="110">
      <c r="A110" s="1" t="s">
        <v>707</v>
      </c>
      <c r="B110" s="1" t="s">
        <v>708</v>
      </c>
      <c r="C110" s="2" t="s">
        <v>709</v>
      </c>
      <c r="D110" s="2"/>
      <c r="E110" s="2">
        <v>34.0</v>
      </c>
      <c r="F110" s="2"/>
      <c r="G110" s="2">
        <v>9.0</v>
      </c>
      <c r="H110" s="2">
        <v>18.5</v>
      </c>
      <c r="I110" s="2">
        <v>45.0</v>
      </c>
      <c r="J110" s="3">
        <f t="shared" si="1"/>
        <v>11.875</v>
      </c>
      <c r="K110" s="2">
        <v>100.0</v>
      </c>
      <c r="L110" s="2">
        <v>200.0</v>
      </c>
      <c r="N110" s="3">
        <f t="shared" si="2"/>
        <v>200</v>
      </c>
      <c r="O110" s="2">
        <v>100.0</v>
      </c>
      <c r="P110" s="2">
        <f t="shared" si="3"/>
        <v>15</v>
      </c>
      <c r="Q110" s="2">
        <v>7.0</v>
      </c>
      <c r="R110" s="2">
        <v>10.0</v>
      </c>
      <c r="S110" s="2">
        <v>15.0</v>
      </c>
      <c r="T110" s="2">
        <v>15.0</v>
      </c>
      <c r="U110" s="2">
        <v>15.0</v>
      </c>
      <c r="V110" s="2">
        <v>15.0</v>
      </c>
      <c r="W110" s="2">
        <v>20.0</v>
      </c>
      <c r="X110" s="2">
        <v>30.0</v>
      </c>
      <c r="Y110" s="2">
        <v>30.0</v>
      </c>
      <c r="Z110" s="2">
        <v>30.0</v>
      </c>
      <c r="AA110" s="2">
        <v>30.0</v>
      </c>
      <c r="AB110" s="2">
        <v>20.0</v>
      </c>
      <c r="AC110" s="2">
        <v>330.0</v>
      </c>
      <c r="AD110" s="3">
        <f t="shared" si="4"/>
        <v>8.75</v>
      </c>
    </row>
    <row r="111">
      <c r="A111" s="1" t="s">
        <v>710</v>
      </c>
      <c r="B111" s="1" t="s">
        <v>711</v>
      </c>
      <c r="C111" s="2" t="s">
        <v>712</v>
      </c>
      <c r="D111" s="2"/>
      <c r="E111" s="2">
        <v>21.0</v>
      </c>
      <c r="F111" s="2"/>
      <c r="G111" s="2">
        <v>9.0</v>
      </c>
      <c r="H111" s="2">
        <v>8.0</v>
      </c>
      <c r="I111" s="2">
        <v>16.0</v>
      </c>
      <c r="J111" s="3">
        <f t="shared" si="1"/>
        <v>6.027777778</v>
      </c>
      <c r="K111" s="2">
        <v>100.0</v>
      </c>
      <c r="L111" s="2">
        <v>150.0</v>
      </c>
      <c r="N111" s="3">
        <f t="shared" si="2"/>
        <v>150</v>
      </c>
      <c r="O111" s="2">
        <v>100.0</v>
      </c>
      <c r="P111" s="2">
        <f t="shared" si="3"/>
        <v>13.75</v>
      </c>
      <c r="Q111" s="2">
        <v>4.0</v>
      </c>
      <c r="R111" s="2">
        <v>2.0</v>
      </c>
      <c r="S111" s="2">
        <v>12.0</v>
      </c>
      <c r="T111" s="2">
        <v>15.0</v>
      </c>
      <c r="U111" s="2">
        <v>15.0</v>
      </c>
      <c r="V111" s="2">
        <v>10.0</v>
      </c>
      <c r="W111" s="2">
        <v>20.0</v>
      </c>
      <c r="X111" s="2">
        <v>30.0</v>
      </c>
      <c r="Y111" s="2">
        <v>30.0</v>
      </c>
      <c r="Z111" s="2">
        <v>29.0</v>
      </c>
      <c r="AA111" s="2">
        <v>29.0</v>
      </c>
      <c r="AB111" s="2">
        <v>50.0</v>
      </c>
      <c r="AC111" s="2">
        <v>340.0</v>
      </c>
      <c r="AD111" s="3">
        <f t="shared" si="4"/>
        <v>9.75</v>
      </c>
    </row>
    <row r="112">
      <c r="A112" s="1" t="s">
        <v>734</v>
      </c>
      <c r="B112" s="1" t="s">
        <v>735</v>
      </c>
      <c r="C112" s="2" t="s">
        <v>736</v>
      </c>
      <c r="D112" s="2"/>
      <c r="E112" s="2">
        <v>16.0</v>
      </c>
      <c r="F112" s="2"/>
      <c r="G112" s="2">
        <v>5.0</v>
      </c>
      <c r="H112" s="2">
        <v>2.0</v>
      </c>
      <c r="I112" s="2">
        <v>9.0</v>
      </c>
      <c r="J112" s="3">
        <f t="shared" si="1"/>
        <v>2.75</v>
      </c>
      <c r="K112" s="2">
        <v>50.0</v>
      </c>
      <c r="L112" s="2">
        <v>125.0</v>
      </c>
      <c r="N112" s="3">
        <f t="shared" si="2"/>
        <v>125</v>
      </c>
      <c r="O112" s="2">
        <v>100.0</v>
      </c>
      <c r="P112" s="2">
        <f t="shared" si="3"/>
        <v>10.625</v>
      </c>
      <c r="Q112" s="2">
        <v>6.0</v>
      </c>
      <c r="R112" s="2">
        <v>5.0</v>
      </c>
      <c r="S112" s="2">
        <v>12.0</v>
      </c>
      <c r="T112" s="2">
        <v>12.0</v>
      </c>
      <c r="U112" s="2">
        <v>12.0</v>
      </c>
      <c r="V112" s="2">
        <v>11.0</v>
      </c>
      <c r="W112" s="2">
        <v>20.0</v>
      </c>
      <c r="X112" s="2">
        <v>30.0</v>
      </c>
      <c r="Y112" s="2">
        <v>28.0</v>
      </c>
      <c r="AA112" s="2">
        <v>29.0</v>
      </c>
      <c r="AB112" s="2">
        <v>30.0</v>
      </c>
      <c r="AC112" s="2">
        <v>300.0</v>
      </c>
      <c r="AD112" s="3">
        <f t="shared" si="4"/>
        <v>8.25</v>
      </c>
    </row>
    <row r="113">
      <c r="A113" s="1" t="s">
        <v>737</v>
      </c>
      <c r="B113" s="1" t="s">
        <v>738</v>
      </c>
      <c r="C113" s="2" t="s">
        <v>739</v>
      </c>
      <c r="D113" s="2"/>
      <c r="E113" s="2">
        <v>23.0</v>
      </c>
      <c r="F113" s="2"/>
      <c r="G113" s="2">
        <v>3.0</v>
      </c>
      <c r="H113" s="2">
        <v>7.0</v>
      </c>
      <c r="I113" s="2">
        <v>24.0</v>
      </c>
      <c r="J113" s="3">
        <f t="shared" si="1"/>
        <v>5.166666667</v>
      </c>
      <c r="K113" s="2">
        <v>100.0</v>
      </c>
      <c r="L113" s="2">
        <v>150.0</v>
      </c>
      <c r="N113" s="3">
        <f t="shared" si="2"/>
        <v>150</v>
      </c>
      <c r="O113" s="2">
        <v>100.0</v>
      </c>
      <c r="P113" s="2">
        <f t="shared" si="3"/>
        <v>13.75</v>
      </c>
      <c r="Q113" s="2">
        <v>0.0</v>
      </c>
      <c r="R113" s="2">
        <v>6.0</v>
      </c>
      <c r="S113" s="2">
        <v>15.0</v>
      </c>
      <c r="T113" s="2">
        <v>10.0</v>
      </c>
      <c r="U113" s="2">
        <v>15.0</v>
      </c>
      <c r="V113" s="2">
        <v>15.0</v>
      </c>
      <c r="W113" s="2">
        <v>20.0</v>
      </c>
      <c r="X113" s="2">
        <v>30.0</v>
      </c>
      <c r="Y113" s="2">
        <v>30.0</v>
      </c>
      <c r="Z113" s="2">
        <v>28.0</v>
      </c>
      <c r="AA113" s="2">
        <v>28.0</v>
      </c>
      <c r="AB113" s="2">
        <v>30.0</v>
      </c>
      <c r="AC113" s="2">
        <v>300.0</v>
      </c>
      <c r="AD113" s="3">
        <f t="shared" si="4"/>
        <v>8.25</v>
      </c>
    </row>
    <row r="114">
      <c r="A114" s="1" t="s">
        <v>755</v>
      </c>
      <c r="B114" s="1" t="s">
        <v>756</v>
      </c>
      <c r="C114" s="2" t="s">
        <v>757</v>
      </c>
      <c r="D114" s="2"/>
      <c r="E114" s="2">
        <v>31.0</v>
      </c>
      <c r="F114" s="2"/>
      <c r="G114" s="2">
        <v>7.0</v>
      </c>
      <c r="H114" s="2">
        <v>18.0</v>
      </c>
      <c r="I114" s="2">
        <v>28.0</v>
      </c>
      <c r="J114" s="3">
        <f t="shared" si="1"/>
        <v>9.361111111</v>
      </c>
      <c r="K114" s="2">
        <v>95.0</v>
      </c>
      <c r="L114" s="2">
        <v>185.0</v>
      </c>
      <c r="N114" s="3">
        <f t="shared" si="2"/>
        <v>185</v>
      </c>
      <c r="O114" s="2">
        <v>91.0</v>
      </c>
      <c r="P114" s="2">
        <f t="shared" si="3"/>
        <v>13.925</v>
      </c>
      <c r="Q114" s="2">
        <v>7.0</v>
      </c>
      <c r="R114" s="2">
        <v>10.0</v>
      </c>
      <c r="S114" s="2">
        <v>13.0</v>
      </c>
      <c r="T114" s="2">
        <v>13.0</v>
      </c>
      <c r="U114" s="2">
        <v>15.0</v>
      </c>
      <c r="V114" s="2">
        <v>12.5</v>
      </c>
      <c r="W114" s="2">
        <v>20.0</v>
      </c>
      <c r="X114" s="2">
        <v>28.12</v>
      </c>
      <c r="Y114" s="2">
        <v>28.42</v>
      </c>
      <c r="Z114" s="2">
        <v>29.0</v>
      </c>
      <c r="AA114" s="2">
        <v>28.0</v>
      </c>
      <c r="AB114" s="2">
        <v>48.0</v>
      </c>
      <c r="AC114" s="2">
        <v>340.0</v>
      </c>
      <c r="AD114" s="3">
        <f t="shared" si="4"/>
        <v>9.7</v>
      </c>
    </row>
    <row r="115">
      <c r="A115" s="1" t="s">
        <v>758</v>
      </c>
      <c r="B115" s="1" t="s">
        <v>759</v>
      </c>
      <c r="C115" s="2" t="s">
        <v>760</v>
      </c>
      <c r="D115" s="2"/>
      <c r="E115" s="2">
        <v>26.0</v>
      </c>
      <c r="F115" s="2"/>
      <c r="G115" s="2">
        <v>9.0</v>
      </c>
      <c r="H115" s="2">
        <v>15.0</v>
      </c>
      <c r="I115" s="2">
        <v>27.0</v>
      </c>
      <c r="J115" s="3">
        <f t="shared" si="1"/>
        <v>9</v>
      </c>
      <c r="K115" s="2">
        <v>80.0</v>
      </c>
      <c r="L115" s="2">
        <v>200.0</v>
      </c>
      <c r="N115" s="3">
        <f t="shared" si="2"/>
        <v>200</v>
      </c>
      <c r="O115" s="2">
        <v>93.0</v>
      </c>
      <c r="P115" s="2">
        <f t="shared" si="3"/>
        <v>13.65</v>
      </c>
      <c r="Q115" s="2">
        <v>7.0</v>
      </c>
      <c r="R115" s="2">
        <v>6.0</v>
      </c>
      <c r="S115" s="2">
        <v>7.0</v>
      </c>
      <c r="T115" s="2">
        <v>10.0</v>
      </c>
      <c r="U115" s="2">
        <v>14.5</v>
      </c>
      <c r="V115" s="2">
        <v>13.0</v>
      </c>
      <c r="W115" s="2">
        <v>20.0</v>
      </c>
      <c r="X115" s="2">
        <v>25.31</v>
      </c>
      <c r="Y115" s="2">
        <v>25.0</v>
      </c>
      <c r="Z115" s="2">
        <v>29.0</v>
      </c>
      <c r="AA115" s="2">
        <v>28.0</v>
      </c>
      <c r="AB115" s="2">
        <v>50.0</v>
      </c>
      <c r="AC115" s="2">
        <v>345.0</v>
      </c>
      <c r="AD115" s="3">
        <f t="shared" si="4"/>
        <v>9.875</v>
      </c>
    </row>
    <row r="116">
      <c r="A116" s="1" t="s">
        <v>761</v>
      </c>
      <c r="B116" s="1" t="s">
        <v>762</v>
      </c>
      <c r="C116" s="2" t="s">
        <v>763</v>
      </c>
      <c r="D116" s="2"/>
      <c r="E116" s="2">
        <v>29.0</v>
      </c>
      <c r="F116" s="2"/>
      <c r="G116" s="2">
        <v>10.0</v>
      </c>
      <c r="H116" s="2">
        <v>13.0</v>
      </c>
      <c r="I116" s="2">
        <v>33.0</v>
      </c>
      <c r="J116" s="3">
        <f t="shared" si="1"/>
        <v>9.416666667</v>
      </c>
      <c r="K116" s="2">
        <v>87.0</v>
      </c>
      <c r="L116" s="2">
        <v>190.0</v>
      </c>
      <c r="N116" s="3">
        <f t="shared" si="2"/>
        <v>190</v>
      </c>
      <c r="O116" s="2">
        <v>95.0</v>
      </c>
      <c r="P116" s="2">
        <f t="shared" si="3"/>
        <v>13.85</v>
      </c>
      <c r="Q116" s="2">
        <v>7.0</v>
      </c>
      <c r="R116" s="2">
        <v>6.0</v>
      </c>
      <c r="S116" s="2">
        <v>14.0</v>
      </c>
      <c r="T116" s="2">
        <v>11.0</v>
      </c>
      <c r="U116" s="2">
        <v>13.0</v>
      </c>
      <c r="V116" s="2">
        <v>13.0</v>
      </c>
      <c r="W116" s="2">
        <v>20.0</v>
      </c>
      <c r="X116" s="2">
        <v>25.62</v>
      </c>
      <c r="Y116" s="2">
        <v>29.74</v>
      </c>
      <c r="Z116" s="2">
        <v>29.0</v>
      </c>
      <c r="AA116" s="2">
        <v>29.0</v>
      </c>
      <c r="AB116" s="2">
        <v>0.0</v>
      </c>
      <c r="AC116" s="2">
        <v>340.0</v>
      </c>
      <c r="AD116" s="3">
        <f t="shared" si="4"/>
        <v>8.5</v>
      </c>
    </row>
    <row r="117">
      <c r="A117" s="1" t="s">
        <v>764</v>
      </c>
      <c r="B117" s="1" t="s">
        <v>765</v>
      </c>
      <c r="C117" s="2" t="s">
        <v>766</v>
      </c>
      <c r="D117" s="2"/>
      <c r="E117" s="2">
        <v>32.0</v>
      </c>
      <c r="F117" s="2"/>
      <c r="G117" s="2">
        <v>9.0</v>
      </c>
      <c r="H117" s="2">
        <v>11.0</v>
      </c>
      <c r="I117" s="2">
        <v>25.0</v>
      </c>
      <c r="J117" s="3">
        <f t="shared" si="1"/>
        <v>7.777777778</v>
      </c>
      <c r="K117" s="2">
        <v>100.0</v>
      </c>
      <c r="L117" s="2">
        <v>180.0</v>
      </c>
      <c r="N117" s="3">
        <f t="shared" si="2"/>
        <v>180</v>
      </c>
      <c r="O117" s="2">
        <v>70.0</v>
      </c>
      <c r="P117" s="2">
        <f t="shared" si="3"/>
        <v>13</v>
      </c>
      <c r="Q117" s="2">
        <v>7.0</v>
      </c>
      <c r="R117" s="2">
        <v>7.0</v>
      </c>
      <c r="S117" s="2">
        <v>10.0</v>
      </c>
      <c r="T117" s="2">
        <v>10.0</v>
      </c>
      <c r="U117" s="2">
        <v>15.0</v>
      </c>
      <c r="V117" s="2">
        <v>14.0</v>
      </c>
      <c r="W117" s="2">
        <v>20.0</v>
      </c>
      <c r="X117" s="2">
        <v>26.56</v>
      </c>
      <c r="Y117" s="2">
        <v>27.63</v>
      </c>
      <c r="Z117" s="2">
        <v>28.0</v>
      </c>
      <c r="AA117" s="2">
        <v>27.0</v>
      </c>
      <c r="AB117" s="2">
        <v>50.0</v>
      </c>
      <c r="AC117" s="2">
        <v>345.0</v>
      </c>
      <c r="AD117" s="3">
        <f t="shared" si="4"/>
        <v>9.875</v>
      </c>
    </row>
    <row r="118">
      <c r="A118" s="1" t="s">
        <v>767</v>
      </c>
      <c r="B118" s="1" t="s">
        <v>768</v>
      </c>
      <c r="C118" s="2" t="s">
        <v>769</v>
      </c>
      <c r="D118" s="2"/>
      <c r="E118" s="2">
        <v>28.0</v>
      </c>
      <c r="F118" s="2"/>
      <c r="G118" s="2">
        <v>11.0</v>
      </c>
      <c r="H118" s="2">
        <v>12.5</v>
      </c>
      <c r="I118" s="2">
        <v>25.0</v>
      </c>
      <c r="J118" s="3">
        <f t="shared" si="1"/>
        <v>8.652777778</v>
      </c>
      <c r="K118" s="2">
        <v>90.0</v>
      </c>
      <c r="L118" s="2">
        <v>195.0</v>
      </c>
      <c r="N118" s="3">
        <f t="shared" si="2"/>
        <v>195</v>
      </c>
      <c r="O118" s="2">
        <v>96.0</v>
      </c>
      <c r="P118" s="2">
        <f t="shared" si="3"/>
        <v>14.175</v>
      </c>
      <c r="Q118" s="2">
        <v>7.0</v>
      </c>
      <c r="R118" s="2">
        <v>7.0</v>
      </c>
      <c r="S118" s="2">
        <v>12.0</v>
      </c>
      <c r="T118" s="2">
        <v>15.0</v>
      </c>
      <c r="U118" s="2">
        <v>15.0</v>
      </c>
      <c r="V118" s="2">
        <v>13.5</v>
      </c>
      <c r="W118" s="2">
        <v>19.5</v>
      </c>
      <c r="X118" s="2">
        <v>25.62</v>
      </c>
      <c r="Y118" s="2">
        <v>26.84</v>
      </c>
      <c r="Z118" s="2">
        <v>30.0</v>
      </c>
      <c r="AA118" s="2">
        <v>30.0</v>
      </c>
      <c r="AB118" s="2">
        <v>43.0</v>
      </c>
      <c r="AC118" s="2">
        <v>345.0</v>
      </c>
      <c r="AD118" s="3">
        <f t="shared" si="4"/>
        <v>9.7</v>
      </c>
    </row>
    <row r="119">
      <c r="A119" s="1" t="s">
        <v>775</v>
      </c>
      <c r="B119" s="1" t="s">
        <v>776</v>
      </c>
      <c r="C119" s="2" t="s">
        <v>777</v>
      </c>
      <c r="D119" s="2"/>
      <c r="E119" s="2">
        <v>13.0</v>
      </c>
      <c r="F119" s="2"/>
      <c r="G119" s="2">
        <v>6.5</v>
      </c>
      <c r="I119" s="2">
        <v>4.0</v>
      </c>
      <c r="J119" s="3">
        <f t="shared" si="1"/>
        <v>2.069444444</v>
      </c>
      <c r="K119" s="2">
        <v>85.0</v>
      </c>
      <c r="L119" s="2">
        <v>180.0</v>
      </c>
      <c r="N119" s="3">
        <f t="shared" si="2"/>
        <v>180</v>
      </c>
      <c r="P119" s="2">
        <f t="shared" si="3"/>
        <v>8.75</v>
      </c>
      <c r="Q119" s="2">
        <v>3.0</v>
      </c>
      <c r="R119" s="2">
        <v>5.0</v>
      </c>
      <c r="S119" s="2">
        <v>13.0</v>
      </c>
      <c r="T119" s="2">
        <v>0.0</v>
      </c>
      <c r="W119" s="2">
        <v>7.0</v>
      </c>
      <c r="X119" s="2">
        <v>25.62</v>
      </c>
      <c r="Z119" s="2">
        <v>27.0</v>
      </c>
      <c r="AA119" s="2">
        <v>27.0</v>
      </c>
      <c r="AB119" s="2">
        <v>49.0</v>
      </c>
      <c r="AC119" s="2">
        <v>340.0</v>
      </c>
      <c r="AD119" s="3">
        <f t="shared" si="4"/>
        <v>9.725</v>
      </c>
    </row>
    <row r="120">
      <c r="A120" s="1" t="s">
        <v>778</v>
      </c>
      <c r="B120" s="1" t="s">
        <v>779</v>
      </c>
      <c r="C120" s="2" t="s">
        <v>780</v>
      </c>
      <c r="D120" s="2"/>
      <c r="E120" s="2">
        <v>35.0</v>
      </c>
      <c r="F120" s="2"/>
      <c r="G120" s="2">
        <v>12.0</v>
      </c>
      <c r="H120" s="2">
        <v>9.5</v>
      </c>
      <c r="I120" s="2">
        <v>20.0</v>
      </c>
      <c r="J120" s="3">
        <f t="shared" si="1"/>
        <v>7.597222222</v>
      </c>
      <c r="K120" s="2">
        <v>100.0</v>
      </c>
      <c r="L120" s="2">
        <v>198.0</v>
      </c>
      <c r="N120" s="3">
        <f t="shared" si="2"/>
        <v>198</v>
      </c>
      <c r="O120" s="2">
        <v>94.0</v>
      </c>
      <c r="P120" s="2">
        <f t="shared" si="3"/>
        <v>14.65</v>
      </c>
      <c r="R120" s="2">
        <v>8.0</v>
      </c>
      <c r="S120" s="2">
        <v>12.0</v>
      </c>
      <c r="T120" s="2">
        <v>14.0</v>
      </c>
      <c r="U120" s="2">
        <v>14.0</v>
      </c>
      <c r="V120" s="2">
        <v>14.0</v>
      </c>
      <c r="W120" s="2">
        <v>17.0</v>
      </c>
      <c r="X120" s="2">
        <v>28.0</v>
      </c>
      <c r="Y120" s="2">
        <v>27.37</v>
      </c>
      <c r="AA120" s="2">
        <v>30.0</v>
      </c>
      <c r="AB120" s="2">
        <v>43.0</v>
      </c>
      <c r="AC120" s="2">
        <v>343.0</v>
      </c>
      <c r="AD120" s="3">
        <f t="shared" si="4"/>
        <v>9.65</v>
      </c>
    </row>
    <row r="121">
      <c r="A121" s="1" t="s">
        <v>793</v>
      </c>
      <c r="B121" s="1" t="s">
        <v>794</v>
      </c>
      <c r="C121" s="2" t="s">
        <v>795</v>
      </c>
      <c r="D121" s="2"/>
      <c r="E121" s="2">
        <v>35.0</v>
      </c>
      <c r="F121" s="2"/>
      <c r="G121" s="2">
        <v>16.0</v>
      </c>
      <c r="H121" s="2">
        <v>17.5</v>
      </c>
      <c r="I121" s="2">
        <v>35.0</v>
      </c>
      <c r="J121" s="3">
        <f t="shared" si="1"/>
        <v>12.26388889</v>
      </c>
      <c r="K121" s="2">
        <v>95.0</v>
      </c>
      <c r="L121" s="2">
        <v>200.0</v>
      </c>
      <c r="N121" s="3">
        <f t="shared" si="2"/>
        <v>200</v>
      </c>
      <c r="O121" s="2">
        <v>96.0</v>
      </c>
      <c r="P121" s="2">
        <f t="shared" si="3"/>
        <v>14.55</v>
      </c>
      <c r="Q121" s="2">
        <v>7.0</v>
      </c>
      <c r="R121" s="2">
        <v>7.0</v>
      </c>
      <c r="S121" s="2">
        <v>14.0</v>
      </c>
      <c r="T121" s="2">
        <v>10.0</v>
      </c>
      <c r="U121" s="2">
        <v>15.0</v>
      </c>
      <c r="V121" s="2">
        <v>14.0</v>
      </c>
      <c r="W121" s="2">
        <v>20.0</v>
      </c>
      <c r="X121" s="2">
        <v>30.0</v>
      </c>
      <c r="Y121" s="2">
        <v>28.66</v>
      </c>
      <c r="Z121" s="2">
        <v>30.0</v>
      </c>
      <c r="AA121" s="2">
        <v>30.0</v>
      </c>
      <c r="AB121" s="2">
        <v>44.0</v>
      </c>
      <c r="AC121" s="2">
        <v>345.0</v>
      </c>
      <c r="AD121" s="3">
        <f t="shared" si="4"/>
        <v>9.725</v>
      </c>
    </row>
    <row r="122">
      <c r="A122" s="1" t="s">
        <v>799</v>
      </c>
      <c r="B122" s="1" t="s">
        <v>800</v>
      </c>
      <c r="C122" s="2" t="s">
        <v>801</v>
      </c>
      <c r="D122" s="2"/>
      <c r="E122" s="2">
        <v>31.0</v>
      </c>
      <c r="F122" s="2"/>
      <c r="G122" s="2">
        <v>8.0</v>
      </c>
      <c r="H122" s="2">
        <v>14.0</v>
      </c>
      <c r="I122" s="2">
        <v>40.0</v>
      </c>
      <c r="J122" s="3">
        <f t="shared" si="1"/>
        <v>9.944444444</v>
      </c>
      <c r="K122" s="2">
        <v>100.0</v>
      </c>
      <c r="L122" s="2">
        <v>196.0</v>
      </c>
      <c r="N122" s="3">
        <f t="shared" si="2"/>
        <v>196</v>
      </c>
      <c r="O122" s="2">
        <v>100.0</v>
      </c>
      <c r="P122" s="2">
        <f t="shared" si="3"/>
        <v>14.9</v>
      </c>
      <c r="Q122" s="2">
        <v>7.0</v>
      </c>
      <c r="R122" s="2">
        <v>9.0</v>
      </c>
      <c r="S122" s="2">
        <v>11.0</v>
      </c>
      <c r="T122" s="2">
        <v>14.0</v>
      </c>
      <c r="U122" s="2">
        <v>15.0</v>
      </c>
      <c r="V122" s="2">
        <v>12.5</v>
      </c>
      <c r="W122" s="2">
        <v>18.5</v>
      </c>
      <c r="X122" s="2">
        <v>27.0</v>
      </c>
      <c r="Y122" s="2">
        <v>26.0</v>
      </c>
      <c r="Z122" s="2">
        <v>30.0</v>
      </c>
      <c r="AA122" s="2">
        <v>30.0</v>
      </c>
      <c r="AB122" s="2">
        <v>50.0</v>
      </c>
      <c r="AC122" s="2">
        <v>350.0</v>
      </c>
      <c r="AD122" s="3">
        <f t="shared" si="4"/>
        <v>10</v>
      </c>
    </row>
    <row r="123">
      <c r="A123" s="1" t="s">
        <v>811</v>
      </c>
      <c r="B123" s="1" t="s">
        <v>812</v>
      </c>
      <c r="C123" s="2" t="s">
        <v>813</v>
      </c>
      <c r="D123" s="2"/>
      <c r="E123" s="2">
        <v>38.0</v>
      </c>
      <c r="F123" s="2"/>
      <c r="G123" s="2">
        <v>15.0</v>
      </c>
      <c r="H123" s="2">
        <v>20.0</v>
      </c>
      <c r="I123" s="2">
        <v>40.0</v>
      </c>
      <c r="J123" s="3">
        <f t="shared" si="1"/>
        <v>13.19444444</v>
      </c>
      <c r="K123" s="2">
        <v>98.0</v>
      </c>
      <c r="L123" s="2">
        <v>195.0</v>
      </c>
      <c r="N123" s="3">
        <f t="shared" si="2"/>
        <v>195</v>
      </c>
      <c r="O123" s="2">
        <v>100.0</v>
      </c>
      <c r="P123" s="2">
        <f t="shared" si="3"/>
        <v>14.775</v>
      </c>
      <c r="Q123" s="2">
        <v>7.0</v>
      </c>
      <c r="R123" s="2">
        <v>10.0</v>
      </c>
      <c r="S123" s="2">
        <v>9.0</v>
      </c>
      <c r="T123" s="2">
        <v>13.0</v>
      </c>
      <c r="U123" s="2">
        <v>15.0</v>
      </c>
      <c r="V123" s="2">
        <v>14.5</v>
      </c>
      <c r="W123" s="2">
        <v>20.0</v>
      </c>
      <c r="X123" s="2">
        <v>27.5</v>
      </c>
      <c r="Y123" s="2">
        <v>27.0</v>
      </c>
      <c r="Z123" s="2">
        <v>30.0</v>
      </c>
      <c r="AA123" s="2">
        <v>30.0</v>
      </c>
      <c r="AB123" s="2">
        <v>50.0</v>
      </c>
      <c r="AC123" s="2">
        <v>350.0</v>
      </c>
      <c r="AD123" s="3">
        <f t="shared" si="4"/>
        <v>10</v>
      </c>
    </row>
    <row r="124">
      <c r="A124" s="1" t="s">
        <v>820</v>
      </c>
      <c r="B124" s="1" t="s">
        <v>821</v>
      </c>
      <c r="C124" s="2" t="s">
        <v>822</v>
      </c>
      <c r="D124" s="2"/>
      <c r="E124" s="2">
        <v>17.0</v>
      </c>
      <c r="F124" s="2"/>
      <c r="G124" s="2">
        <v>6.0</v>
      </c>
      <c r="H124" s="2">
        <v>13.5</v>
      </c>
      <c r="I124" s="2">
        <v>26.0</v>
      </c>
      <c r="J124" s="3">
        <f t="shared" si="1"/>
        <v>7.763888889</v>
      </c>
      <c r="K124" s="2">
        <v>100.0</v>
      </c>
      <c r="L124" s="2">
        <v>195.0</v>
      </c>
      <c r="N124" s="3">
        <f t="shared" si="2"/>
        <v>195</v>
      </c>
      <c r="O124" s="2">
        <v>99.0</v>
      </c>
      <c r="P124" s="2">
        <f t="shared" si="3"/>
        <v>14.825</v>
      </c>
      <c r="Q124" s="2">
        <v>7.0</v>
      </c>
      <c r="R124" s="2">
        <v>5.0</v>
      </c>
      <c r="S124" s="2">
        <v>12.0</v>
      </c>
      <c r="T124" s="2">
        <v>11.0</v>
      </c>
      <c r="U124" s="2">
        <v>14.5</v>
      </c>
      <c r="V124" s="2">
        <v>13.5</v>
      </c>
      <c r="W124" s="2">
        <v>20.0</v>
      </c>
      <c r="X124" s="2">
        <v>28.0</v>
      </c>
      <c r="Y124" s="2">
        <v>25.0</v>
      </c>
      <c r="Z124" s="2">
        <v>30.0</v>
      </c>
      <c r="AA124" s="2">
        <v>30.0</v>
      </c>
      <c r="AB124" s="2">
        <v>49.0</v>
      </c>
      <c r="AC124" s="2">
        <v>350.0</v>
      </c>
      <c r="AD124" s="3">
        <f t="shared" si="4"/>
        <v>9.975</v>
      </c>
    </row>
    <row r="125">
      <c r="A125" s="1" t="s">
        <v>826</v>
      </c>
      <c r="B125" s="1" t="s">
        <v>827</v>
      </c>
      <c r="C125" s="2" t="s">
        <v>828</v>
      </c>
      <c r="D125" s="2"/>
      <c r="E125" s="2">
        <v>21.0</v>
      </c>
      <c r="F125" s="2"/>
      <c r="G125" s="2">
        <v>4.0</v>
      </c>
      <c r="H125" s="2">
        <v>14.5</v>
      </c>
      <c r="I125" s="2">
        <v>38.0</v>
      </c>
      <c r="J125" s="3">
        <f t="shared" si="1"/>
        <v>8.847222222</v>
      </c>
      <c r="K125" s="2">
        <v>95.0</v>
      </c>
      <c r="L125" s="2">
        <v>168.0</v>
      </c>
      <c r="N125" s="3">
        <f t="shared" si="2"/>
        <v>168</v>
      </c>
      <c r="O125" s="2">
        <v>98.0</v>
      </c>
      <c r="P125" s="2">
        <f t="shared" si="3"/>
        <v>13.85</v>
      </c>
      <c r="Q125" s="2">
        <v>4.0</v>
      </c>
      <c r="R125" s="2">
        <v>8.0</v>
      </c>
      <c r="U125" s="2">
        <v>15.0</v>
      </c>
      <c r="V125" s="2">
        <v>11.5</v>
      </c>
      <c r="W125" s="2">
        <v>19.0</v>
      </c>
      <c r="X125" s="2">
        <v>26.0</v>
      </c>
      <c r="Y125" s="2">
        <v>25.0</v>
      </c>
      <c r="Z125" s="2">
        <v>29.0</v>
      </c>
      <c r="AA125" s="2">
        <v>29.0</v>
      </c>
      <c r="AB125" s="2">
        <v>49.0</v>
      </c>
      <c r="AC125" s="2">
        <v>350.0</v>
      </c>
      <c r="AD125" s="3">
        <f t="shared" si="4"/>
        <v>9.975</v>
      </c>
    </row>
    <row r="126">
      <c r="A126" s="1" t="s">
        <v>835</v>
      </c>
      <c r="B126" s="1" t="s">
        <v>836</v>
      </c>
      <c r="C126" s="2" t="s">
        <v>837</v>
      </c>
      <c r="D126" s="2"/>
      <c r="E126" s="2">
        <v>17.0</v>
      </c>
      <c r="F126" s="2"/>
      <c r="G126" s="2">
        <v>13.0</v>
      </c>
      <c r="H126" s="2">
        <v>15.0</v>
      </c>
      <c r="I126" s="2">
        <v>40.0</v>
      </c>
      <c r="J126" s="3">
        <f t="shared" si="1"/>
        <v>11.44444444</v>
      </c>
      <c r="K126" s="2">
        <v>96.0</v>
      </c>
      <c r="L126" s="2">
        <v>197.0</v>
      </c>
      <c r="N126" s="3">
        <f t="shared" si="2"/>
        <v>197</v>
      </c>
      <c r="O126" s="2">
        <v>100.0</v>
      </c>
      <c r="P126" s="2">
        <f t="shared" si="3"/>
        <v>14.725</v>
      </c>
      <c r="Q126" s="2">
        <v>7.0</v>
      </c>
      <c r="R126" s="2">
        <v>6.0</v>
      </c>
      <c r="S126" s="2">
        <v>12.0</v>
      </c>
      <c r="T126" s="2">
        <v>13.0</v>
      </c>
      <c r="U126" s="2">
        <v>15.0</v>
      </c>
      <c r="V126" s="2">
        <v>14.0</v>
      </c>
      <c r="W126" s="2">
        <v>19.5</v>
      </c>
      <c r="X126" s="2">
        <v>28.0</v>
      </c>
      <c r="Y126" s="2">
        <v>27.0</v>
      </c>
      <c r="Z126" s="2">
        <v>29.0</v>
      </c>
      <c r="AA126" s="2">
        <v>30.0</v>
      </c>
      <c r="AB126" s="2">
        <v>50.0</v>
      </c>
      <c r="AC126" s="2">
        <v>350.0</v>
      </c>
      <c r="AD126" s="3">
        <f t="shared" si="4"/>
        <v>10</v>
      </c>
    </row>
    <row r="127">
      <c r="A127" s="1" t="s">
        <v>847</v>
      </c>
      <c r="B127" s="1" t="s">
        <v>848</v>
      </c>
      <c r="C127" s="2" t="s">
        <v>849</v>
      </c>
      <c r="D127" s="2"/>
      <c r="E127" s="2">
        <v>27.0</v>
      </c>
      <c r="H127" s="2">
        <v>12.0</v>
      </c>
      <c r="I127" s="2">
        <v>40.0</v>
      </c>
      <c r="J127" s="3">
        <f t="shared" si="1"/>
        <v>7.444444444</v>
      </c>
      <c r="L127" s="2">
        <v>196.0</v>
      </c>
      <c r="N127" s="3">
        <f t="shared" si="2"/>
        <v>196</v>
      </c>
      <c r="O127" s="2">
        <v>100.0</v>
      </c>
      <c r="P127" s="2">
        <f t="shared" si="3"/>
        <v>9.9</v>
      </c>
      <c r="Q127" s="2">
        <v>7.0</v>
      </c>
      <c r="R127" s="2">
        <v>9.0</v>
      </c>
      <c r="S127" s="2">
        <v>10.0</v>
      </c>
      <c r="T127" s="2">
        <v>13.0</v>
      </c>
      <c r="U127" s="2">
        <v>15.0</v>
      </c>
      <c r="V127" s="2">
        <v>14.5</v>
      </c>
      <c r="W127" s="2">
        <v>19.5</v>
      </c>
      <c r="Y127" s="2">
        <v>27.0</v>
      </c>
      <c r="Z127" s="2">
        <v>30.0</v>
      </c>
      <c r="AB127" s="2">
        <v>50.0</v>
      </c>
      <c r="AC127" s="2">
        <v>350.0</v>
      </c>
      <c r="AD127" s="3">
        <f t="shared" si="4"/>
        <v>10</v>
      </c>
    </row>
    <row r="128">
      <c r="A128" s="1" t="s">
        <v>850</v>
      </c>
      <c r="B128" s="1" t="s">
        <v>851</v>
      </c>
      <c r="C128" s="2" t="s">
        <v>852</v>
      </c>
      <c r="D128" s="2"/>
      <c r="E128" s="2">
        <v>22.0</v>
      </c>
      <c r="F128" s="2"/>
      <c r="G128" s="2">
        <v>7.0</v>
      </c>
      <c r="H128" s="2">
        <v>18.0</v>
      </c>
      <c r="I128" s="2">
        <v>40.0</v>
      </c>
      <c r="J128" s="3">
        <f t="shared" si="1"/>
        <v>10.69444444</v>
      </c>
      <c r="K128" s="2">
        <v>90.0</v>
      </c>
      <c r="L128" s="2">
        <v>196.0</v>
      </c>
      <c r="N128" s="3">
        <f t="shared" si="2"/>
        <v>196</v>
      </c>
      <c r="O128" s="2">
        <v>100.0</v>
      </c>
      <c r="P128" s="2">
        <f t="shared" si="3"/>
        <v>14.4</v>
      </c>
      <c r="Q128" s="2">
        <v>7.0</v>
      </c>
      <c r="R128" s="2">
        <v>8.0</v>
      </c>
      <c r="S128" s="2">
        <v>14.0</v>
      </c>
      <c r="U128" s="2">
        <v>15.0</v>
      </c>
      <c r="V128" s="2">
        <v>15.0</v>
      </c>
      <c r="W128" s="2">
        <v>19.5</v>
      </c>
      <c r="X128" s="2">
        <v>26.0</v>
      </c>
      <c r="Y128" s="2">
        <v>29.0</v>
      </c>
      <c r="Z128" s="2">
        <v>29.0</v>
      </c>
      <c r="AA128" s="2">
        <v>29.0</v>
      </c>
      <c r="AB128" s="2">
        <v>50.0</v>
      </c>
      <c r="AC128" s="2">
        <v>350.0</v>
      </c>
      <c r="AD128" s="3">
        <f t="shared" si="4"/>
        <v>10</v>
      </c>
    </row>
    <row r="129">
      <c r="A129" s="1" t="s">
        <v>856</v>
      </c>
      <c r="B129" s="1" t="s">
        <v>857</v>
      </c>
      <c r="C129" s="2" t="s">
        <v>858</v>
      </c>
      <c r="D129" s="2"/>
      <c r="E129" s="2">
        <v>30.0</v>
      </c>
      <c r="F129" s="2"/>
      <c r="G129" s="2">
        <v>11.0</v>
      </c>
      <c r="H129" s="2">
        <v>17.0</v>
      </c>
      <c r="I129" s="2">
        <v>39.0</v>
      </c>
      <c r="J129" s="3">
        <f t="shared" si="1"/>
        <v>11.33333333</v>
      </c>
      <c r="K129" s="2">
        <v>100.0</v>
      </c>
      <c r="L129" s="2">
        <v>195.0</v>
      </c>
      <c r="N129" s="3">
        <f t="shared" si="2"/>
        <v>195</v>
      </c>
      <c r="O129" s="2">
        <v>100.0</v>
      </c>
      <c r="P129" s="2">
        <f t="shared" si="3"/>
        <v>14.875</v>
      </c>
      <c r="Q129" s="2">
        <v>7.0</v>
      </c>
      <c r="R129" s="2">
        <v>5.0</v>
      </c>
      <c r="S129" s="2">
        <v>13.0</v>
      </c>
      <c r="T129" s="2">
        <v>13.0</v>
      </c>
      <c r="U129" s="2">
        <v>15.0</v>
      </c>
      <c r="V129" s="2">
        <v>14.5</v>
      </c>
      <c r="W129" s="2">
        <v>19.0</v>
      </c>
      <c r="X129" s="2">
        <v>28.0</v>
      </c>
      <c r="Y129" s="2">
        <v>25.0</v>
      </c>
      <c r="Z129" s="2">
        <v>30.0</v>
      </c>
      <c r="AA129" s="2">
        <v>30.0</v>
      </c>
      <c r="AB129" s="2">
        <v>49.0</v>
      </c>
      <c r="AC129" s="2">
        <v>350.0</v>
      </c>
      <c r="AD129" s="3">
        <f t="shared" si="4"/>
        <v>9.975</v>
      </c>
    </row>
    <row r="130">
      <c r="A130" s="1" t="s">
        <v>859</v>
      </c>
      <c r="B130" s="1" t="s">
        <v>860</v>
      </c>
      <c r="C130" s="2" t="s">
        <v>861</v>
      </c>
      <c r="D130" s="2"/>
      <c r="E130" s="2">
        <v>28.0</v>
      </c>
      <c r="F130" s="2"/>
      <c r="G130" s="2">
        <v>13.0</v>
      </c>
      <c r="H130" s="2">
        <v>15.5</v>
      </c>
      <c r="I130" s="2">
        <v>40.0</v>
      </c>
      <c r="J130" s="3">
        <f t="shared" si="1"/>
        <v>11.56944444</v>
      </c>
      <c r="K130" s="2">
        <v>100.0</v>
      </c>
      <c r="L130" s="2">
        <v>196.0</v>
      </c>
      <c r="N130" s="3">
        <f t="shared" si="2"/>
        <v>196</v>
      </c>
      <c r="O130" s="2">
        <v>100.0</v>
      </c>
      <c r="P130" s="2">
        <f t="shared" si="3"/>
        <v>14.9</v>
      </c>
      <c r="Q130" s="2">
        <v>7.0</v>
      </c>
      <c r="R130" s="2">
        <v>9.0</v>
      </c>
      <c r="S130" s="2">
        <v>15.0</v>
      </c>
      <c r="T130" s="2">
        <v>15.0</v>
      </c>
      <c r="U130" s="2">
        <v>15.0</v>
      </c>
      <c r="V130" s="2">
        <v>14.5</v>
      </c>
      <c r="W130" s="2">
        <v>20.0</v>
      </c>
      <c r="X130" s="2">
        <v>27.5</v>
      </c>
      <c r="Y130" s="2">
        <v>27.5</v>
      </c>
      <c r="Z130" s="2">
        <v>30.0</v>
      </c>
      <c r="AA130" s="2">
        <v>27.0</v>
      </c>
      <c r="AB130" s="2">
        <v>50.0</v>
      </c>
      <c r="AC130" s="2">
        <v>350.0</v>
      </c>
      <c r="AD130" s="3">
        <f t="shared" si="4"/>
        <v>10</v>
      </c>
    </row>
    <row r="131">
      <c r="A131" s="1" t="s">
        <v>865</v>
      </c>
      <c r="B131" s="1" t="s">
        <v>866</v>
      </c>
      <c r="C131" s="2" t="s">
        <v>867</v>
      </c>
      <c r="D131" s="2"/>
      <c r="E131" s="2">
        <v>33.0</v>
      </c>
      <c r="F131" s="2"/>
      <c r="G131" s="2">
        <v>10.0</v>
      </c>
      <c r="H131" s="2">
        <v>14.5</v>
      </c>
      <c r="I131" s="2">
        <v>40.0</v>
      </c>
      <c r="J131" s="3">
        <f t="shared" si="1"/>
        <v>10.56944444</v>
      </c>
      <c r="K131" s="2">
        <v>100.0</v>
      </c>
      <c r="L131" s="2">
        <v>196.0</v>
      </c>
      <c r="N131" s="3">
        <f t="shared" si="2"/>
        <v>196</v>
      </c>
      <c r="O131" s="2">
        <v>100.0</v>
      </c>
      <c r="P131" s="2">
        <f t="shared" si="3"/>
        <v>14.9</v>
      </c>
      <c r="Q131" s="2">
        <v>7.0</v>
      </c>
      <c r="R131" s="2">
        <v>10.0</v>
      </c>
      <c r="S131" s="2">
        <v>12.0</v>
      </c>
      <c r="T131" s="2">
        <v>14.5</v>
      </c>
      <c r="U131" s="2">
        <v>15.0</v>
      </c>
      <c r="V131" s="2">
        <v>15.0</v>
      </c>
      <c r="W131" s="2">
        <v>19.5</v>
      </c>
      <c r="X131" s="2">
        <v>28.0</v>
      </c>
      <c r="Y131" s="2">
        <v>27.5</v>
      </c>
      <c r="Z131" s="2">
        <v>30.0</v>
      </c>
      <c r="AA131" s="2">
        <v>30.0</v>
      </c>
      <c r="AB131" s="2">
        <v>50.0</v>
      </c>
      <c r="AC131" s="2">
        <v>350.0</v>
      </c>
      <c r="AD131" s="3">
        <f t="shared" si="4"/>
        <v>10</v>
      </c>
    </row>
    <row r="132">
      <c r="A132" s="1" t="s">
        <v>871</v>
      </c>
      <c r="B132" s="1" t="s">
        <v>872</v>
      </c>
      <c r="C132" s="2" t="s">
        <v>873</v>
      </c>
      <c r="D132" s="2"/>
      <c r="E132" s="2">
        <v>22.0</v>
      </c>
      <c r="F132" s="2"/>
      <c r="G132" s="2">
        <v>2.0</v>
      </c>
      <c r="H132" s="2">
        <v>7.0</v>
      </c>
      <c r="I132" s="2">
        <v>38.0</v>
      </c>
      <c r="J132" s="3">
        <f t="shared" si="1"/>
        <v>6.472222222</v>
      </c>
      <c r="K132" s="2">
        <v>80.0</v>
      </c>
      <c r="L132" s="2">
        <v>170.0</v>
      </c>
      <c r="M132" s="2">
        <v>125.0</v>
      </c>
      <c r="N132" s="3">
        <f t="shared" si="2"/>
        <v>170</v>
      </c>
      <c r="O132" s="2">
        <v>98.0</v>
      </c>
      <c r="P132" s="2">
        <f t="shared" si="3"/>
        <v>13.15</v>
      </c>
      <c r="R132" s="2">
        <v>8.0</v>
      </c>
      <c r="S132" s="2">
        <v>9.0</v>
      </c>
      <c r="T132" s="2">
        <v>14.0</v>
      </c>
      <c r="U132" s="2">
        <v>15.0</v>
      </c>
      <c r="V132" s="2">
        <v>14.0</v>
      </c>
      <c r="W132" s="2">
        <v>15.0</v>
      </c>
      <c r="Z132" s="2">
        <v>28.0</v>
      </c>
      <c r="AB132" s="2">
        <v>49.0</v>
      </c>
      <c r="AC132" s="2">
        <v>350.0</v>
      </c>
      <c r="AD132" s="3">
        <f t="shared" si="4"/>
        <v>9.975</v>
      </c>
    </row>
    <row r="133">
      <c r="A133" s="1" t="s">
        <v>874</v>
      </c>
      <c r="B133" s="1" t="s">
        <v>875</v>
      </c>
      <c r="C133" s="2" t="s">
        <v>876</v>
      </c>
      <c r="D133" s="2"/>
      <c r="E133" s="2">
        <v>31.0</v>
      </c>
      <c r="F133" s="2"/>
      <c r="G133" s="2">
        <v>16.0</v>
      </c>
      <c r="H133" s="2">
        <v>16.0</v>
      </c>
      <c r="I133" s="2">
        <v>34.0</v>
      </c>
      <c r="J133" s="3">
        <f t="shared" si="1"/>
        <v>11.77777778</v>
      </c>
      <c r="K133" s="2">
        <v>95.0</v>
      </c>
      <c r="L133" s="2">
        <v>160.0</v>
      </c>
      <c r="N133" s="3">
        <f t="shared" si="2"/>
        <v>160</v>
      </c>
      <c r="O133" s="2">
        <v>98.0</v>
      </c>
      <c r="P133" s="2">
        <f t="shared" si="3"/>
        <v>13.65</v>
      </c>
      <c r="Q133" s="2">
        <v>7.0</v>
      </c>
      <c r="R133" s="2">
        <v>5.0</v>
      </c>
      <c r="S133" s="2">
        <v>14.0</v>
      </c>
      <c r="T133" s="2">
        <v>15.0</v>
      </c>
      <c r="U133" s="2">
        <v>13.0</v>
      </c>
      <c r="V133" s="2">
        <v>12.0</v>
      </c>
      <c r="W133" s="2">
        <v>18.0</v>
      </c>
      <c r="Y133" s="2">
        <v>0.0</v>
      </c>
      <c r="Z133" s="2">
        <v>29.0</v>
      </c>
      <c r="AA133" s="2">
        <v>28.0</v>
      </c>
      <c r="AB133" s="2">
        <v>45.0</v>
      </c>
      <c r="AC133" s="2">
        <v>340.0</v>
      </c>
      <c r="AD133" s="3">
        <f t="shared" si="4"/>
        <v>9.625</v>
      </c>
    </row>
    <row r="134">
      <c r="A134" s="1" t="s">
        <v>880</v>
      </c>
      <c r="B134" s="1" t="s">
        <v>881</v>
      </c>
      <c r="C134" s="2" t="s">
        <v>882</v>
      </c>
      <c r="D134" s="2"/>
      <c r="E134" s="2">
        <v>25.0</v>
      </c>
      <c r="F134" s="2"/>
      <c r="G134" s="2">
        <v>9.0</v>
      </c>
      <c r="H134" s="2">
        <v>17.0</v>
      </c>
      <c r="I134" s="2">
        <v>27.5</v>
      </c>
      <c r="J134" s="3">
        <f t="shared" si="1"/>
        <v>9.555555556</v>
      </c>
      <c r="K134" s="2">
        <v>100.0</v>
      </c>
      <c r="L134" s="2">
        <v>160.0</v>
      </c>
      <c r="N134" s="3">
        <f t="shared" si="2"/>
        <v>160</v>
      </c>
      <c r="O134" s="2">
        <v>95.0</v>
      </c>
      <c r="P134" s="2">
        <f t="shared" si="3"/>
        <v>13.75</v>
      </c>
      <c r="Q134" s="2">
        <v>7.0</v>
      </c>
      <c r="R134" s="2">
        <v>9.0</v>
      </c>
      <c r="S134" s="2">
        <v>12.0</v>
      </c>
      <c r="T134" s="2">
        <v>9.0</v>
      </c>
      <c r="U134" s="2">
        <v>14.0</v>
      </c>
      <c r="V134" s="2">
        <v>11.0</v>
      </c>
      <c r="W134" s="2">
        <v>19.0</v>
      </c>
      <c r="X134" s="2">
        <v>28.0</v>
      </c>
      <c r="Y134" s="2">
        <v>30.0</v>
      </c>
      <c r="Z134" s="2">
        <v>28.0</v>
      </c>
      <c r="AB134" s="2">
        <v>35.0</v>
      </c>
      <c r="AC134" s="2">
        <v>315.0</v>
      </c>
      <c r="AD134" s="3">
        <f t="shared" si="4"/>
        <v>8.75</v>
      </c>
    </row>
    <row r="135">
      <c r="A135" s="1" t="s">
        <v>886</v>
      </c>
      <c r="B135" s="1" t="s">
        <v>887</v>
      </c>
      <c r="C135" s="2" t="s">
        <v>888</v>
      </c>
      <c r="D135" s="2"/>
      <c r="E135" s="2">
        <v>27.0</v>
      </c>
      <c r="F135" s="2"/>
      <c r="G135" s="2">
        <v>9.0</v>
      </c>
      <c r="H135" s="2">
        <v>13.0</v>
      </c>
      <c r="I135" s="2">
        <v>24.0</v>
      </c>
      <c r="J135" s="3">
        <f t="shared" si="1"/>
        <v>8.166666667</v>
      </c>
      <c r="K135" s="2">
        <v>95.0</v>
      </c>
      <c r="L135" s="2">
        <v>200.0</v>
      </c>
      <c r="N135" s="3">
        <f t="shared" si="2"/>
        <v>200</v>
      </c>
      <c r="O135" s="2">
        <v>98.0</v>
      </c>
      <c r="P135" s="2">
        <f t="shared" si="3"/>
        <v>14.65</v>
      </c>
      <c r="Q135" s="2">
        <v>7.0</v>
      </c>
      <c r="R135" s="2">
        <v>5.0</v>
      </c>
      <c r="S135" s="2">
        <v>12.0</v>
      </c>
      <c r="T135" s="2">
        <v>14.0</v>
      </c>
      <c r="U135" s="2">
        <v>14.0</v>
      </c>
      <c r="V135" s="2">
        <v>14.5</v>
      </c>
      <c r="W135" s="2">
        <v>20.0</v>
      </c>
      <c r="X135" s="2">
        <v>30.0</v>
      </c>
      <c r="Y135" s="2">
        <v>30.0</v>
      </c>
      <c r="Z135" s="2">
        <v>29.0</v>
      </c>
      <c r="AA135" s="2">
        <v>30.0</v>
      </c>
      <c r="AB135" s="2">
        <v>48.0</v>
      </c>
      <c r="AC135" s="2">
        <v>350.0</v>
      </c>
      <c r="AD135" s="3">
        <f t="shared" si="4"/>
        <v>9.95</v>
      </c>
    </row>
    <row r="136">
      <c r="A136" s="1" t="s">
        <v>889</v>
      </c>
      <c r="B136" s="1" t="s">
        <v>890</v>
      </c>
      <c r="C136" s="2" t="s">
        <v>891</v>
      </c>
      <c r="D136" s="2"/>
      <c r="E136" s="2">
        <v>31.0</v>
      </c>
      <c r="F136" s="2"/>
      <c r="G136" s="2">
        <v>10.0</v>
      </c>
      <c r="H136" s="2">
        <v>5.0</v>
      </c>
      <c r="I136" s="2">
        <v>22.0</v>
      </c>
      <c r="J136" s="3">
        <f t="shared" si="1"/>
        <v>6.194444444</v>
      </c>
      <c r="K136" s="2">
        <v>0.0</v>
      </c>
      <c r="L136" s="2">
        <v>175.0</v>
      </c>
      <c r="N136" s="3">
        <f t="shared" si="2"/>
        <v>175</v>
      </c>
      <c r="O136" s="2">
        <v>100.0</v>
      </c>
      <c r="P136" s="2">
        <f t="shared" si="3"/>
        <v>9.375</v>
      </c>
      <c r="R136" s="2">
        <v>0.0</v>
      </c>
      <c r="S136" s="2">
        <v>9.5</v>
      </c>
      <c r="T136" s="2">
        <v>11.5</v>
      </c>
      <c r="U136" s="2">
        <v>0.0</v>
      </c>
      <c r="W136" s="2">
        <v>18.0</v>
      </c>
      <c r="X136" s="2">
        <v>27.0</v>
      </c>
      <c r="Y136" s="2">
        <v>25.0</v>
      </c>
      <c r="Z136" s="2">
        <v>30.0</v>
      </c>
      <c r="AA136" s="2">
        <v>29.0</v>
      </c>
      <c r="AB136" s="2">
        <v>45.0</v>
      </c>
      <c r="AC136" s="2">
        <v>330.0</v>
      </c>
      <c r="AD136" s="3">
        <f t="shared" si="4"/>
        <v>9.375</v>
      </c>
    </row>
    <row r="137">
      <c r="A137" s="1" t="s">
        <v>904</v>
      </c>
      <c r="B137" s="1" t="s">
        <v>905</v>
      </c>
      <c r="C137" s="2" t="s">
        <v>906</v>
      </c>
      <c r="D137" s="2"/>
      <c r="E137" s="2">
        <v>20.0</v>
      </c>
      <c r="H137" s="2">
        <v>12.5</v>
      </c>
      <c r="I137" s="2">
        <v>33.0</v>
      </c>
      <c r="J137" s="3">
        <f t="shared" si="1"/>
        <v>6.791666667</v>
      </c>
      <c r="K137" s="2">
        <v>95.0</v>
      </c>
      <c r="L137" s="2">
        <v>179.0</v>
      </c>
      <c r="N137" s="3">
        <f t="shared" si="2"/>
        <v>179</v>
      </c>
      <c r="O137" s="2">
        <v>98.0</v>
      </c>
      <c r="P137" s="2">
        <f t="shared" si="3"/>
        <v>14.125</v>
      </c>
      <c r="Q137" s="2">
        <v>7.0</v>
      </c>
      <c r="R137" s="2">
        <v>7.0</v>
      </c>
      <c r="S137" s="2">
        <v>13.0</v>
      </c>
      <c r="T137" s="2">
        <v>8.0</v>
      </c>
      <c r="U137" s="2">
        <v>8.0</v>
      </c>
      <c r="V137" s="2">
        <v>13.0</v>
      </c>
      <c r="W137" s="2">
        <v>18.0</v>
      </c>
      <c r="X137" s="2">
        <v>27.0</v>
      </c>
      <c r="Y137" s="2">
        <v>30.0</v>
      </c>
      <c r="Z137" s="2">
        <v>29.0</v>
      </c>
      <c r="AA137" s="2">
        <v>28.0</v>
      </c>
      <c r="AB137" s="2">
        <v>40.0</v>
      </c>
      <c r="AC137" s="2">
        <v>335.0</v>
      </c>
      <c r="AD137" s="3">
        <f t="shared" si="4"/>
        <v>9.375</v>
      </c>
    </row>
    <row r="138">
      <c r="A138" s="1" t="s">
        <v>907</v>
      </c>
      <c r="B138" s="1" t="s">
        <v>908</v>
      </c>
      <c r="C138" s="2" t="s">
        <v>909</v>
      </c>
      <c r="D138" s="2"/>
      <c r="E138" s="2">
        <v>6.0</v>
      </c>
      <c r="F138" s="2"/>
      <c r="G138" s="2">
        <v>6.0</v>
      </c>
      <c r="H138" s="2">
        <v>6.0</v>
      </c>
      <c r="I138" s="2">
        <v>12.5</v>
      </c>
      <c r="J138" s="3">
        <f t="shared" si="1"/>
        <v>4.388888889</v>
      </c>
      <c r="K138" s="2">
        <v>75.0</v>
      </c>
      <c r="L138" s="2">
        <v>150.0</v>
      </c>
      <c r="N138" s="3">
        <f t="shared" si="2"/>
        <v>150</v>
      </c>
      <c r="O138" s="2">
        <v>100.0</v>
      </c>
      <c r="P138" s="2">
        <f t="shared" si="3"/>
        <v>12.5</v>
      </c>
      <c r="Q138" s="2">
        <v>5.0</v>
      </c>
      <c r="R138" s="2">
        <v>10.0</v>
      </c>
      <c r="T138" s="2">
        <v>13.0</v>
      </c>
      <c r="U138" s="2">
        <v>13.0</v>
      </c>
      <c r="V138" s="2">
        <v>13.5</v>
      </c>
      <c r="W138" s="2">
        <v>18.0</v>
      </c>
      <c r="X138" s="2">
        <v>29.0</v>
      </c>
      <c r="Y138" s="2">
        <v>29.0</v>
      </c>
      <c r="Z138" s="2">
        <v>28.0</v>
      </c>
      <c r="AA138" s="2">
        <v>28.0</v>
      </c>
      <c r="AB138" s="2">
        <v>45.0</v>
      </c>
      <c r="AC138" s="2">
        <v>350.0</v>
      </c>
      <c r="AD138" s="3">
        <f t="shared" si="4"/>
        <v>9.875</v>
      </c>
    </row>
    <row r="139">
      <c r="A139" s="1" t="s">
        <v>925</v>
      </c>
      <c r="B139" s="1" t="s">
        <v>926</v>
      </c>
      <c r="C139" s="2" t="s">
        <v>927</v>
      </c>
      <c r="D139" s="2"/>
      <c r="E139" s="2">
        <v>11.0</v>
      </c>
      <c r="F139" s="2"/>
      <c r="G139" s="2">
        <v>5.0</v>
      </c>
      <c r="H139" s="2">
        <v>9.5</v>
      </c>
      <c r="I139" s="2">
        <v>20.0</v>
      </c>
      <c r="J139" s="3">
        <f t="shared" si="1"/>
        <v>5.847222222</v>
      </c>
      <c r="K139" s="2">
        <v>90.0</v>
      </c>
      <c r="L139" s="2">
        <v>200.0</v>
      </c>
      <c r="N139" s="3">
        <f t="shared" si="2"/>
        <v>200</v>
      </c>
      <c r="O139" s="2">
        <v>100.0</v>
      </c>
      <c r="P139" s="2">
        <f t="shared" si="3"/>
        <v>14.5</v>
      </c>
      <c r="Q139" s="2">
        <v>3.0</v>
      </c>
      <c r="R139" s="2">
        <v>3.0</v>
      </c>
      <c r="S139" s="2">
        <v>10.0</v>
      </c>
      <c r="T139" s="2">
        <v>14.0</v>
      </c>
      <c r="U139" s="2">
        <v>10.0</v>
      </c>
      <c r="W139" s="2">
        <v>19.0</v>
      </c>
      <c r="X139" s="2">
        <v>29.0</v>
      </c>
      <c r="Y139" s="2">
        <v>30.0</v>
      </c>
      <c r="Z139" s="2">
        <v>29.0</v>
      </c>
      <c r="AA139" s="2">
        <v>30.0</v>
      </c>
      <c r="AB139" s="2">
        <v>45.0</v>
      </c>
      <c r="AC139" s="2">
        <v>340.0</v>
      </c>
      <c r="AD139" s="3">
        <f t="shared" si="4"/>
        <v>9.625</v>
      </c>
    </row>
    <row r="140">
      <c r="A140" s="1" t="s">
        <v>928</v>
      </c>
      <c r="B140" s="1" t="s">
        <v>929</v>
      </c>
      <c r="C140" s="2" t="s">
        <v>930</v>
      </c>
      <c r="F140" s="2"/>
      <c r="G140" s="2">
        <v>0.0</v>
      </c>
      <c r="H140" s="2">
        <v>6.5</v>
      </c>
      <c r="I140" s="2">
        <v>17.0</v>
      </c>
      <c r="J140" s="3">
        <f t="shared" si="1"/>
        <v>3.513888889</v>
      </c>
      <c r="K140" s="2">
        <v>90.0</v>
      </c>
      <c r="L140" s="2">
        <v>192.0</v>
      </c>
      <c r="N140" s="3">
        <f t="shared" si="2"/>
        <v>192</v>
      </c>
      <c r="O140" s="2">
        <v>100.0</v>
      </c>
      <c r="P140" s="2">
        <f t="shared" si="3"/>
        <v>14.3</v>
      </c>
      <c r="Q140" s="2">
        <v>6.0</v>
      </c>
      <c r="R140" s="2">
        <v>6.0</v>
      </c>
      <c r="S140" s="2">
        <v>6.0</v>
      </c>
      <c r="U140" s="2">
        <v>15.0</v>
      </c>
      <c r="V140" s="2">
        <v>15.0</v>
      </c>
      <c r="W140" s="2">
        <v>20.0</v>
      </c>
      <c r="X140" s="2">
        <v>27.0</v>
      </c>
      <c r="Y140" s="2">
        <v>28.0</v>
      </c>
      <c r="Z140" s="2">
        <v>28.0</v>
      </c>
      <c r="AA140" s="2">
        <v>29.0</v>
      </c>
      <c r="AB140" s="2">
        <v>28.0</v>
      </c>
      <c r="AC140" s="2">
        <v>325.0</v>
      </c>
      <c r="AD140" s="3">
        <f t="shared" si="4"/>
        <v>8.825</v>
      </c>
    </row>
    <row r="141">
      <c r="A141" s="1" t="s">
        <v>931</v>
      </c>
      <c r="B141" s="1" t="s">
        <v>932</v>
      </c>
      <c r="C141" s="2" t="s">
        <v>933</v>
      </c>
      <c r="D141" s="2"/>
      <c r="E141" s="2">
        <v>23.0</v>
      </c>
      <c r="F141" s="2"/>
      <c r="G141" s="2">
        <v>5.0</v>
      </c>
      <c r="H141" s="2">
        <v>19.0</v>
      </c>
      <c r="I141" s="2">
        <v>17.0</v>
      </c>
      <c r="J141" s="3">
        <f t="shared" si="1"/>
        <v>7.888888889</v>
      </c>
      <c r="K141" s="2">
        <v>90.0</v>
      </c>
      <c r="L141" s="2">
        <v>189.0</v>
      </c>
      <c r="N141" s="3">
        <f t="shared" si="2"/>
        <v>189</v>
      </c>
      <c r="O141" s="2">
        <v>80.0</v>
      </c>
      <c r="P141" s="2">
        <f t="shared" si="3"/>
        <v>13.225</v>
      </c>
      <c r="Q141" s="2">
        <v>7.0</v>
      </c>
      <c r="R141" s="2">
        <v>7.0</v>
      </c>
      <c r="S141" s="2">
        <v>10.0</v>
      </c>
      <c r="T141" s="2">
        <v>9.0</v>
      </c>
      <c r="U141" s="2">
        <v>10.0</v>
      </c>
      <c r="V141" s="2">
        <v>15.0</v>
      </c>
      <c r="W141" s="2">
        <v>18.0</v>
      </c>
      <c r="X141" s="2">
        <v>26.0</v>
      </c>
      <c r="Y141" s="2">
        <v>28.0</v>
      </c>
      <c r="Z141" s="2">
        <v>27.0</v>
      </c>
      <c r="AA141" s="2">
        <v>28.0</v>
      </c>
      <c r="AB141" s="2">
        <v>20.0</v>
      </c>
      <c r="AC141" s="2">
        <v>315.0</v>
      </c>
      <c r="AD141" s="3">
        <f t="shared" si="4"/>
        <v>8.375</v>
      </c>
    </row>
    <row r="142">
      <c r="A142" s="1" t="s">
        <v>934</v>
      </c>
      <c r="B142" s="1" t="s">
        <v>935</v>
      </c>
      <c r="C142" s="2" t="s">
        <v>936</v>
      </c>
      <c r="D142" s="2"/>
      <c r="E142" s="2">
        <v>12.0</v>
      </c>
      <c r="F142" s="2"/>
      <c r="G142" s="2">
        <v>4.0</v>
      </c>
      <c r="H142" s="2">
        <v>9.5</v>
      </c>
      <c r="I142" s="2">
        <v>20.0</v>
      </c>
      <c r="J142" s="3">
        <f t="shared" si="1"/>
        <v>5.597222222</v>
      </c>
      <c r="K142" s="2">
        <v>95.0</v>
      </c>
      <c r="L142" s="2">
        <v>0.0</v>
      </c>
      <c r="M142" s="2">
        <v>180.0</v>
      </c>
      <c r="N142" s="3">
        <f t="shared" si="2"/>
        <v>180</v>
      </c>
      <c r="O142" s="2">
        <v>85.0</v>
      </c>
      <c r="P142" s="2">
        <f t="shared" si="3"/>
        <v>13.5</v>
      </c>
      <c r="Q142" s="2">
        <v>7.0</v>
      </c>
      <c r="R142" s="2">
        <v>2.0</v>
      </c>
      <c r="S142" s="2">
        <v>8.0</v>
      </c>
      <c r="T142" s="2">
        <v>11.0</v>
      </c>
      <c r="U142" s="2">
        <v>12.0</v>
      </c>
      <c r="V142" s="2">
        <v>15.0</v>
      </c>
      <c r="W142" s="2">
        <v>19.5</v>
      </c>
      <c r="X142" s="2">
        <v>29.0</v>
      </c>
      <c r="Y142" s="2">
        <v>26.0</v>
      </c>
      <c r="Z142" s="2">
        <v>28.0</v>
      </c>
      <c r="AA142" s="2">
        <v>28.0</v>
      </c>
      <c r="AB142" s="2">
        <v>50.0</v>
      </c>
      <c r="AC142" s="2">
        <v>340.0</v>
      </c>
      <c r="AD142" s="3">
        <f t="shared" si="4"/>
        <v>9.75</v>
      </c>
    </row>
    <row r="143">
      <c r="A143" s="1" t="s">
        <v>937</v>
      </c>
      <c r="B143" s="1" t="s">
        <v>938</v>
      </c>
      <c r="C143" s="2" t="s">
        <v>939</v>
      </c>
      <c r="D143" s="2"/>
      <c r="E143" s="2">
        <v>28.0</v>
      </c>
      <c r="F143" s="2"/>
      <c r="G143" s="2">
        <v>14.0</v>
      </c>
      <c r="H143" s="2">
        <v>17.5</v>
      </c>
      <c r="I143" s="2">
        <v>26.0</v>
      </c>
      <c r="J143" s="3">
        <f t="shared" si="1"/>
        <v>10.76388889</v>
      </c>
      <c r="K143" s="2">
        <v>100.0</v>
      </c>
      <c r="L143" s="2">
        <v>199.0</v>
      </c>
      <c r="N143" s="3">
        <f t="shared" si="2"/>
        <v>199</v>
      </c>
      <c r="O143" s="2">
        <v>100.0</v>
      </c>
      <c r="P143" s="2">
        <f t="shared" si="3"/>
        <v>14.975</v>
      </c>
      <c r="Q143" s="2">
        <v>7.0</v>
      </c>
      <c r="R143" s="2">
        <v>9.0</v>
      </c>
      <c r="S143" s="2">
        <v>14.5</v>
      </c>
      <c r="T143" s="2">
        <v>12.0</v>
      </c>
      <c r="U143" s="2">
        <v>15.0</v>
      </c>
      <c r="V143" s="2">
        <v>15.0</v>
      </c>
      <c r="W143" s="2">
        <v>20.0</v>
      </c>
      <c r="X143" s="2">
        <v>30.0</v>
      </c>
      <c r="Y143" s="2">
        <v>29.5</v>
      </c>
      <c r="Z143" s="2">
        <v>29.0</v>
      </c>
      <c r="AA143" s="2">
        <v>30.0</v>
      </c>
      <c r="AB143" s="2">
        <v>45.0</v>
      </c>
      <c r="AC143" s="2">
        <v>325.0</v>
      </c>
      <c r="AD143" s="3">
        <f t="shared" si="4"/>
        <v>9.25</v>
      </c>
    </row>
    <row r="144">
      <c r="A144" s="1" t="s">
        <v>940</v>
      </c>
      <c r="B144" s="1" t="s">
        <v>941</v>
      </c>
      <c r="C144" s="2" t="s">
        <v>942</v>
      </c>
      <c r="D144" s="2"/>
      <c r="E144" s="2">
        <v>23.0</v>
      </c>
      <c r="F144" s="2"/>
      <c r="G144" s="2">
        <v>11.0</v>
      </c>
      <c r="H144" s="2">
        <v>16.0</v>
      </c>
      <c r="I144" s="2">
        <v>25.0</v>
      </c>
      <c r="J144" s="3">
        <f t="shared" si="1"/>
        <v>9.527777778</v>
      </c>
      <c r="K144" s="2">
        <v>100.0</v>
      </c>
      <c r="L144" s="2">
        <v>200.0</v>
      </c>
      <c r="N144" s="3">
        <f t="shared" si="2"/>
        <v>200</v>
      </c>
      <c r="O144" s="2">
        <v>100.0</v>
      </c>
      <c r="P144" s="2">
        <f t="shared" si="3"/>
        <v>15</v>
      </c>
      <c r="Q144" s="2">
        <v>7.0</v>
      </c>
      <c r="R144" s="2">
        <v>7.0</v>
      </c>
      <c r="S144" s="2">
        <v>13.0</v>
      </c>
      <c r="T144" s="2">
        <v>12.0</v>
      </c>
      <c r="U144" s="2">
        <v>14.0</v>
      </c>
      <c r="V144" s="2">
        <v>14.5</v>
      </c>
      <c r="W144" s="2">
        <v>19.0</v>
      </c>
      <c r="X144" s="2">
        <v>30.0</v>
      </c>
      <c r="Y144" s="2">
        <v>0.0</v>
      </c>
      <c r="Z144" s="2">
        <v>29.0</v>
      </c>
      <c r="AA144" s="2">
        <v>29.0</v>
      </c>
      <c r="AB144" s="2">
        <v>38.0</v>
      </c>
      <c r="AC144" s="2">
        <v>348.0</v>
      </c>
      <c r="AD144" s="3">
        <f t="shared" si="4"/>
        <v>9.65</v>
      </c>
    </row>
    <row r="145">
      <c r="A145" s="1" t="s">
        <v>943</v>
      </c>
      <c r="B145" s="1" t="s">
        <v>944</v>
      </c>
      <c r="C145" s="2" t="s">
        <v>945</v>
      </c>
      <c r="D145" s="2"/>
      <c r="E145" s="2">
        <v>38.0</v>
      </c>
      <c r="F145" s="2"/>
      <c r="G145" s="2">
        <v>14.0</v>
      </c>
      <c r="H145" s="2">
        <v>19.0</v>
      </c>
      <c r="I145" s="2">
        <v>32.0</v>
      </c>
      <c r="J145" s="3">
        <f t="shared" si="1"/>
        <v>11.80555556</v>
      </c>
      <c r="K145" s="2">
        <v>100.0</v>
      </c>
      <c r="L145" s="2">
        <v>200.0</v>
      </c>
      <c r="N145" s="3">
        <f t="shared" si="2"/>
        <v>200</v>
      </c>
      <c r="O145" s="2">
        <v>100.0</v>
      </c>
      <c r="P145" s="2">
        <f t="shared" si="3"/>
        <v>15</v>
      </c>
      <c r="Q145" s="2">
        <v>7.0</v>
      </c>
      <c r="R145" s="2">
        <v>8.0</v>
      </c>
      <c r="S145" s="2">
        <v>11.0</v>
      </c>
      <c r="T145" s="2">
        <v>15.0</v>
      </c>
      <c r="U145" s="2">
        <v>13.0</v>
      </c>
      <c r="V145" s="2">
        <v>15.0</v>
      </c>
      <c r="W145" s="2">
        <v>20.0</v>
      </c>
      <c r="X145" s="2">
        <v>30.0</v>
      </c>
      <c r="Y145" s="2">
        <v>30.0</v>
      </c>
      <c r="Z145" s="2">
        <v>30.0</v>
      </c>
      <c r="AA145" s="2">
        <v>29.0</v>
      </c>
      <c r="AB145" s="2">
        <v>46.0</v>
      </c>
      <c r="AC145" s="2">
        <v>350.0</v>
      </c>
      <c r="AD145" s="3">
        <f t="shared" si="4"/>
        <v>9.9</v>
      </c>
    </row>
    <row r="146">
      <c r="A146" s="1" t="s">
        <v>946</v>
      </c>
      <c r="B146" s="1" t="s">
        <v>947</v>
      </c>
      <c r="C146" s="2" t="s">
        <v>948</v>
      </c>
      <c r="D146" s="2"/>
      <c r="E146" s="2">
        <v>23.0</v>
      </c>
      <c r="F146" s="2"/>
      <c r="G146" s="2">
        <v>11.0</v>
      </c>
      <c r="H146" s="2">
        <v>19.0</v>
      </c>
      <c r="I146" s="2">
        <v>25.0</v>
      </c>
      <c r="J146" s="3">
        <f t="shared" si="1"/>
        <v>10.27777778</v>
      </c>
      <c r="K146" s="2">
        <v>100.0</v>
      </c>
      <c r="L146" s="2">
        <v>196.0</v>
      </c>
      <c r="N146" s="3">
        <f t="shared" si="2"/>
        <v>196</v>
      </c>
      <c r="O146" s="2">
        <v>100.0</v>
      </c>
      <c r="P146" s="2">
        <f t="shared" si="3"/>
        <v>14.9</v>
      </c>
      <c r="Q146" s="2">
        <v>7.0</v>
      </c>
      <c r="R146" s="2">
        <v>7.0</v>
      </c>
      <c r="S146" s="2">
        <v>13.0</v>
      </c>
      <c r="T146" s="2">
        <v>12.0</v>
      </c>
      <c r="U146" s="2">
        <v>14.5</v>
      </c>
      <c r="V146" s="2">
        <v>15.0</v>
      </c>
      <c r="W146" s="2">
        <v>20.0</v>
      </c>
      <c r="X146" s="2">
        <v>30.0</v>
      </c>
      <c r="Y146" s="2">
        <v>29.0</v>
      </c>
      <c r="Z146" s="2">
        <v>30.0</v>
      </c>
      <c r="AA146" s="2">
        <v>30.0</v>
      </c>
      <c r="AB146" s="2">
        <v>50.0</v>
      </c>
      <c r="AC146" s="2">
        <v>335.0</v>
      </c>
      <c r="AD146" s="3">
        <f t="shared" si="4"/>
        <v>9.625</v>
      </c>
    </row>
    <row r="147">
      <c r="A147" s="1" t="s">
        <v>949</v>
      </c>
      <c r="B147" s="1" t="s">
        <v>950</v>
      </c>
      <c r="C147" s="2" t="s">
        <v>951</v>
      </c>
      <c r="D147" s="2"/>
      <c r="E147" s="2">
        <v>20.0</v>
      </c>
      <c r="F147" s="2"/>
      <c r="G147" s="2">
        <v>10.0</v>
      </c>
      <c r="H147" s="2">
        <v>10.0</v>
      </c>
      <c r="I147" s="2">
        <v>25.0</v>
      </c>
      <c r="J147" s="3">
        <f t="shared" si="1"/>
        <v>7.777777778</v>
      </c>
      <c r="K147" s="2">
        <v>90.0</v>
      </c>
      <c r="L147" s="2">
        <v>180.0</v>
      </c>
      <c r="N147" s="3">
        <f t="shared" si="2"/>
        <v>180</v>
      </c>
      <c r="O147" s="2">
        <v>100.0</v>
      </c>
      <c r="P147" s="2">
        <f t="shared" si="3"/>
        <v>14</v>
      </c>
      <c r="Q147" s="2">
        <v>7.0</v>
      </c>
      <c r="R147" s="2">
        <v>9.0</v>
      </c>
      <c r="S147" s="2">
        <v>10.0</v>
      </c>
      <c r="T147" s="2">
        <v>11.5</v>
      </c>
      <c r="U147" s="2">
        <v>13.0</v>
      </c>
      <c r="V147" s="2">
        <v>15.0</v>
      </c>
      <c r="W147" s="2">
        <v>19.0</v>
      </c>
      <c r="X147" s="2">
        <v>30.0</v>
      </c>
      <c r="Y147" s="2">
        <v>26.0</v>
      </c>
      <c r="Z147" s="2">
        <v>29.0</v>
      </c>
      <c r="AA147" s="2">
        <v>28.0</v>
      </c>
      <c r="AB147" s="2">
        <v>45.0</v>
      </c>
      <c r="AC147" s="2">
        <v>340.0</v>
      </c>
      <c r="AD147" s="3">
        <f t="shared" si="4"/>
        <v>9.625</v>
      </c>
    </row>
    <row r="148">
      <c r="A148" s="1" t="s">
        <v>955</v>
      </c>
      <c r="B148" s="1" t="s">
        <v>956</v>
      </c>
      <c r="C148" s="2" t="s">
        <v>957</v>
      </c>
      <c r="D148" s="2"/>
      <c r="E148" s="2">
        <v>13.0</v>
      </c>
      <c r="F148" s="2"/>
      <c r="G148" s="2">
        <v>6.0</v>
      </c>
      <c r="H148" s="2">
        <v>12.0</v>
      </c>
      <c r="I148" s="2">
        <v>-1.0</v>
      </c>
      <c r="J148" s="3">
        <f t="shared" si="1"/>
        <v>4.388888889</v>
      </c>
      <c r="K148" s="2">
        <v>85.0</v>
      </c>
      <c r="L148" s="2">
        <v>200.0</v>
      </c>
      <c r="N148" s="3">
        <f t="shared" si="2"/>
        <v>200</v>
      </c>
      <c r="O148" s="2">
        <v>100.0</v>
      </c>
      <c r="P148" s="2">
        <f t="shared" si="3"/>
        <v>14.25</v>
      </c>
      <c r="Q148" s="2">
        <v>7.0</v>
      </c>
      <c r="R148" s="2">
        <v>8.0</v>
      </c>
      <c r="S148" s="2">
        <v>12.0</v>
      </c>
      <c r="T148" s="2">
        <v>14.0</v>
      </c>
      <c r="U148" s="2">
        <v>12.0</v>
      </c>
      <c r="V148" s="2">
        <v>12.5</v>
      </c>
      <c r="W148" s="2">
        <v>18.0</v>
      </c>
      <c r="X148" s="2">
        <v>30.0</v>
      </c>
      <c r="Y148" s="2">
        <v>28.0</v>
      </c>
      <c r="Z148" s="2">
        <v>28.0</v>
      </c>
      <c r="AA148" s="2">
        <v>29.0</v>
      </c>
      <c r="AB148" s="2">
        <v>50.0</v>
      </c>
      <c r="AC148" s="2">
        <v>345.0</v>
      </c>
      <c r="AD148" s="3">
        <f t="shared" si="4"/>
        <v>9.875</v>
      </c>
    </row>
    <row r="149">
      <c r="A149" s="1" t="s">
        <v>958</v>
      </c>
      <c r="B149" s="1" t="s">
        <v>959</v>
      </c>
      <c r="C149" s="2" t="s">
        <v>960</v>
      </c>
      <c r="D149" s="2"/>
      <c r="E149" s="2">
        <v>32.0</v>
      </c>
      <c r="F149" s="2"/>
      <c r="G149" s="2">
        <v>10.0</v>
      </c>
      <c r="H149" s="2">
        <v>16.5</v>
      </c>
      <c r="I149" s="2">
        <v>28.0</v>
      </c>
      <c r="J149" s="3">
        <f t="shared" si="1"/>
        <v>9.736111111</v>
      </c>
      <c r="K149" s="2">
        <v>100.0</v>
      </c>
      <c r="L149" s="2">
        <v>200.0</v>
      </c>
      <c r="N149" s="3">
        <f t="shared" si="2"/>
        <v>200</v>
      </c>
      <c r="O149" s="2">
        <v>100.0</v>
      </c>
      <c r="P149" s="2">
        <f t="shared" si="3"/>
        <v>15</v>
      </c>
      <c r="Q149" s="2">
        <v>7.0</v>
      </c>
      <c r="R149" s="2">
        <v>7.0</v>
      </c>
      <c r="S149" s="2">
        <v>10.0</v>
      </c>
      <c r="T149" s="2">
        <v>14.0</v>
      </c>
      <c r="U149" s="2">
        <v>14.0</v>
      </c>
      <c r="V149" s="2">
        <v>13.0</v>
      </c>
      <c r="W149" s="2">
        <v>20.0</v>
      </c>
      <c r="X149" s="2">
        <v>30.0</v>
      </c>
      <c r="Y149" s="2">
        <v>30.0</v>
      </c>
      <c r="Z149" s="2">
        <v>30.0</v>
      </c>
      <c r="AA149" s="2">
        <v>30.0</v>
      </c>
      <c r="AB149" s="2">
        <v>50.0</v>
      </c>
      <c r="AC149" s="2">
        <v>350.0</v>
      </c>
      <c r="AD149" s="3">
        <f t="shared" si="4"/>
        <v>10</v>
      </c>
    </row>
    <row r="150">
      <c r="A150" s="2" t="s">
        <v>998</v>
      </c>
      <c r="B150" s="2" t="s">
        <v>999</v>
      </c>
      <c r="C150" s="2" t="s">
        <v>1000</v>
      </c>
      <c r="D150" s="2"/>
      <c r="E150" s="2">
        <v>27.0</v>
      </c>
      <c r="F150" s="2"/>
      <c r="G150" s="2">
        <v>9.0</v>
      </c>
      <c r="H150" s="2">
        <v>11.0</v>
      </c>
      <c r="I150" s="2">
        <v>8.0</v>
      </c>
      <c r="J150" s="3">
        <f t="shared" si="1"/>
        <v>5.888888889</v>
      </c>
      <c r="K150" s="2">
        <v>85.0</v>
      </c>
      <c r="L150" s="2">
        <v>174.0</v>
      </c>
      <c r="N150" s="3">
        <f t="shared" si="2"/>
        <v>174</v>
      </c>
      <c r="O150" s="2">
        <v>90.0</v>
      </c>
      <c r="P150" s="2">
        <f t="shared" si="3"/>
        <v>13.1</v>
      </c>
      <c r="Q150" s="2">
        <v>7.0</v>
      </c>
      <c r="S150" s="2">
        <v>9.0</v>
      </c>
      <c r="T150" s="2">
        <v>11.0</v>
      </c>
      <c r="U150" s="2">
        <v>14.0</v>
      </c>
      <c r="V150" s="2">
        <v>14.0</v>
      </c>
      <c r="W150" s="2">
        <v>16.0</v>
      </c>
      <c r="X150" s="2">
        <v>29.0</v>
      </c>
      <c r="Y150" s="2">
        <v>21.0</v>
      </c>
      <c r="Z150" s="2">
        <v>28.0</v>
      </c>
      <c r="AA150" s="2">
        <v>29.0</v>
      </c>
      <c r="AB150" s="2">
        <v>50.0</v>
      </c>
      <c r="AC150" s="2">
        <v>340.0</v>
      </c>
      <c r="AD150" s="3">
        <f t="shared" si="4"/>
        <v>9.75</v>
      </c>
    </row>
    <row r="151">
      <c r="A151" s="2" t="s">
        <v>1001</v>
      </c>
      <c r="B151" s="2" t="s">
        <v>1002</v>
      </c>
      <c r="C151" s="2" t="s">
        <v>1003</v>
      </c>
      <c r="D151" s="2"/>
      <c r="E151" s="2">
        <v>5.0</v>
      </c>
      <c r="F151" s="2"/>
      <c r="G151" s="2">
        <v>9.0</v>
      </c>
      <c r="H151" s="2">
        <v>10.0</v>
      </c>
      <c r="I151" s="2">
        <v>12.0</v>
      </c>
      <c r="J151" s="3">
        <f t="shared" si="1"/>
        <v>6.083333333</v>
      </c>
      <c r="K151" s="2">
        <v>80.0</v>
      </c>
      <c r="L151" s="2">
        <v>158.0</v>
      </c>
      <c r="N151" s="3">
        <f t="shared" si="2"/>
        <v>158</v>
      </c>
      <c r="O151" s="2">
        <v>93.0</v>
      </c>
      <c r="P151" s="2">
        <f t="shared" si="3"/>
        <v>12.6</v>
      </c>
      <c r="Q151" s="2">
        <v>7.0</v>
      </c>
      <c r="R151" s="2">
        <v>7.0</v>
      </c>
      <c r="S151" s="2">
        <v>8.0</v>
      </c>
      <c r="T151" s="2">
        <v>0.0</v>
      </c>
      <c r="U151" s="2">
        <v>14.0</v>
      </c>
      <c r="V151" s="2">
        <v>15.0</v>
      </c>
      <c r="W151" s="2">
        <v>12.0</v>
      </c>
      <c r="X151" s="2">
        <v>29.0</v>
      </c>
      <c r="Y151" s="2">
        <v>27.0</v>
      </c>
      <c r="Z151" s="2">
        <v>28.0</v>
      </c>
      <c r="AB151" s="2">
        <v>50.0</v>
      </c>
      <c r="AC151" s="2">
        <v>310.0</v>
      </c>
      <c r="AD151" s="3">
        <f t="shared" si="4"/>
        <v>9</v>
      </c>
    </row>
    <row r="152">
      <c r="A152" s="2" t="s">
        <v>1007</v>
      </c>
      <c r="B152" s="2" t="s">
        <v>1008</v>
      </c>
      <c r="C152" s="2" t="s">
        <v>1009</v>
      </c>
      <c r="D152" s="2"/>
      <c r="E152" s="2">
        <v>25.0</v>
      </c>
      <c r="F152" s="2"/>
      <c r="G152" s="2">
        <v>7.0</v>
      </c>
      <c r="H152" s="2">
        <v>9.0</v>
      </c>
      <c r="I152" s="2">
        <v>8.0</v>
      </c>
      <c r="J152" s="3">
        <f t="shared" si="1"/>
        <v>4.888888889</v>
      </c>
      <c r="K152" s="2">
        <v>90.0</v>
      </c>
      <c r="L152" s="2">
        <v>170.0</v>
      </c>
      <c r="M152" s="2">
        <v>165.0</v>
      </c>
      <c r="N152" s="3">
        <f t="shared" si="2"/>
        <v>170</v>
      </c>
      <c r="O152" s="2">
        <v>94.0</v>
      </c>
      <c r="P152" s="2">
        <f t="shared" si="3"/>
        <v>13.45</v>
      </c>
      <c r="Q152" s="2">
        <v>7.0</v>
      </c>
      <c r="S152" s="2">
        <v>8.0</v>
      </c>
      <c r="T152" s="2">
        <v>6.0</v>
      </c>
      <c r="U152" s="2">
        <v>14.0</v>
      </c>
      <c r="V152" s="2">
        <v>12.0</v>
      </c>
      <c r="W152" s="2">
        <v>14.0</v>
      </c>
      <c r="X152" s="2">
        <v>29.0</v>
      </c>
      <c r="Z152" s="2">
        <v>27.0</v>
      </c>
      <c r="AA152" s="2">
        <v>28.0</v>
      </c>
      <c r="AB152" s="2">
        <v>50.0</v>
      </c>
      <c r="AC152" s="2">
        <v>320.0</v>
      </c>
      <c r="AD152" s="3">
        <f t="shared" si="4"/>
        <v>9.25</v>
      </c>
    </row>
    <row r="153">
      <c r="A153" s="2" t="s">
        <v>1010</v>
      </c>
      <c r="B153" s="2" t="s">
        <v>1011</v>
      </c>
      <c r="C153" s="2" t="s">
        <v>1012</v>
      </c>
      <c r="D153" s="2"/>
      <c r="E153" s="2">
        <v>11.0</v>
      </c>
      <c r="F153" s="2"/>
      <c r="G153" s="2">
        <v>11.0</v>
      </c>
      <c r="H153" s="2">
        <v>4.0</v>
      </c>
      <c r="I153" s="2">
        <v>3.5</v>
      </c>
      <c r="J153" s="3">
        <f t="shared" si="1"/>
        <v>4.138888889</v>
      </c>
      <c r="K153" s="2">
        <v>70.0</v>
      </c>
      <c r="L153" s="2">
        <v>162.0</v>
      </c>
      <c r="M153" s="2">
        <v>165.0</v>
      </c>
      <c r="N153" s="3">
        <f t="shared" si="2"/>
        <v>165</v>
      </c>
      <c r="O153" s="2">
        <v>92.0</v>
      </c>
      <c r="P153" s="2">
        <f t="shared" si="3"/>
        <v>12.225</v>
      </c>
      <c r="Q153" s="2">
        <v>5.0</v>
      </c>
      <c r="S153" s="2">
        <v>4.0</v>
      </c>
      <c r="T153" s="2">
        <v>5.0</v>
      </c>
      <c r="U153" s="2">
        <v>15.0</v>
      </c>
      <c r="V153" s="2">
        <v>12.0</v>
      </c>
      <c r="W153" s="2">
        <v>15.0</v>
      </c>
      <c r="X153" s="2">
        <v>28.0</v>
      </c>
      <c r="Y153" s="2">
        <v>18.0</v>
      </c>
      <c r="Z153" s="2">
        <v>29.0</v>
      </c>
      <c r="AB153" s="2">
        <v>50.0</v>
      </c>
      <c r="AC153" s="2">
        <v>280.0</v>
      </c>
      <c r="AD153" s="3">
        <f t="shared" si="4"/>
        <v>8.25</v>
      </c>
    </row>
    <row r="154">
      <c r="A154" s="2" t="s">
        <v>1013</v>
      </c>
      <c r="B154" s="2" t="s">
        <v>1014</v>
      </c>
      <c r="C154" s="2" t="s">
        <v>1015</v>
      </c>
      <c r="D154" s="2"/>
      <c r="E154" s="2">
        <v>17.0</v>
      </c>
      <c r="F154" s="2"/>
      <c r="G154" s="2">
        <v>7.0</v>
      </c>
      <c r="H154" s="2">
        <v>13.0</v>
      </c>
      <c r="I154" s="2">
        <v>8.5</v>
      </c>
      <c r="J154" s="3">
        <f t="shared" si="1"/>
        <v>5.944444444</v>
      </c>
      <c r="K154" s="2">
        <v>90.0</v>
      </c>
      <c r="M154" s="2">
        <v>165.0</v>
      </c>
      <c r="N154" s="3">
        <f t="shared" si="2"/>
        <v>165</v>
      </c>
      <c r="O154" s="2">
        <v>90.0</v>
      </c>
      <c r="P154" s="2">
        <f t="shared" si="3"/>
        <v>13.125</v>
      </c>
      <c r="Q154" s="2">
        <v>6.0</v>
      </c>
      <c r="S154" s="2">
        <v>8.0</v>
      </c>
      <c r="T154" s="2">
        <v>5.0</v>
      </c>
      <c r="U154" s="2">
        <v>15.0</v>
      </c>
      <c r="W154" s="2">
        <v>13.0</v>
      </c>
      <c r="Z154" s="2">
        <v>30.0</v>
      </c>
      <c r="AA154" s="2">
        <v>28.0</v>
      </c>
      <c r="AB154" s="2">
        <v>50.0</v>
      </c>
      <c r="AC154" s="2">
        <v>310.0</v>
      </c>
      <c r="AD154" s="3">
        <f t="shared" si="4"/>
        <v>9</v>
      </c>
    </row>
    <row r="155">
      <c r="A155" s="2" t="s">
        <v>1019</v>
      </c>
      <c r="B155" s="2" t="s">
        <v>1020</v>
      </c>
      <c r="C155" s="2" t="s">
        <v>1021</v>
      </c>
      <c r="D155" s="2"/>
      <c r="E155" s="2">
        <v>10.0</v>
      </c>
      <c r="F155" s="2"/>
      <c r="G155" s="2">
        <v>11.0</v>
      </c>
      <c r="H155" s="2">
        <v>6.0</v>
      </c>
      <c r="I155" s="2">
        <v>20.0</v>
      </c>
      <c r="J155" s="3">
        <f t="shared" si="1"/>
        <v>6.472222222</v>
      </c>
      <c r="K155" s="2">
        <v>95.0</v>
      </c>
      <c r="L155" s="2">
        <v>160.0</v>
      </c>
      <c r="N155" s="3">
        <f t="shared" si="2"/>
        <v>160</v>
      </c>
      <c r="O155" s="2">
        <v>93.0</v>
      </c>
      <c r="P155" s="2">
        <f t="shared" si="3"/>
        <v>13.4</v>
      </c>
      <c r="Q155" s="2">
        <v>7.0</v>
      </c>
      <c r="R155" s="2">
        <v>8.0</v>
      </c>
      <c r="S155" s="2">
        <v>7.0</v>
      </c>
      <c r="T155" s="2">
        <v>0.0</v>
      </c>
      <c r="U155" s="2">
        <v>13.0</v>
      </c>
      <c r="V155" s="2">
        <v>15.0</v>
      </c>
      <c r="W155" s="2">
        <v>13.0</v>
      </c>
      <c r="X155" s="2">
        <v>30.0</v>
      </c>
      <c r="Y155" s="2">
        <v>27.0</v>
      </c>
      <c r="Z155" s="2">
        <v>30.0</v>
      </c>
      <c r="AB155" s="2">
        <v>50.0</v>
      </c>
      <c r="AC155" s="2">
        <v>300.0</v>
      </c>
      <c r="AD155" s="3">
        <f t="shared" si="4"/>
        <v>8.75</v>
      </c>
    </row>
    <row r="156">
      <c r="A156" s="2" t="s">
        <v>1022</v>
      </c>
      <c r="B156" s="2" t="s">
        <v>1023</v>
      </c>
      <c r="C156" s="2" t="s">
        <v>1024</v>
      </c>
      <c r="D156" s="2"/>
      <c r="E156" s="2">
        <v>23.0</v>
      </c>
      <c r="F156" s="2"/>
      <c r="G156" s="2">
        <v>11.0</v>
      </c>
      <c r="H156" s="2">
        <v>12.0</v>
      </c>
      <c r="I156" s="2">
        <v>26.0</v>
      </c>
      <c r="J156" s="3">
        <f t="shared" si="1"/>
        <v>8.638888889</v>
      </c>
      <c r="K156" s="2">
        <v>75.0</v>
      </c>
      <c r="L156" s="2">
        <v>160.0</v>
      </c>
      <c r="N156" s="3">
        <f t="shared" si="2"/>
        <v>160</v>
      </c>
      <c r="O156" s="2">
        <v>90.0</v>
      </c>
      <c r="P156" s="2">
        <f t="shared" si="3"/>
        <v>12.25</v>
      </c>
      <c r="Q156" s="2">
        <v>7.0</v>
      </c>
      <c r="R156" s="2">
        <v>6.0</v>
      </c>
      <c r="S156" s="2">
        <v>11.0</v>
      </c>
      <c r="T156" s="2">
        <v>0.0</v>
      </c>
      <c r="V156" s="2">
        <v>15.0</v>
      </c>
      <c r="W156" s="2">
        <v>16.0</v>
      </c>
      <c r="X156" s="2">
        <v>29.0</v>
      </c>
      <c r="Z156" s="2">
        <v>29.0</v>
      </c>
      <c r="AB156" s="2">
        <v>50.0</v>
      </c>
      <c r="AC156" s="2">
        <v>300.0</v>
      </c>
      <c r="AD156" s="3">
        <f t="shared" si="4"/>
        <v>8.75</v>
      </c>
    </row>
    <row r="157">
      <c r="A157" s="2" t="s">
        <v>1025</v>
      </c>
      <c r="B157" s="2" t="s">
        <v>1026</v>
      </c>
      <c r="C157" s="2" t="s">
        <v>1027</v>
      </c>
      <c r="D157" s="2"/>
      <c r="E157" s="2">
        <v>18.0</v>
      </c>
      <c r="F157" s="2"/>
      <c r="G157" s="2">
        <v>6.0</v>
      </c>
      <c r="H157" s="2">
        <v>10.0</v>
      </c>
      <c r="I157" s="2">
        <v>23.0</v>
      </c>
      <c r="J157" s="3">
        <f t="shared" si="1"/>
        <v>6.555555556</v>
      </c>
      <c r="K157" s="2">
        <v>85.0</v>
      </c>
      <c r="L157" s="2">
        <v>160.0</v>
      </c>
      <c r="N157" s="3">
        <f t="shared" si="2"/>
        <v>160</v>
      </c>
      <c r="O157" s="2">
        <v>92.0</v>
      </c>
      <c r="P157" s="2">
        <f t="shared" si="3"/>
        <v>12.85</v>
      </c>
      <c r="Q157" s="2">
        <v>6.0</v>
      </c>
      <c r="R157" s="2">
        <v>6.0</v>
      </c>
      <c r="S157" s="2">
        <v>8.0</v>
      </c>
      <c r="T157" s="2">
        <v>0.0</v>
      </c>
      <c r="U157" s="2">
        <v>14.0</v>
      </c>
      <c r="V157" s="2">
        <v>15.0</v>
      </c>
      <c r="W157" s="2">
        <v>12.0</v>
      </c>
      <c r="X157" s="2">
        <v>28.0</v>
      </c>
      <c r="Y157" s="2">
        <v>27.0</v>
      </c>
      <c r="Z157" s="2">
        <v>30.0</v>
      </c>
      <c r="AB157" s="2">
        <v>50.0</v>
      </c>
      <c r="AC157" s="2">
        <v>300.0</v>
      </c>
      <c r="AD157" s="3">
        <f t="shared" si="4"/>
        <v>8.75</v>
      </c>
    </row>
    <row r="158">
      <c r="A158" s="1" t="s">
        <v>336</v>
      </c>
      <c r="B158" s="1" t="s">
        <v>337</v>
      </c>
      <c r="C158" s="2" t="s">
        <v>338</v>
      </c>
      <c r="D158" s="2"/>
      <c r="E158" s="2">
        <v>27.0</v>
      </c>
      <c r="F158" s="2"/>
      <c r="G158" s="2">
        <v>11.0</v>
      </c>
      <c r="H158" s="2">
        <v>17.0</v>
      </c>
      <c r="I158" s="2">
        <v>37.0</v>
      </c>
      <c r="J158" s="3">
        <f t="shared" si="1"/>
        <v>11.11111111</v>
      </c>
      <c r="K158" s="2">
        <v>100.0</v>
      </c>
      <c r="L158" s="2">
        <v>170.0</v>
      </c>
      <c r="M158" s="2">
        <v>195.0</v>
      </c>
      <c r="N158" s="3">
        <f t="shared" si="2"/>
        <v>195</v>
      </c>
      <c r="O158" s="2">
        <v>100.0</v>
      </c>
      <c r="P158" s="2">
        <f t="shared" si="3"/>
        <v>14.875</v>
      </c>
      <c r="Q158" s="2">
        <v>7.0</v>
      </c>
      <c r="R158" s="2">
        <v>3.0</v>
      </c>
      <c r="S158" s="2">
        <v>15.0</v>
      </c>
      <c r="T158" s="2">
        <v>14.0</v>
      </c>
      <c r="U158" s="2">
        <v>12.0</v>
      </c>
      <c r="V158" s="2">
        <v>13.0</v>
      </c>
      <c r="W158" s="2">
        <v>16.0</v>
      </c>
      <c r="X158" s="2">
        <v>30.0</v>
      </c>
      <c r="Y158" s="2">
        <v>30.0</v>
      </c>
      <c r="Z158" s="2">
        <v>30.0</v>
      </c>
      <c r="AA158" s="2">
        <v>30.0</v>
      </c>
      <c r="AB158" s="2">
        <v>35.0</v>
      </c>
      <c r="AC158" s="2">
        <v>350.0</v>
      </c>
      <c r="AD158" s="3">
        <f t="shared" si="4"/>
        <v>9.625</v>
      </c>
    </row>
    <row r="159">
      <c r="A159" s="1" t="s">
        <v>44</v>
      </c>
      <c r="B159" s="1" t="s">
        <v>45</v>
      </c>
      <c r="C159" s="2" t="s">
        <v>46</v>
      </c>
      <c r="D159" s="2"/>
      <c r="E159" s="2">
        <v>37.0</v>
      </c>
      <c r="F159" s="2"/>
      <c r="G159" s="2">
        <v>19.0</v>
      </c>
      <c r="H159" s="2">
        <v>19.0</v>
      </c>
      <c r="I159" s="2">
        <v>45.0</v>
      </c>
      <c r="J159" s="3">
        <f t="shared" si="1"/>
        <v>14.5</v>
      </c>
      <c r="K159" s="2">
        <v>100.0</v>
      </c>
      <c r="L159" s="2">
        <v>200.0</v>
      </c>
      <c r="N159" s="3">
        <f t="shared" si="2"/>
        <v>200</v>
      </c>
      <c r="O159" s="2">
        <v>95.0</v>
      </c>
      <c r="P159" s="2">
        <f t="shared" si="3"/>
        <v>14.75</v>
      </c>
      <c r="Q159" s="2">
        <v>7.0</v>
      </c>
      <c r="R159" s="2">
        <v>9.0</v>
      </c>
      <c r="S159" s="2">
        <v>15.0</v>
      </c>
      <c r="T159" s="2">
        <v>11.0</v>
      </c>
      <c r="U159" s="2">
        <v>15.0</v>
      </c>
      <c r="V159" s="2">
        <v>14.0</v>
      </c>
      <c r="W159" s="2">
        <v>20.0</v>
      </c>
      <c r="X159" s="2">
        <v>30.0</v>
      </c>
      <c r="Y159" s="2">
        <v>30.0</v>
      </c>
      <c r="Z159" s="2">
        <v>30.0</v>
      </c>
      <c r="AA159" s="2">
        <v>30.0</v>
      </c>
      <c r="AB159" s="2">
        <v>30.0</v>
      </c>
      <c r="AC159" s="2">
        <v>340.0</v>
      </c>
      <c r="AD159" s="3">
        <f t="shared" si="4"/>
        <v>9.25</v>
      </c>
    </row>
    <row r="160">
      <c r="A160" s="1" t="s">
        <v>536</v>
      </c>
      <c r="B160" s="1" t="s">
        <v>537</v>
      </c>
      <c r="C160" s="2" t="s">
        <v>538</v>
      </c>
      <c r="D160" s="2"/>
      <c r="E160" s="2">
        <v>29.0</v>
      </c>
      <c r="F160" s="2"/>
      <c r="G160" s="2">
        <v>14.0</v>
      </c>
      <c r="H160" s="2">
        <v>17.5</v>
      </c>
      <c r="I160" s="2">
        <v>40.0</v>
      </c>
      <c r="J160" s="3">
        <f t="shared" si="1"/>
        <v>12.31944444</v>
      </c>
      <c r="K160" s="2">
        <v>97.0</v>
      </c>
      <c r="L160" s="2">
        <v>192.0</v>
      </c>
      <c r="N160" s="3">
        <f t="shared" si="2"/>
        <v>192</v>
      </c>
      <c r="O160" s="2">
        <v>100.0</v>
      </c>
      <c r="P160" s="2">
        <f t="shared" si="3"/>
        <v>14.65</v>
      </c>
      <c r="Q160" s="2">
        <v>7.0</v>
      </c>
      <c r="R160" s="2">
        <v>8.0</v>
      </c>
      <c r="S160" s="2">
        <v>12.0</v>
      </c>
      <c r="T160" s="2">
        <v>12.0</v>
      </c>
      <c r="U160" s="2">
        <v>14.5</v>
      </c>
      <c r="V160" s="2">
        <v>14.0</v>
      </c>
      <c r="W160" s="2">
        <v>19.5</v>
      </c>
      <c r="X160" s="2">
        <v>30.0</v>
      </c>
      <c r="Y160" s="2">
        <v>27.0</v>
      </c>
      <c r="Z160" s="2">
        <v>30.0</v>
      </c>
      <c r="AA160" s="2">
        <v>30.0</v>
      </c>
      <c r="AB160" s="2">
        <v>45.0</v>
      </c>
      <c r="AC160" s="2">
        <v>350.0</v>
      </c>
      <c r="AD160" s="3">
        <f t="shared" si="4"/>
        <v>9.875</v>
      </c>
    </row>
    <row r="161">
      <c r="A161" s="1" t="s">
        <v>27</v>
      </c>
      <c r="B161" s="1" t="s">
        <v>28</v>
      </c>
      <c r="C161" s="2" t="s">
        <v>29</v>
      </c>
      <c r="D161" s="2"/>
      <c r="E161" s="2">
        <v>37.0</v>
      </c>
      <c r="F161" s="2"/>
      <c r="G161" s="2">
        <v>17.0</v>
      </c>
      <c r="H161" s="2">
        <v>17.0</v>
      </c>
      <c r="I161" s="2">
        <v>37.0</v>
      </c>
      <c r="J161" s="3">
        <f t="shared" si="1"/>
        <v>12.61111111</v>
      </c>
      <c r="K161" s="2">
        <v>95.0</v>
      </c>
      <c r="L161" s="2">
        <v>200.0</v>
      </c>
      <c r="N161" s="3">
        <f t="shared" si="2"/>
        <v>200</v>
      </c>
      <c r="P161" s="2">
        <f t="shared" si="3"/>
        <v>9.75</v>
      </c>
      <c r="Q161" s="2">
        <v>6.0</v>
      </c>
      <c r="R161" s="2">
        <v>7.0</v>
      </c>
      <c r="S161" s="2">
        <v>15.0</v>
      </c>
      <c r="T161" s="2">
        <v>8.0</v>
      </c>
      <c r="U161" s="2">
        <v>15.0</v>
      </c>
      <c r="V161" s="2">
        <v>14.0</v>
      </c>
      <c r="W161" s="2">
        <v>20.0</v>
      </c>
      <c r="X161" s="2">
        <v>30.0</v>
      </c>
      <c r="Y161" s="2">
        <v>0.0</v>
      </c>
      <c r="Z161" s="2">
        <v>30.0</v>
      </c>
      <c r="AB161" s="2">
        <v>30.0</v>
      </c>
      <c r="AC161" s="2">
        <v>340.0</v>
      </c>
      <c r="AD161" s="3">
        <f t="shared" si="4"/>
        <v>9.25</v>
      </c>
    </row>
    <row r="162">
      <c r="A162" s="1" t="s">
        <v>131</v>
      </c>
      <c r="B162" s="1" t="s">
        <v>132</v>
      </c>
      <c r="C162" s="2" t="s">
        <v>133</v>
      </c>
      <c r="D162" s="2"/>
      <c r="E162" s="2">
        <v>38.0</v>
      </c>
      <c r="F162" s="2"/>
      <c r="G162" s="2">
        <v>17.0</v>
      </c>
      <c r="H162" s="2">
        <v>19.0</v>
      </c>
      <c r="I162" s="2">
        <v>40.0</v>
      </c>
      <c r="J162" s="3">
        <f t="shared" si="1"/>
        <v>13.44444444</v>
      </c>
      <c r="K162" s="2">
        <v>100.0</v>
      </c>
      <c r="L162" s="2">
        <v>200.0</v>
      </c>
      <c r="N162" s="3">
        <f t="shared" si="2"/>
        <v>200</v>
      </c>
      <c r="O162" s="2">
        <v>100.0</v>
      </c>
      <c r="P162" s="2">
        <f t="shared" si="3"/>
        <v>15</v>
      </c>
      <c r="Q162" s="2">
        <v>6.0</v>
      </c>
      <c r="R162" s="2">
        <v>9.0</v>
      </c>
      <c r="S162" s="2">
        <v>14.0</v>
      </c>
      <c r="T162" s="2">
        <v>11.0</v>
      </c>
      <c r="U162" s="2">
        <v>15.0</v>
      </c>
      <c r="V162" s="2">
        <v>15.0</v>
      </c>
      <c r="W162" s="2">
        <v>20.0</v>
      </c>
      <c r="X162" s="2">
        <v>30.0</v>
      </c>
      <c r="Y162" s="2">
        <v>28.0</v>
      </c>
      <c r="Z162" s="2">
        <v>30.0</v>
      </c>
      <c r="AA162" s="2">
        <v>30.0</v>
      </c>
      <c r="AB162" s="2">
        <v>50.0</v>
      </c>
      <c r="AC162" s="2">
        <v>350.0</v>
      </c>
      <c r="AD162" s="3">
        <f t="shared" si="4"/>
        <v>10</v>
      </c>
    </row>
    <row r="163">
      <c r="A163" s="1" t="s">
        <v>232</v>
      </c>
      <c r="B163" s="1" t="s">
        <v>233</v>
      </c>
      <c r="C163" s="2" t="s">
        <v>234</v>
      </c>
      <c r="D163" s="2"/>
      <c r="E163" s="2">
        <v>15.0</v>
      </c>
      <c r="F163" s="2"/>
      <c r="G163" s="2">
        <v>9.0</v>
      </c>
      <c r="H163" s="2">
        <v>8.0</v>
      </c>
      <c r="I163" s="2">
        <v>16.0</v>
      </c>
      <c r="J163" s="3">
        <f t="shared" si="1"/>
        <v>6.027777778</v>
      </c>
      <c r="K163" s="2">
        <v>90.0</v>
      </c>
      <c r="L163" s="2">
        <v>160.0</v>
      </c>
      <c r="N163" s="3">
        <f t="shared" si="2"/>
        <v>160</v>
      </c>
      <c r="O163" s="2">
        <v>100.0</v>
      </c>
      <c r="P163" s="2">
        <f t="shared" si="3"/>
        <v>13.5</v>
      </c>
      <c r="Q163" s="2">
        <v>7.0</v>
      </c>
      <c r="R163" s="2">
        <v>6.0</v>
      </c>
      <c r="S163" s="2">
        <v>6.0</v>
      </c>
      <c r="T163" s="2">
        <v>7.0</v>
      </c>
      <c r="U163" s="2">
        <v>13.0</v>
      </c>
      <c r="V163" s="2">
        <v>13.0</v>
      </c>
      <c r="W163" s="2">
        <v>0.0</v>
      </c>
      <c r="X163" s="2">
        <v>26.0</v>
      </c>
      <c r="Y163" s="2">
        <v>26.0</v>
      </c>
      <c r="Z163" s="2">
        <v>30.0</v>
      </c>
      <c r="AB163" s="2">
        <v>35.0</v>
      </c>
      <c r="AC163" s="2">
        <v>300.0</v>
      </c>
      <c r="AD163" s="3">
        <f t="shared" si="4"/>
        <v>8.375</v>
      </c>
    </row>
    <row r="164">
      <c r="A164" s="1" t="s">
        <v>259</v>
      </c>
      <c r="B164" s="1" t="s">
        <v>260</v>
      </c>
      <c r="C164" s="2" t="s">
        <v>261</v>
      </c>
      <c r="D164" s="2"/>
      <c r="E164" s="2">
        <v>25.0</v>
      </c>
      <c r="F164" s="2"/>
      <c r="G164" s="2">
        <v>9.0</v>
      </c>
      <c r="H164" s="2">
        <v>11.5</v>
      </c>
      <c r="I164" s="2">
        <v>8.0</v>
      </c>
      <c r="J164" s="3">
        <f t="shared" si="1"/>
        <v>6.013888889</v>
      </c>
      <c r="K164" s="2">
        <v>95.0</v>
      </c>
      <c r="L164" s="2">
        <v>0.0</v>
      </c>
      <c r="M164" s="2">
        <v>185.0</v>
      </c>
      <c r="N164" s="3">
        <f t="shared" si="2"/>
        <v>185</v>
      </c>
      <c r="O164" s="2">
        <v>80.0</v>
      </c>
      <c r="P164" s="2">
        <f t="shared" si="3"/>
        <v>13.375</v>
      </c>
      <c r="Q164" s="2">
        <v>6.0</v>
      </c>
      <c r="R164" s="2">
        <v>2.0</v>
      </c>
      <c r="S164" s="2">
        <v>8.0</v>
      </c>
      <c r="T164" s="2">
        <v>8.0</v>
      </c>
      <c r="U164" s="2">
        <v>13.0</v>
      </c>
      <c r="V164" s="2">
        <v>12.0</v>
      </c>
      <c r="W164" s="2">
        <v>18.0</v>
      </c>
      <c r="X164" s="2">
        <v>26.0</v>
      </c>
      <c r="Y164" s="2">
        <v>24.0</v>
      </c>
      <c r="Z164" s="2">
        <v>28.0</v>
      </c>
      <c r="AA164" s="2">
        <v>28.0</v>
      </c>
      <c r="AB164" s="2">
        <v>0.0</v>
      </c>
      <c r="AC164" s="2">
        <v>300.0</v>
      </c>
      <c r="AD164" s="3">
        <f t="shared" si="4"/>
        <v>7.5</v>
      </c>
    </row>
    <row r="165">
      <c r="A165" s="1" t="s">
        <v>659</v>
      </c>
      <c r="B165" s="1" t="s">
        <v>660</v>
      </c>
      <c r="C165" s="2" t="s">
        <v>661</v>
      </c>
      <c r="D165" s="2"/>
      <c r="E165" s="2">
        <v>21.0</v>
      </c>
      <c r="F165" s="2"/>
      <c r="G165" s="2">
        <v>4.0</v>
      </c>
      <c r="H165" s="2">
        <v>5.0</v>
      </c>
      <c r="I165" s="2">
        <v>20.0</v>
      </c>
      <c r="J165" s="3">
        <f t="shared" si="1"/>
        <v>4.472222222</v>
      </c>
      <c r="K165" s="2">
        <v>90.0</v>
      </c>
      <c r="L165" s="2">
        <v>175.0</v>
      </c>
      <c r="N165" s="3">
        <f t="shared" si="2"/>
        <v>175</v>
      </c>
      <c r="O165" s="2">
        <v>98.0</v>
      </c>
      <c r="P165" s="2">
        <f t="shared" si="3"/>
        <v>13.775</v>
      </c>
      <c r="Q165" s="2">
        <v>6.0</v>
      </c>
      <c r="R165" s="2">
        <v>2.0</v>
      </c>
      <c r="S165" s="2">
        <v>6.0</v>
      </c>
      <c r="T165" s="2">
        <v>5.0</v>
      </c>
      <c r="U165" s="2">
        <v>12.0</v>
      </c>
      <c r="V165" s="2">
        <v>13.0</v>
      </c>
      <c r="W165" s="2">
        <v>18.0</v>
      </c>
      <c r="X165" s="2">
        <v>25.0</v>
      </c>
      <c r="Y165" s="2">
        <v>28.0</v>
      </c>
      <c r="Z165" s="2">
        <v>30.0</v>
      </c>
      <c r="AA165" s="2">
        <v>28.0</v>
      </c>
      <c r="AB165" s="2">
        <v>40.0</v>
      </c>
      <c r="AD165" s="3">
        <f t="shared" si="4"/>
        <v>1</v>
      </c>
    </row>
    <row r="166">
      <c r="A166" s="1" t="s">
        <v>677</v>
      </c>
      <c r="B166" s="1" t="s">
        <v>678</v>
      </c>
      <c r="C166" s="2" t="s">
        <v>679</v>
      </c>
      <c r="D166" s="2"/>
      <c r="E166" s="2">
        <v>14.0</v>
      </c>
      <c r="F166" s="2"/>
      <c r="G166" s="2">
        <v>2.0</v>
      </c>
      <c r="H166" s="2">
        <v>6.0</v>
      </c>
      <c r="I166" s="2">
        <v>27.0</v>
      </c>
      <c r="J166" s="3">
        <f t="shared" si="1"/>
        <v>5</v>
      </c>
      <c r="K166" s="2">
        <v>80.0</v>
      </c>
      <c r="L166" s="2">
        <v>140.0</v>
      </c>
      <c r="N166" s="3">
        <f t="shared" si="2"/>
        <v>140</v>
      </c>
      <c r="O166" s="2">
        <v>80.0</v>
      </c>
      <c r="P166" s="2">
        <f t="shared" si="3"/>
        <v>11.5</v>
      </c>
      <c r="Q166" s="2">
        <v>0.0</v>
      </c>
      <c r="R166" s="2">
        <v>10.0</v>
      </c>
      <c r="S166" s="2">
        <v>9.0</v>
      </c>
      <c r="T166" s="2">
        <v>5.0</v>
      </c>
      <c r="U166" s="2">
        <v>15.0</v>
      </c>
      <c r="V166" s="2">
        <v>13.0</v>
      </c>
      <c r="W166" s="2">
        <v>16.0</v>
      </c>
      <c r="X166" s="2">
        <v>29.0</v>
      </c>
      <c r="Y166" s="2">
        <v>0.0</v>
      </c>
      <c r="Z166" s="2">
        <v>30.0</v>
      </c>
      <c r="AA166" s="2">
        <v>27.0</v>
      </c>
      <c r="AB166" s="2">
        <v>0.0</v>
      </c>
      <c r="AC166" s="2">
        <v>250.0</v>
      </c>
      <c r="AD166" s="3">
        <f t="shared" si="4"/>
        <v>6.25</v>
      </c>
    </row>
    <row r="167">
      <c r="A167" s="1" t="s">
        <v>701</v>
      </c>
      <c r="B167" s="1" t="s">
        <v>702</v>
      </c>
      <c r="C167" s="2" t="s">
        <v>703</v>
      </c>
      <c r="D167" s="2"/>
      <c r="E167" s="2">
        <v>20.0</v>
      </c>
      <c r="F167" s="2"/>
      <c r="G167" s="2">
        <v>3.0</v>
      </c>
      <c r="H167" s="2">
        <v>2.0</v>
      </c>
      <c r="I167" s="2">
        <v>16.0</v>
      </c>
      <c r="J167" s="3">
        <f t="shared" si="1"/>
        <v>3.027777778</v>
      </c>
      <c r="K167" s="2">
        <v>100.0</v>
      </c>
      <c r="M167" s="2">
        <v>170.0</v>
      </c>
      <c r="N167" s="3">
        <f t="shared" si="2"/>
        <v>170</v>
      </c>
      <c r="O167" s="2">
        <v>0.0</v>
      </c>
      <c r="P167" s="2">
        <f t="shared" si="3"/>
        <v>9.25</v>
      </c>
      <c r="Q167" s="2">
        <v>7.0</v>
      </c>
      <c r="R167" s="2">
        <v>1.0</v>
      </c>
      <c r="S167" s="2">
        <v>15.0</v>
      </c>
      <c r="T167" s="2">
        <v>10.0</v>
      </c>
      <c r="U167" s="2">
        <v>15.0</v>
      </c>
      <c r="V167" s="2">
        <v>13.0</v>
      </c>
      <c r="W167" s="2">
        <v>20.0</v>
      </c>
      <c r="X167" s="2">
        <v>0.0</v>
      </c>
      <c r="Y167" s="2">
        <v>0.0</v>
      </c>
      <c r="Z167" s="2">
        <v>30.0</v>
      </c>
      <c r="AA167" s="2">
        <v>27.0</v>
      </c>
      <c r="AB167" s="2">
        <v>0.0</v>
      </c>
      <c r="AC167" s="2">
        <v>330.0</v>
      </c>
      <c r="AD167" s="3">
        <f t="shared" si="4"/>
        <v>8.25</v>
      </c>
    </row>
    <row r="168">
      <c r="A168" s="1" t="s">
        <v>713</v>
      </c>
      <c r="B168" s="1" t="s">
        <v>714</v>
      </c>
      <c r="C168" s="2" t="s">
        <v>715</v>
      </c>
      <c r="D168" s="2"/>
      <c r="E168" s="2">
        <v>30.0</v>
      </c>
      <c r="F168" s="2"/>
      <c r="G168" s="2">
        <v>9.0</v>
      </c>
      <c r="H168" s="2">
        <v>17.0</v>
      </c>
      <c r="I168" s="2">
        <v>45.0</v>
      </c>
      <c r="J168" s="3">
        <f t="shared" si="1"/>
        <v>11.5</v>
      </c>
      <c r="K168" s="2">
        <v>100.0</v>
      </c>
      <c r="L168" s="2">
        <v>150.0</v>
      </c>
      <c r="N168" s="3">
        <f t="shared" si="2"/>
        <v>150</v>
      </c>
      <c r="O168" s="2">
        <v>100.0</v>
      </c>
      <c r="P168" s="2">
        <f t="shared" si="3"/>
        <v>13.75</v>
      </c>
      <c r="Q168" s="2">
        <v>7.0</v>
      </c>
      <c r="R168" s="2">
        <v>5.0</v>
      </c>
      <c r="S168" s="2">
        <v>13.0</v>
      </c>
      <c r="T168" s="2">
        <v>10.0</v>
      </c>
      <c r="U168" s="2">
        <v>15.0</v>
      </c>
      <c r="V168" s="2">
        <v>15.0</v>
      </c>
      <c r="W168" s="2">
        <v>20.0</v>
      </c>
      <c r="X168" s="2">
        <v>30.0</v>
      </c>
      <c r="Y168" s="2">
        <v>30.0</v>
      </c>
      <c r="Z168" s="2">
        <v>29.0</v>
      </c>
      <c r="AA168" s="2">
        <v>28.0</v>
      </c>
      <c r="AB168" s="2">
        <v>30.0</v>
      </c>
      <c r="AC168" s="2">
        <v>340.0</v>
      </c>
      <c r="AD168" s="3">
        <f t="shared" si="4"/>
        <v>9.25</v>
      </c>
    </row>
    <row r="169">
      <c r="A169" s="1" t="s">
        <v>722</v>
      </c>
      <c r="B169" s="1" t="s">
        <v>723</v>
      </c>
      <c r="C169" s="2" t="s">
        <v>724</v>
      </c>
      <c r="D169" s="2"/>
      <c r="E169" s="2">
        <v>31.0</v>
      </c>
      <c r="F169" s="2"/>
      <c r="G169" s="2">
        <v>11.0</v>
      </c>
      <c r="H169" s="2">
        <v>20.0</v>
      </c>
      <c r="I169" s="2">
        <v>45.0</v>
      </c>
      <c r="J169" s="3">
        <f t="shared" si="1"/>
        <v>12.75</v>
      </c>
      <c r="K169" s="2">
        <v>100.0</v>
      </c>
      <c r="L169" s="2">
        <v>200.0</v>
      </c>
      <c r="N169" s="3">
        <f t="shared" si="2"/>
        <v>200</v>
      </c>
      <c r="O169" s="2">
        <v>100.0</v>
      </c>
      <c r="P169" s="2">
        <f t="shared" si="3"/>
        <v>15</v>
      </c>
      <c r="Q169" s="2">
        <v>7.0</v>
      </c>
      <c r="R169" s="2">
        <v>8.0</v>
      </c>
      <c r="S169" s="2">
        <v>12.0</v>
      </c>
      <c r="T169" s="2">
        <v>15.0</v>
      </c>
      <c r="U169" s="2">
        <v>15.0</v>
      </c>
      <c r="V169" s="2">
        <v>15.0</v>
      </c>
      <c r="W169" s="2">
        <v>20.0</v>
      </c>
      <c r="X169" s="2">
        <v>25.0</v>
      </c>
      <c r="Y169" s="2">
        <v>30.0</v>
      </c>
      <c r="Z169" s="2">
        <v>30.0</v>
      </c>
      <c r="AA169" s="2">
        <v>30.0</v>
      </c>
      <c r="AB169" s="2">
        <v>50.0</v>
      </c>
      <c r="AC169" s="2">
        <v>330.0</v>
      </c>
      <c r="AD169" s="3">
        <f t="shared" si="4"/>
        <v>9.5</v>
      </c>
    </row>
    <row r="170">
      <c r="A170" s="1" t="s">
        <v>749</v>
      </c>
      <c r="B170" s="1" t="s">
        <v>750</v>
      </c>
      <c r="C170" s="2" t="s">
        <v>751</v>
      </c>
      <c r="D170" s="2"/>
      <c r="E170" s="2">
        <v>29.0</v>
      </c>
      <c r="F170" s="2"/>
      <c r="G170" s="2">
        <v>5.0</v>
      </c>
      <c r="H170" s="2">
        <v>6.0</v>
      </c>
      <c r="I170" s="2">
        <v>14.0</v>
      </c>
      <c r="J170" s="3">
        <f t="shared" si="1"/>
        <v>4.305555556</v>
      </c>
      <c r="K170" s="2">
        <v>70.0</v>
      </c>
      <c r="L170" s="2">
        <v>179.0</v>
      </c>
      <c r="N170" s="3">
        <f t="shared" si="2"/>
        <v>179</v>
      </c>
      <c r="P170" s="2">
        <f t="shared" si="3"/>
        <v>7.975</v>
      </c>
      <c r="Q170" s="2">
        <v>7.0</v>
      </c>
      <c r="R170" s="2">
        <v>7.0</v>
      </c>
      <c r="S170" s="2">
        <v>10.0</v>
      </c>
      <c r="T170" s="2">
        <v>10.0</v>
      </c>
      <c r="V170" s="2">
        <v>13.0</v>
      </c>
      <c r="W170" s="2">
        <v>17.0</v>
      </c>
      <c r="AD170" s="3">
        <f t="shared" si="4"/>
        <v>0</v>
      </c>
    </row>
    <row r="171">
      <c r="A171" s="1" t="s">
        <v>548</v>
      </c>
      <c r="B171" s="1" t="s">
        <v>549</v>
      </c>
      <c r="C171" s="2" t="s">
        <v>550</v>
      </c>
      <c r="D171" s="2"/>
      <c r="E171" s="2">
        <v>15.0</v>
      </c>
      <c r="F171" s="2"/>
      <c r="G171" s="2">
        <v>4.0</v>
      </c>
      <c r="H171" s="2">
        <v>8.0</v>
      </c>
      <c r="I171" s="2">
        <v>26.0</v>
      </c>
      <c r="J171" s="3">
        <f t="shared" si="1"/>
        <v>5.888888889</v>
      </c>
      <c r="K171" s="2">
        <v>93.0</v>
      </c>
      <c r="L171" s="2">
        <v>170.0</v>
      </c>
      <c r="M171" s="2">
        <v>165.0</v>
      </c>
      <c r="N171" s="3">
        <f t="shared" si="2"/>
        <v>170</v>
      </c>
      <c r="O171" s="2">
        <v>98.0</v>
      </c>
      <c r="P171" s="2">
        <f t="shared" si="3"/>
        <v>13.8</v>
      </c>
      <c r="Q171" s="2">
        <v>7.0</v>
      </c>
      <c r="R171" s="2">
        <v>2.0</v>
      </c>
      <c r="S171" s="2">
        <v>7.0</v>
      </c>
      <c r="T171" s="2">
        <v>12.0</v>
      </c>
      <c r="U171" s="2">
        <v>14.5</v>
      </c>
      <c r="V171" s="2">
        <v>11.5</v>
      </c>
      <c r="W171" s="2">
        <v>19.5</v>
      </c>
      <c r="X171" s="2">
        <v>28.0</v>
      </c>
      <c r="Y171" s="2">
        <v>0.0</v>
      </c>
      <c r="Z171" s="2">
        <v>28.0</v>
      </c>
      <c r="AA171" s="2">
        <v>28.0</v>
      </c>
      <c r="AB171" s="2">
        <v>45.0</v>
      </c>
      <c r="AC171" s="2">
        <v>345.0</v>
      </c>
      <c r="AD171" s="3">
        <f t="shared" si="4"/>
        <v>9.75</v>
      </c>
    </row>
    <row r="172">
      <c r="A172" s="1" t="s">
        <v>113</v>
      </c>
      <c r="B172" s="1" t="s">
        <v>114</v>
      </c>
      <c r="C172" s="2" t="s">
        <v>115</v>
      </c>
      <c r="D172" s="2"/>
      <c r="E172" s="2">
        <v>38.0</v>
      </c>
      <c r="F172" s="2"/>
      <c r="G172" s="2">
        <v>10.0</v>
      </c>
      <c r="H172" s="2">
        <v>19.0</v>
      </c>
      <c r="I172" s="2">
        <v>30.0</v>
      </c>
      <c r="J172" s="3">
        <f t="shared" si="1"/>
        <v>10.58333333</v>
      </c>
      <c r="K172" s="2">
        <v>100.0</v>
      </c>
      <c r="L172" s="2">
        <v>200.0</v>
      </c>
      <c r="N172" s="3">
        <f t="shared" si="2"/>
        <v>200</v>
      </c>
      <c r="O172" s="2">
        <v>100.0</v>
      </c>
      <c r="P172" s="2">
        <f t="shared" si="3"/>
        <v>15</v>
      </c>
      <c r="Q172" s="2">
        <v>7.0</v>
      </c>
      <c r="R172" s="2">
        <v>7.0</v>
      </c>
      <c r="S172" s="2">
        <v>15.0</v>
      </c>
      <c r="T172" s="2">
        <v>11.0</v>
      </c>
      <c r="U172" s="2">
        <v>14.0</v>
      </c>
      <c r="V172" s="2">
        <v>15.0</v>
      </c>
      <c r="W172" s="2">
        <v>20.0</v>
      </c>
      <c r="X172" s="2">
        <v>29.0</v>
      </c>
      <c r="Y172" s="2">
        <v>25.0</v>
      </c>
      <c r="Z172" s="2">
        <v>30.0</v>
      </c>
      <c r="AA172" s="2">
        <v>30.0</v>
      </c>
      <c r="AB172" s="2">
        <v>45.0</v>
      </c>
      <c r="AC172" s="2">
        <v>350.0</v>
      </c>
      <c r="AD172" s="3">
        <f t="shared" si="4"/>
        <v>9.875</v>
      </c>
    </row>
    <row r="173">
      <c r="A173" s="1" t="s">
        <v>689</v>
      </c>
      <c r="B173" s="1" t="s">
        <v>690</v>
      </c>
      <c r="C173" s="2" t="s">
        <v>691</v>
      </c>
      <c r="D173" s="2"/>
      <c r="E173" s="2">
        <v>13.0</v>
      </c>
      <c r="F173" s="2"/>
      <c r="G173" s="2">
        <v>6.0</v>
      </c>
      <c r="H173" s="2">
        <v>13.0</v>
      </c>
      <c r="I173" s="2">
        <v>36.0</v>
      </c>
      <c r="J173" s="3">
        <f t="shared" si="1"/>
        <v>8.75</v>
      </c>
      <c r="K173" s="2">
        <v>100.0</v>
      </c>
      <c r="L173" s="2">
        <v>200.0</v>
      </c>
      <c r="N173" s="3">
        <f t="shared" si="2"/>
        <v>200</v>
      </c>
      <c r="O173" s="2">
        <v>80.0</v>
      </c>
      <c r="P173" s="2">
        <f t="shared" si="3"/>
        <v>14</v>
      </c>
      <c r="Q173" s="2">
        <v>0.0</v>
      </c>
      <c r="R173" s="2">
        <v>8.0</v>
      </c>
      <c r="S173" s="2">
        <v>15.0</v>
      </c>
      <c r="T173" s="2">
        <v>12.0</v>
      </c>
      <c r="U173" s="2">
        <v>15.0</v>
      </c>
      <c r="V173" s="2">
        <v>10.0</v>
      </c>
      <c r="W173" s="2">
        <v>20.0</v>
      </c>
      <c r="X173" s="2">
        <v>30.0</v>
      </c>
      <c r="Y173" s="2">
        <v>30.0</v>
      </c>
      <c r="Z173" s="2">
        <v>30.0</v>
      </c>
      <c r="AA173" s="2">
        <v>29.0</v>
      </c>
      <c r="AB173" s="2">
        <v>50.0</v>
      </c>
      <c r="AC173" s="2">
        <v>340.0</v>
      </c>
      <c r="AD173" s="3">
        <f t="shared" si="4"/>
        <v>9.75</v>
      </c>
    </row>
    <row r="174">
      <c r="A174" s="1" t="s">
        <v>892</v>
      </c>
      <c r="B174" s="1" t="s">
        <v>893</v>
      </c>
      <c r="C174" s="2" t="s">
        <v>894</v>
      </c>
      <c r="D174" s="2"/>
      <c r="E174" s="2">
        <v>19.0</v>
      </c>
      <c r="F174" s="2"/>
      <c r="G174" s="2">
        <v>8.0</v>
      </c>
      <c r="H174" s="2">
        <v>14.5</v>
      </c>
      <c r="I174" s="2">
        <v>12.0</v>
      </c>
      <c r="J174" s="3">
        <f t="shared" si="1"/>
        <v>6.958333333</v>
      </c>
      <c r="K174" s="2">
        <v>90.0</v>
      </c>
      <c r="L174" s="2">
        <v>196.0</v>
      </c>
      <c r="N174" s="3">
        <f t="shared" si="2"/>
        <v>196</v>
      </c>
      <c r="O174" s="2">
        <v>100.0</v>
      </c>
      <c r="P174" s="2">
        <f t="shared" si="3"/>
        <v>14.4</v>
      </c>
      <c r="Q174" s="2">
        <v>7.0</v>
      </c>
      <c r="R174" s="2">
        <v>9.0</v>
      </c>
      <c r="S174" s="2">
        <v>13.0</v>
      </c>
      <c r="T174" s="2">
        <v>14.0</v>
      </c>
      <c r="U174" s="2">
        <v>11.0</v>
      </c>
      <c r="V174" s="2">
        <v>14.5</v>
      </c>
      <c r="W174" s="2">
        <v>17.0</v>
      </c>
      <c r="X174" s="2">
        <v>29.0</v>
      </c>
      <c r="Y174" s="2">
        <v>30.0</v>
      </c>
      <c r="Z174" s="2">
        <v>28.0</v>
      </c>
      <c r="AA174" s="2">
        <v>28.0</v>
      </c>
      <c r="AB174" s="2">
        <v>35.0</v>
      </c>
      <c r="AC174" s="2">
        <v>348.0</v>
      </c>
      <c r="AD174" s="3">
        <f t="shared" si="4"/>
        <v>9.575</v>
      </c>
    </row>
    <row r="175">
      <c r="A175" s="1" t="s">
        <v>462</v>
      </c>
      <c r="B175" s="1" t="s">
        <v>463</v>
      </c>
      <c r="C175" s="2" t="s">
        <v>464</v>
      </c>
      <c r="D175" s="2"/>
      <c r="E175" s="2">
        <v>35.0</v>
      </c>
      <c r="F175" s="2"/>
      <c r="G175" s="2">
        <v>15.0</v>
      </c>
      <c r="H175" s="2">
        <v>17.0</v>
      </c>
      <c r="I175" s="2">
        <v>40.0</v>
      </c>
      <c r="J175" s="3">
        <f t="shared" si="1"/>
        <v>12.44444444</v>
      </c>
      <c r="K175" s="2">
        <v>95.0</v>
      </c>
      <c r="L175" s="2">
        <v>200.0</v>
      </c>
      <c r="N175" s="3">
        <f t="shared" si="2"/>
        <v>200</v>
      </c>
      <c r="O175" s="2">
        <v>100.0</v>
      </c>
      <c r="P175" s="2">
        <f t="shared" si="3"/>
        <v>14.75</v>
      </c>
      <c r="Q175" s="2">
        <v>7.0</v>
      </c>
      <c r="R175" s="2">
        <v>8.0</v>
      </c>
      <c r="S175" s="2">
        <v>15.0</v>
      </c>
      <c r="T175" s="2">
        <v>15.0</v>
      </c>
      <c r="U175" s="2">
        <v>15.0</v>
      </c>
      <c r="V175" s="2">
        <v>14.0</v>
      </c>
      <c r="W175" s="2">
        <v>20.0</v>
      </c>
      <c r="X175" s="2">
        <v>30.0</v>
      </c>
      <c r="Y175" s="2">
        <v>24.0</v>
      </c>
      <c r="Z175" s="2">
        <v>30.0</v>
      </c>
      <c r="AA175" s="2">
        <v>30.0</v>
      </c>
      <c r="AB175" s="2">
        <v>46.0</v>
      </c>
      <c r="AC175" s="2">
        <v>349.0</v>
      </c>
      <c r="AD175" s="3">
        <f t="shared" si="4"/>
        <v>9.875</v>
      </c>
    </row>
    <row r="176">
      <c r="A176" s="1" t="s">
        <v>20</v>
      </c>
      <c r="B176" s="1" t="s">
        <v>21</v>
      </c>
      <c r="C176" s="2" t="s">
        <v>22</v>
      </c>
      <c r="D176" s="2"/>
      <c r="E176" s="2">
        <v>35.0</v>
      </c>
      <c r="F176" s="2"/>
      <c r="G176" s="2">
        <v>16.0</v>
      </c>
      <c r="H176" s="2">
        <v>16.0</v>
      </c>
      <c r="I176" s="2">
        <v>45.0</v>
      </c>
      <c r="J176" s="3">
        <f t="shared" si="1"/>
        <v>13</v>
      </c>
      <c r="K176" s="2">
        <v>90.0</v>
      </c>
      <c r="L176" s="2">
        <v>200.0</v>
      </c>
      <c r="N176" s="3">
        <f t="shared" si="2"/>
        <v>200</v>
      </c>
      <c r="O176" s="2">
        <v>100.0</v>
      </c>
      <c r="P176" s="2">
        <f t="shared" si="3"/>
        <v>14.5</v>
      </c>
      <c r="Q176" s="2">
        <v>7.0</v>
      </c>
      <c r="R176" s="2">
        <v>6.0</v>
      </c>
      <c r="S176" s="2">
        <v>14.0</v>
      </c>
      <c r="T176" s="2">
        <v>0.0</v>
      </c>
      <c r="U176" s="2">
        <v>15.0</v>
      </c>
      <c r="V176" s="2">
        <v>15.0</v>
      </c>
      <c r="W176" s="2">
        <v>20.0</v>
      </c>
      <c r="X176" s="2">
        <v>30.0</v>
      </c>
      <c r="Y176" s="2">
        <v>30.0</v>
      </c>
      <c r="Z176" s="2">
        <v>30.0</v>
      </c>
      <c r="AA176" s="2">
        <v>30.0</v>
      </c>
      <c r="AB176" s="2">
        <v>30.0</v>
      </c>
      <c r="AC176" s="2">
        <v>335.0</v>
      </c>
      <c r="AD176" s="3">
        <f t="shared" si="4"/>
        <v>9.125</v>
      </c>
    </row>
    <row r="177">
      <c r="A177" s="1" t="s">
        <v>204</v>
      </c>
      <c r="B177" s="1" t="s">
        <v>205</v>
      </c>
      <c r="C177" s="2" t="s">
        <v>206</v>
      </c>
      <c r="D177" s="2"/>
      <c r="E177" s="2">
        <v>21.0</v>
      </c>
      <c r="F177" s="2"/>
      <c r="G177" s="2">
        <v>11.0</v>
      </c>
      <c r="H177" s="2">
        <v>12.0</v>
      </c>
      <c r="I177" s="2">
        <v>29.0</v>
      </c>
      <c r="J177" s="3">
        <f t="shared" si="1"/>
        <v>8.972222222</v>
      </c>
      <c r="K177" s="2">
        <v>96.0</v>
      </c>
      <c r="L177" s="2">
        <v>50.0</v>
      </c>
      <c r="M177" s="2">
        <v>190.0</v>
      </c>
      <c r="N177" s="3">
        <f t="shared" si="2"/>
        <v>190</v>
      </c>
      <c r="O177" s="2">
        <v>80.0</v>
      </c>
      <c r="P177" s="2">
        <f t="shared" si="3"/>
        <v>13.55</v>
      </c>
      <c r="Q177" s="2">
        <v>7.0</v>
      </c>
      <c r="R177" s="2">
        <v>5.0</v>
      </c>
      <c r="S177" s="2">
        <v>8.0</v>
      </c>
      <c r="T177" s="2">
        <v>8.0</v>
      </c>
      <c r="U177" s="2">
        <v>14.0</v>
      </c>
      <c r="V177" s="2">
        <v>12.5</v>
      </c>
      <c r="W177" s="2">
        <v>15.0</v>
      </c>
      <c r="X177" s="2">
        <v>26.0</v>
      </c>
      <c r="Y177" s="2">
        <v>26.0</v>
      </c>
      <c r="Z177" s="2">
        <v>29.0</v>
      </c>
      <c r="AA177" s="2">
        <v>27.0</v>
      </c>
      <c r="AB177" s="2">
        <v>35.0</v>
      </c>
      <c r="AC177" s="2">
        <v>250.0</v>
      </c>
      <c r="AD177" s="3">
        <f t="shared" si="4"/>
        <v>7.125</v>
      </c>
    </row>
    <row r="178">
      <c r="A178" s="1" t="s">
        <v>204</v>
      </c>
      <c r="B178" s="1" t="s">
        <v>477</v>
      </c>
      <c r="C178" s="2" t="s">
        <v>478</v>
      </c>
      <c r="D178" s="2"/>
      <c r="E178" s="2">
        <v>16.0</v>
      </c>
      <c r="F178" s="2"/>
      <c r="G178" s="2">
        <v>10.0</v>
      </c>
      <c r="H178" s="2">
        <v>9.0</v>
      </c>
      <c r="I178" s="2">
        <v>23.0</v>
      </c>
      <c r="J178" s="3">
        <f t="shared" si="1"/>
        <v>7.305555556</v>
      </c>
      <c r="K178" s="2">
        <v>90.0</v>
      </c>
      <c r="L178" s="2">
        <v>170.0</v>
      </c>
      <c r="M178" s="2">
        <v>160.0</v>
      </c>
      <c r="N178" s="3">
        <f t="shared" si="2"/>
        <v>170</v>
      </c>
      <c r="O178" s="2">
        <v>97.0</v>
      </c>
      <c r="P178" s="2">
        <f t="shared" si="3"/>
        <v>13.6</v>
      </c>
      <c r="Q178" s="2">
        <v>6.0</v>
      </c>
      <c r="R178" s="2">
        <v>0.0</v>
      </c>
      <c r="S178" s="2">
        <v>8.0</v>
      </c>
      <c r="T178" s="2">
        <v>13.5</v>
      </c>
      <c r="U178" s="2">
        <v>13.0</v>
      </c>
      <c r="V178" s="2">
        <v>12.0</v>
      </c>
      <c r="W178" s="2">
        <v>18.5</v>
      </c>
      <c r="X178" s="2">
        <v>27.0</v>
      </c>
      <c r="Y178" s="2">
        <v>28.0</v>
      </c>
      <c r="Z178" s="2">
        <v>28.0</v>
      </c>
      <c r="AA178" s="2">
        <v>28.0</v>
      </c>
      <c r="AB178" s="2">
        <v>40.0</v>
      </c>
      <c r="AC178" s="2">
        <v>342.0</v>
      </c>
      <c r="AD178" s="3">
        <f t="shared" si="4"/>
        <v>9.55</v>
      </c>
    </row>
    <row r="179">
      <c r="A179" s="1" t="s">
        <v>1462</v>
      </c>
      <c r="B179" s="101"/>
      <c r="C179" s="2" t="s">
        <v>1462</v>
      </c>
      <c r="J179" s="3">
        <f t="shared" si="1"/>
        <v>0</v>
      </c>
      <c r="N179" s="3">
        <f t="shared" si="2"/>
        <v>0</v>
      </c>
      <c r="P179" s="2">
        <f t="shared" si="3"/>
        <v>0</v>
      </c>
      <c r="Q179" s="2">
        <v>5.0</v>
      </c>
      <c r="R179" s="2">
        <v>7.0</v>
      </c>
      <c r="X179" s="2">
        <v>25.0</v>
      </c>
      <c r="Y179" s="2">
        <v>23.0</v>
      </c>
      <c r="AD179" s="3">
        <f t="shared" si="4"/>
        <v>0</v>
      </c>
    </row>
    <row r="180">
      <c r="A180" s="1" t="s">
        <v>521</v>
      </c>
      <c r="B180" s="1" t="s">
        <v>522</v>
      </c>
      <c r="C180" s="2" t="s">
        <v>523</v>
      </c>
      <c r="D180" s="2"/>
      <c r="E180" s="2">
        <v>34.0</v>
      </c>
      <c r="F180" s="2"/>
      <c r="G180" s="2">
        <v>12.0</v>
      </c>
      <c r="H180" s="2">
        <v>19.0</v>
      </c>
      <c r="I180" s="2">
        <v>38.0</v>
      </c>
      <c r="J180" s="3">
        <f t="shared" si="1"/>
        <v>11.97222222</v>
      </c>
      <c r="K180" s="2">
        <v>92.0</v>
      </c>
      <c r="L180" s="2">
        <v>200.0</v>
      </c>
      <c r="N180" s="3">
        <f t="shared" si="2"/>
        <v>200</v>
      </c>
      <c r="O180" s="2">
        <v>100.0</v>
      </c>
      <c r="P180" s="2">
        <f t="shared" si="3"/>
        <v>14.6</v>
      </c>
      <c r="Q180" s="2">
        <v>7.0</v>
      </c>
      <c r="R180" s="2">
        <v>9.0</v>
      </c>
      <c r="S180" s="2">
        <v>12.0</v>
      </c>
      <c r="T180" s="2">
        <v>12.0</v>
      </c>
      <c r="U180" s="2">
        <v>15.0</v>
      </c>
      <c r="V180" s="2">
        <v>14.5</v>
      </c>
      <c r="W180" s="2">
        <v>20.0</v>
      </c>
      <c r="X180" s="2">
        <v>30.0</v>
      </c>
      <c r="Y180" s="2">
        <v>27.0</v>
      </c>
      <c r="Z180" s="2">
        <v>30.0</v>
      </c>
      <c r="AA180" s="2">
        <v>30.0</v>
      </c>
      <c r="AB180" s="2">
        <v>50.0</v>
      </c>
      <c r="AC180" s="2">
        <v>345.0</v>
      </c>
      <c r="AD180" s="3">
        <f t="shared" si="4"/>
        <v>9.875</v>
      </c>
    </row>
    <row r="181">
      <c r="A181" s="1" t="s">
        <v>207</v>
      </c>
      <c r="B181" s="1" t="s">
        <v>208</v>
      </c>
      <c r="C181" s="2" t="s">
        <v>209</v>
      </c>
      <c r="D181" s="2"/>
      <c r="E181" s="2">
        <v>36.0</v>
      </c>
      <c r="F181" s="2"/>
      <c r="G181" s="2">
        <v>16.0</v>
      </c>
      <c r="H181" s="2">
        <v>18.0</v>
      </c>
      <c r="I181" s="2">
        <v>28.0</v>
      </c>
      <c r="J181" s="3">
        <f t="shared" si="1"/>
        <v>11.61111111</v>
      </c>
      <c r="K181" s="2">
        <v>100.0</v>
      </c>
      <c r="L181" s="2">
        <v>197.0</v>
      </c>
      <c r="N181" s="3">
        <f t="shared" si="2"/>
        <v>197</v>
      </c>
      <c r="O181" s="2">
        <v>100.0</v>
      </c>
      <c r="P181" s="2">
        <f t="shared" si="3"/>
        <v>14.925</v>
      </c>
      <c r="Q181" s="2">
        <v>4.0</v>
      </c>
      <c r="R181" s="2">
        <v>8.0</v>
      </c>
      <c r="S181" s="2">
        <v>8.0</v>
      </c>
      <c r="T181" s="2">
        <v>12.0</v>
      </c>
      <c r="U181" s="2">
        <v>12.0</v>
      </c>
      <c r="V181" s="2">
        <v>10.5</v>
      </c>
      <c r="W181" s="2">
        <v>19.0</v>
      </c>
      <c r="X181" s="2">
        <v>29.0</v>
      </c>
      <c r="Y181" s="2">
        <v>23.0</v>
      </c>
      <c r="Z181" s="2">
        <v>30.0</v>
      </c>
      <c r="AA181" s="2">
        <v>29.0</v>
      </c>
      <c r="AB181" s="2">
        <v>40.0</v>
      </c>
      <c r="AC181" s="2">
        <v>320.0</v>
      </c>
      <c r="AD181" s="3">
        <f t="shared" si="4"/>
        <v>9</v>
      </c>
    </row>
    <row r="182">
      <c r="A182" s="1" t="s">
        <v>414</v>
      </c>
      <c r="B182" s="1" t="s">
        <v>415</v>
      </c>
      <c r="C182" s="2" t="s">
        <v>416</v>
      </c>
      <c r="D182" s="2"/>
      <c r="E182" s="2">
        <v>18.0</v>
      </c>
      <c r="F182" s="2"/>
      <c r="G182" s="2">
        <v>8.0</v>
      </c>
      <c r="H182" s="2">
        <v>15.0</v>
      </c>
      <c r="I182" s="2">
        <v>34.0</v>
      </c>
      <c r="J182" s="3">
        <f t="shared" si="1"/>
        <v>9.527777778</v>
      </c>
      <c r="K182" s="2">
        <v>90.0</v>
      </c>
      <c r="L182" s="2">
        <v>200.0</v>
      </c>
      <c r="M182" s="2">
        <v>165.0</v>
      </c>
      <c r="N182" s="3">
        <f t="shared" si="2"/>
        <v>200</v>
      </c>
      <c r="O182" s="2">
        <v>100.0</v>
      </c>
      <c r="P182" s="2">
        <f t="shared" si="3"/>
        <v>14.5</v>
      </c>
      <c r="Q182" s="2">
        <v>5.0</v>
      </c>
      <c r="R182" s="2">
        <v>4.0</v>
      </c>
      <c r="S182" s="2">
        <v>15.0</v>
      </c>
      <c r="T182" s="2">
        <v>14.0</v>
      </c>
      <c r="U182" s="2">
        <v>15.0</v>
      </c>
      <c r="V182" s="2">
        <v>10.0</v>
      </c>
      <c r="W182" s="2">
        <v>16.0</v>
      </c>
      <c r="X182" s="2">
        <v>27.0</v>
      </c>
      <c r="Y182" s="2">
        <v>27.0</v>
      </c>
      <c r="Z182" s="2">
        <v>30.0</v>
      </c>
      <c r="AA182" s="2">
        <v>30.0</v>
      </c>
      <c r="AB182" s="2">
        <v>46.0</v>
      </c>
      <c r="AC182" s="2">
        <v>348.0</v>
      </c>
      <c r="AD182" s="3">
        <f t="shared" si="4"/>
        <v>9.85</v>
      </c>
    </row>
    <row r="183">
      <c r="A183" s="1" t="s">
        <v>647</v>
      </c>
      <c r="B183" s="1" t="s">
        <v>648</v>
      </c>
      <c r="C183" s="2" t="s">
        <v>649</v>
      </c>
      <c r="D183" s="2"/>
      <c r="E183" s="2">
        <v>26.0</v>
      </c>
      <c r="F183" s="2"/>
      <c r="G183" s="2">
        <v>7.0</v>
      </c>
      <c r="H183" s="2">
        <v>13.0</v>
      </c>
      <c r="I183" s="2">
        <v>28.0</v>
      </c>
      <c r="J183" s="3">
        <f t="shared" si="1"/>
        <v>8.111111111</v>
      </c>
      <c r="K183" s="2">
        <v>100.0</v>
      </c>
      <c r="L183" s="2">
        <v>190.0</v>
      </c>
      <c r="N183" s="3">
        <f t="shared" si="2"/>
        <v>190</v>
      </c>
      <c r="O183" s="2">
        <v>100.0</v>
      </c>
      <c r="P183" s="2">
        <f t="shared" si="3"/>
        <v>14.75</v>
      </c>
      <c r="Q183" s="2">
        <v>7.0</v>
      </c>
      <c r="R183" s="2">
        <v>2.0</v>
      </c>
      <c r="S183" s="2">
        <v>9.0</v>
      </c>
      <c r="T183" s="2">
        <v>10.0</v>
      </c>
      <c r="U183" s="2">
        <v>11.0</v>
      </c>
      <c r="V183" s="2">
        <v>11.0</v>
      </c>
      <c r="W183" s="2">
        <v>18.0</v>
      </c>
      <c r="X183" s="2">
        <v>21.0</v>
      </c>
      <c r="Y183" s="2">
        <v>24.0</v>
      </c>
      <c r="Z183" s="2">
        <v>29.0</v>
      </c>
      <c r="AA183" s="2">
        <v>29.0</v>
      </c>
      <c r="AB183" s="2">
        <v>50.0</v>
      </c>
      <c r="AC183" s="2">
        <v>320.0</v>
      </c>
      <c r="AD183" s="3">
        <f t="shared" si="4"/>
        <v>9.25</v>
      </c>
    </row>
    <row r="184">
      <c r="A184" s="1" t="s">
        <v>674</v>
      </c>
      <c r="B184" s="1" t="s">
        <v>675</v>
      </c>
      <c r="C184" s="2" t="s">
        <v>676</v>
      </c>
      <c r="D184" s="2"/>
      <c r="E184" s="2">
        <v>22.0</v>
      </c>
      <c r="F184" s="2"/>
      <c r="G184" s="2">
        <v>6.5</v>
      </c>
      <c r="H184" s="2">
        <v>15.0</v>
      </c>
      <c r="I184" s="2">
        <v>20.0</v>
      </c>
      <c r="J184" s="3">
        <f t="shared" si="1"/>
        <v>7.597222222</v>
      </c>
      <c r="K184" s="2">
        <v>85.0</v>
      </c>
      <c r="L184" s="2">
        <v>170.0</v>
      </c>
      <c r="M184" s="2">
        <v>190.0</v>
      </c>
      <c r="N184" s="3">
        <f t="shared" si="2"/>
        <v>190</v>
      </c>
      <c r="O184" s="2">
        <v>90.0</v>
      </c>
      <c r="P184" s="2">
        <f t="shared" si="3"/>
        <v>13.5</v>
      </c>
      <c r="Q184" s="2">
        <v>7.0</v>
      </c>
      <c r="R184" s="2">
        <v>5.0</v>
      </c>
      <c r="S184" s="2">
        <v>9.0</v>
      </c>
      <c r="T184" s="2">
        <v>0.0</v>
      </c>
      <c r="U184" s="2">
        <v>14.0</v>
      </c>
      <c r="V184" s="2">
        <v>15.0</v>
      </c>
      <c r="W184" s="2">
        <v>19.0</v>
      </c>
      <c r="X184" s="2">
        <v>22.0</v>
      </c>
      <c r="Y184" s="2">
        <v>24.0</v>
      </c>
      <c r="Z184" s="2">
        <v>28.0</v>
      </c>
      <c r="AA184" s="2">
        <v>28.0</v>
      </c>
      <c r="AB184" s="2">
        <v>40.0</v>
      </c>
      <c r="AC184" s="2">
        <v>320.0</v>
      </c>
      <c r="AD184" s="3">
        <f t="shared" si="4"/>
        <v>9</v>
      </c>
    </row>
    <row r="185">
      <c r="A185" s="1" t="s">
        <v>14</v>
      </c>
      <c r="B185" s="1" t="s">
        <v>15</v>
      </c>
      <c r="C185" s="2" t="s">
        <v>16</v>
      </c>
      <c r="D185" s="2"/>
      <c r="E185" s="2">
        <v>32.0</v>
      </c>
      <c r="F185" s="2"/>
      <c r="G185" s="2">
        <v>13.0</v>
      </c>
      <c r="H185" s="2">
        <v>13.0</v>
      </c>
      <c r="I185" s="2">
        <v>43.0</v>
      </c>
      <c r="J185" s="3">
        <f t="shared" si="1"/>
        <v>11.27777778</v>
      </c>
      <c r="K185" s="2">
        <v>100.0</v>
      </c>
      <c r="L185" s="2">
        <v>200.0</v>
      </c>
      <c r="N185" s="3">
        <f t="shared" si="2"/>
        <v>200</v>
      </c>
      <c r="O185" s="2">
        <v>98.0</v>
      </c>
      <c r="P185" s="2">
        <f t="shared" si="3"/>
        <v>14.9</v>
      </c>
      <c r="Q185" s="2">
        <v>7.0</v>
      </c>
      <c r="R185" s="2">
        <v>8.0</v>
      </c>
      <c r="S185" s="2">
        <v>15.0</v>
      </c>
      <c r="T185" s="2">
        <v>15.0</v>
      </c>
      <c r="U185" s="2">
        <v>14.0</v>
      </c>
      <c r="V185" s="2">
        <v>15.0</v>
      </c>
      <c r="W185" s="2">
        <v>20.0</v>
      </c>
      <c r="X185" s="2">
        <v>30.0</v>
      </c>
      <c r="Y185" s="2">
        <v>30.0</v>
      </c>
      <c r="Z185" s="2">
        <v>3.0</v>
      </c>
      <c r="AB185" s="2">
        <v>40.0</v>
      </c>
      <c r="AC185" s="2">
        <v>335.0</v>
      </c>
      <c r="AD185" s="3">
        <f t="shared" si="4"/>
        <v>9.375</v>
      </c>
    </row>
    <row r="186">
      <c r="A186" s="1" t="s">
        <v>30</v>
      </c>
      <c r="B186" s="1" t="s">
        <v>31</v>
      </c>
      <c r="C186" s="2" t="s">
        <v>33</v>
      </c>
      <c r="D186" s="2"/>
      <c r="E186" s="2">
        <v>18.0</v>
      </c>
      <c r="F186" s="2"/>
      <c r="G186" s="2">
        <v>15.0</v>
      </c>
      <c r="H186" s="2">
        <v>15.0</v>
      </c>
      <c r="I186" s="2">
        <v>35.0</v>
      </c>
      <c r="J186" s="3">
        <f t="shared" si="1"/>
        <v>11.38888889</v>
      </c>
      <c r="K186" s="2">
        <v>85.0</v>
      </c>
      <c r="L186" s="2">
        <v>180.0</v>
      </c>
      <c r="N186" s="3">
        <f t="shared" si="2"/>
        <v>180</v>
      </c>
      <c r="P186" s="2">
        <f t="shared" si="3"/>
        <v>8.75</v>
      </c>
      <c r="Q186" s="2">
        <v>5.0</v>
      </c>
      <c r="R186" s="2">
        <v>5.0</v>
      </c>
      <c r="S186" s="2">
        <v>14.0</v>
      </c>
      <c r="T186" s="2">
        <v>10.0</v>
      </c>
      <c r="U186" s="2">
        <v>15.0</v>
      </c>
      <c r="V186" s="2">
        <v>12.0</v>
      </c>
      <c r="W186" s="2">
        <v>20.0</v>
      </c>
      <c r="X186" s="2">
        <v>30.0</v>
      </c>
      <c r="Y186" s="2">
        <v>24.0</v>
      </c>
      <c r="Z186" s="2">
        <v>29.0</v>
      </c>
      <c r="AA186" s="2">
        <v>29.0</v>
      </c>
      <c r="AB186" s="2">
        <v>40.0</v>
      </c>
      <c r="AC186" s="2">
        <v>340.0</v>
      </c>
      <c r="AD186" s="3">
        <f t="shared" si="4"/>
        <v>9.5</v>
      </c>
    </row>
    <row r="187">
      <c r="A187" s="1" t="s">
        <v>91</v>
      </c>
      <c r="B187" s="1" t="s">
        <v>92</v>
      </c>
      <c r="C187" s="2" t="s">
        <v>93</v>
      </c>
      <c r="D187" s="2"/>
      <c r="E187" s="2">
        <v>27.0</v>
      </c>
      <c r="F187" s="2"/>
      <c r="G187" s="2">
        <v>15.0</v>
      </c>
      <c r="H187" s="2">
        <v>15.0</v>
      </c>
      <c r="I187" s="2">
        <v>35.0</v>
      </c>
      <c r="J187" s="3">
        <f t="shared" si="1"/>
        <v>11.38888889</v>
      </c>
      <c r="K187" s="2">
        <v>100.0</v>
      </c>
      <c r="L187" s="2">
        <v>195.0</v>
      </c>
      <c r="N187" s="3">
        <f t="shared" si="2"/>
        <v>195</v>
      </c>
      <c r="O187" s="2">
        <v>98.0</v>
      </c>
      <c r="P187" s="2">
        <f t="shared" si="3"/>
        <v>14.775</v>
      </c>
      <c r="Q187" s="2">
        <v>6.0</v>
      </c>
      <c r="R187" s="2">
        <v>6.0</v>
      </c>
      <c r="S187" s="2">
        <v>11.5</v>
      </c>
      <c r="T187" s="2">
        <v>8.0</v>
      </c>
      <c r="U187" s="2">
        <v>15.0</v>
      </c>
      <c r="V187" s="2">
        <v>14.0</v>
      </c>
      <c r="W187" s="2">
        <v>20.0</v>
      </c>
      <c r="X187" s="2">
        <v>29.0</v>
      </c>
      <c r="Y187" s="2">
        <v>30.0</v>
      </c>
      <c r="Z187" s="2">
        <v>30.0</v>
      </c>
      <c r="AA187" s="2">
        <v>30.0</v>
      </c>
      <c r="AB187" s="2">
        <v>50.0</v>
      </c>
      <c r="AC187" s="2">
        <v>330.0</v>
      </c>
      <c r="AD187" s="3">
        <f t="shared" si="4"/>
        <v>9.5</v>
      </c>
    </row>
    <row r="188">
      <c r="A188" s="1" t="s">
        <v>94</v>
      </c>
      <c r="B188" s="1" t="s">
        <v>95</v>
      </c>
      <c r="C188" s="2" t="s">
        <v>97</v>
      </c>
      <c r="D188" s="2"/>
      <c r="E188" s="2">
        <v>4.0</v>
      </c>
      <c r="F188" s="2"/>
      <c r="G188" s="2">
        <v>3.5</v>
      </c>
      <c r="H188" s="2">
        <v>8.5</v>
      </c>
      <c r="I188" s="2">
        <v>30.0</v>
      </c>
      <c r="J188" s="3">
        <f t="shared" si="1"/>
        <v>6.333333333</v>
      </c>
      <c r="K188" s="2">
        <v>85.0</v>
      </c>
      <c r="L188" s="2">
        <v>145.0</v>
      </c>
      <c r="N188" s="3">
        <f t="shared" si="2"/>
        <v>145</v>
      </c>
      <c r="O188" s="2">
        <v>100.0</v>
      </c>
      <c r="P188" s="2">
        <f t="shared" si="3"/>
        <v>12.875</v>
      </c>
      <c r="Q188" s="2">
        <v>6.0</v>
      </c>
      <c r="R188" s="2">
        <v>6.0</v>
      </c>
      <c r="S188" s="2">
        <v>7.0</v>
      </c>
      <c r="T188" s="2">
        <v>11.0</v>
      </c>
      <c r="U188" s="2">
        <v>2.0</v>
      </c>
      <c r="V188" s="2">
        <v>8.0</v>
      </c>
      <c r="W188" s="2">
        <v>20.0</v>
      </c>
      <c r="X188" s="2">
        <v>30.0</v>
      </c>
      <c r="Y188" s="2">
        <v>30.0</v>
      </c>
      <c r="Z188" s="2">
        <v>28.0</v>
      </c>
      <c r="AA188" s="2">
        <v>28.0</v>
      </c>
      <c r="AB188" s="2">
        <v>40.0</v>
      </c>
      <c r="AC188" s="2">
        <v>350.0</v>
      </c>
      <c r="AD188" s="3">
        <f t="shared" si="4"/>
        <v>9.75</v>
      </c>
    </row>
    <row r="189">
      <c r="A189" s="1" t="s">
        <v>134</v>
      </c>
      <c r="B189" s="1" t="s">
        <v>135</v>
      </c>
      <c r="C189" s="2" t="s">
        <v>136</v>
      </c>
      <c r="D189" s="2"/>
      <c r="E189" s="2">
        <v>21.0</v>
      </c>
      <c r="F189" s="2"/>
      <c r="G189" s="2">
        <v>5.0</v>
      </c>
      <c r="H189" s="2">
        <v>5.5</v>
      </c>
      <c r="I189" s="2">
        <v>18.5</v>
      </c>
      <c r="J189" s="3">
        <f t="shared" si="1"/>
        <v>4.680555556</v>
      </c>
      <c r="K189" s="2">
        <v>100.0</v>
      </c>
      <c r="L189" s="2">
        <v>200.0</v>
      </c>
      <c r="N189" s="3">
        <f t="shared" si="2"/>
        <v>200</v>
      </c>
      <c r="O189" s="2">
        <v>80.0</v>
      </c>
      <c r="P189" s="2">
        <f t="shared" si="3"/>
        <v>14</v>
      </c>
      <c r="Q189" s="2">
        <v>4.0</v>
      </c>
      <c r="R189" s="2">
        <v>2.0</v>
      </c>
      <c r="S189" s="2">
        <v>11.0</v>
      </c>
      <c r="T189" s="2">
        <v>11.0</v>
      </c>
      <c r="U189" s="2">
        <v>0.0</v>
      </c>
      <c r="V189" s="2">
        <v>11.0</v>
      </c>
      <c r="W189" s="2">
        <v>16.0</v>
      </c>
      <c r="X189" s="2">
        <v>24.0</v>
      </c>
      <c r="Z189" s="2">
        <v>28.0</v>
      </c>
      <c r="AB189" s="2">
        <v>50.0</v>
      </c>
      <c r="AC189" s="2">
        <v>350.0</v>
      </c>
      <c r="AD189" s="3">
        <f t="shared" si="4"/>
        <v>10</v>
      </c>
    </row>
    <row r="190">
      <c r="A190" s="1" t="s">
        <v>219</v>
      </c>
      <c r="B190" s="1" t="s">
        <v>220</v>
      </c>
      <c r="C190" s="2" t="s">
        <v>221</v>
      </c>
      <c r="D190" s="2"/>
      <c r="E190" s="2">
        <v>6.0</v>
      </c>
      <c r="F190" s="2"/>
      <c r="G190" s="2">
        <v>4.0</v>
      </c>
      <c r="H190" s="2">
        <v>7.5</v>
      </c>
      <c r="I190" s="2">
        <v>4.0</v>
      </c>
      <c r="J190" s="3">
        <f t="shared" si="1"/>
        <v>3.319444444</v>
      </c>
      <c r="K190" s="2">
        <v>93.0</v>
      </c>
      <c r="L190" s="2">
        <v>121.0</v>
      </c>
      <c r="N190" s="3">
        <f t="shared" si="2"/>
        <v>121</v>
      </c>
      <c r="O190" s="2">
        <v>98.0</v>
      </c>
      <c r="P190" s="2">
        <f t="shared" si="3"/>
        <v>12.575</v>
      </c>
      <c r="Q190" s="2">
        <v>6.0</v>
      </c>
      <c r="R190" s="2">
        <v>5.0</v>
      </c>
      <c r="S190" s="2">
        <v>6.0</v>
      </c>
      <c r="T190" s="2">
        <v>0.0</v>
      </c>
      <c r="U190" s="2">
        <v>14.0</v>
      </c>
      <c r="V190" s="2">
        <v>14.0</v>
      </c>
      <c r="W190" s="2">
        <v>18.0</v>
      </c>
      <c r="X190" s="2">
        <v>30.0</v>
      </c>
      <c r="Y190" s="2">
        <v>30.0</v>
      </c>
      <c r="Z190" s="2">
        <v>27.0</v>
      </c>
      <c r="AA190" s="2">
        <v>28.0</v>
      </c>
      <c r="AB190" s="2">
        <v>0.0</v>
      </c>
      <c r="AC190" s="2">
        <v>300.0</v>
      </c>
      <c r="AD190" s="3">
        <f t="shared" si="4"/>
        <v>7.5</v>
      </c>
    </row>
    <row r="191">
      <c r="A191" s="1" t="s">
        <v>294</v>
      </c>
      <c r="B191" s="1" t="s">
        <v>295</v>
      </c>
      <c r="C191" s="2" t="s">
        <v>296</v>
      </c>
      <c r="D191" s="2"/>
      <c r="E191" s="2">
        <v>17.0</v>
      </c>
      <c r="F191" s="2"/>
      <c r="G191" s="2">
        <v>3.0</v>
      </c>
      <c r="H191" s="2">
        <v>10.5</v>
      </c>
      <c r="I191" s="2">
        <v>21.0</v>
      </c>
      <c r="J191" s="3">
        <f t="shared" si="1"/>
        <v>5.708333333</v>
      </c>
      <c r="K191" s="2">
        <v>90.0</v>
      </c>
      <c r="L191" s="2">
        <v>0.0</v>
      </c>
      <c r="M191" s="2">
        <v>165.0</v>
      </c>
      <c r="N191" s="3">
        <f t="shared" si="2"/>
        <v>165</v>
      </c>
      <c r="O191" s="2">
        <v>85.0</v>
      </c>
      <c r="P191" s="2">
        <f t="shared" si="3"/>
        <v>12.875</v>
      </c>
      <c r="Q191" s="2">
        <v>7.0</v>
      </c>
      <c r="R191" s="2">
        <v>3.0</v>
      </c>
      <c r="S191" s="2">
        <v>7.0</v>
      </c>
      <c r="T191" s="2">
        <v>6.0</v>
      </c>
      <c r="U191" s="2">
        <v>14.0</v>
      </c>
      <c r="V191" s="2">
        <v>12.0</v>
      </c>
      <c r="W191" s="2">
        <v>15.0</v>
      </c>
      <c r="X191" s="2">
        <v>28.0</v>
      </c>
      <c r="Y191" s="2">
        <v>30.0</v>
      </c>
      <c r="Z191" s="2">
        <v>30.0</v>
      </c>
      <c r="AB191" s="2">
        <v>50.0</v>
      </c>
      <c r="AC191" s="2">
        <v>340.0</v>
      </c>
      <c r="AD191" s="3">
        <f t="shared" si="4"/>
        <v>9.75</v>
      </c>
    </row>
    <row r="192">
      <c r="A192" s="1" t="s">
        <v>447</v>
      </c>
      <c r="B192" s="1" t="s">
        <v>448</v>
      </c>
      <c r="C192" s="2" t="s">
        <v>449</v>
      </c>
      <c r="D192" s="2"/>
      <c r="E192" s="2">
        <v>21.0</v>
      </c>
      <c r="F192" s="2"/>
      <c r="G192" s="2">
        <v>9.0</v>
      </c>
      <c r="I192" s="2">
        <v>40.0</v>
      </c>
      <c r="J192" s="3">
        <f t="shared" si="1"/>
        <v>6.694444444</v>
      </c>
      <c r="K192" s="2">
        <v>85.0</v>
      </c>
      <c r="L192" s="2">
        <v>170.0</v>
      </c>
      <c r="N192" s="3">
        <f t="shared" si="2"/>
        <v>170</v>
      </c>
      <c r="O192" s="2">
        <v>99.0</v>
      </c>
      <c r="P192" s="2">
        <f t="shared" si="3"/>
        <v>13.45</v>
      </c>
      <c r="Q192" s="2">
        <v>5.0</v>
      </c>
      <c r="R192" s="2">
        <v>6.0</v>
      </c>
      <c r="S192" s="2">
        <v>9.0</v>
      </c>
      <c r="T192" s="2">
        <v>10.0</v>
      </c>
      <c r="U192" s="2">
        <v>9.0</v>
      </c>
      <c r="V192" s="2">
        <v>9.0</v>
      </c>
      <c r="W192" s="2">
        <v>0.0</v>
      </c>
      <c r="X192" s="2">
        <v>0.0</v>
      </c>
      <c r="AB192" s="2">
        <v>49.0</v>
      </c>
      <c r="AC192" s="2">
        <v>342.0</v>
      </c>
      <c r="AD192" s="3">
        <f t="shared" si="4"/>
        <v>9.775</v>
      </c>
    </row>
    <row r="193">
      <c r="A193" s="1" t="s">
        <v>500</v>
      </c>
      <c r="B193" s="1" t="s">
        <v>501</v>
      </c>
      <c r="C193" s="2" t="s">
        <v>502</v>
      </c>
      <c r="D193" s="2"/>
      <c r="E193" s="2">
        <v>19.0</v>
      </c>
      <c r="F193" s="2"/>
      <c r="G193" s="2">
        <v>2.0</v>
      </c>
      <c r="H193" s="2">
        <v>0.0</v>
      </c>
      <c r="I193" s="2">
        <v>16.0</v>
      </c>
      <c r="J193" s="3">
        <f t="shared" si="1"/>
        <v>2.277777778</v>
      </c>
      <c r="K193" s="2">
        <v>93.0</v>
      </c>
      <c r="L193" s="2">
        <v>180.0</v>
      </c>
      <c r="N193" s="3">
        <f t="shared" si="2"/>
        <v>180</v>
      </c>
      <c r="O193" s="2">
        <v>96.0</v>
      </c>
      <c r="P193" s="2">
        <f t="shared" si="3"/>
        <v>13.95</v>
      </c>
      <c r="Q193" s="2">
        <v>6.0</v>
      </c>
      <c r="R193" s="2">
        <v>4.0</v>
      </c>
      <c r="S193" s="2">
        <v>0.0</v>
      </c>
      <c r="T193" s="2">
        <v>9.0</v>
      </c>
      <c r="U193" s="2">
        <v>13.0</v>
      </c>
      <c r="V193" s="2">
        <v>10.0</v>
      </c>
      <c r="W193" s="2">
        <v>18.0</v>
      </c>
      <c r="X193" s="2">
        <v>26.0</v>
      </c>
      <c r="Y193" s="2">
        <v>29.0</v>
      </c>
      <c r="Z193" s="2">
        <v>28.0</v>
      </c>
      <c r="AA193" s="2">
        <v>28.0</v>
      </c>
      <c r="AB193" s="2">
        <v>45.0</v>
      </c>
      <c r="AC193" s="2">
        <v>341.0</v>
      </c>
      <c r="AD193" s="3">
        <f t="shared" si="4"/>
        <v>9.65</v>
      </c>
    </row>
    <row r="194">
      <c r="A194" s="1" t="s">
        <v>602</v>
      </c>
      <c r="B194" s="1" t="s">
        <v>603</v>
      </c>
      <c r="C194" s="2" t="s">
        <v>604</v>
      </c>
      <c r="D194" s="2"/>
      <c r="E194" s="2">
        <v>21.0</v>
      </c>
      <c r="F194" s="2"/>
      <c r="G194" s="2">
        <v>6.0</v>
      </c>
      <c r="H194" s="2">
        <v>10.0</v>
      </c>
      <c r="I194" s="2">
        <v>32.0</v>
      </c>
      <c r="J194" s="3">
        <f t="shared" si="1"/>
        <v>7.555555556</v>
      </c>
      <c r="K194" s="2">
        <v>100.0</v>
      </c>
      <c r="L194" s="2">
        <v>180.0</v>
      </c>
      <c r="N194" s="3">
        <f t="shared" si="2"/>
        <v>180</v>
      </c>
      <c r="O194" s="2">
        <v>80.0</v>
      </c>
      <c r="P194" s="2">
        <f t="shared" si="3"/>
        <v>13.5</v>
      </c>
      <c r="Q194" s="2">
        <v>5.0</v>
      </c>
      <c r="R194" s="2">
        <v>8.0</v>
      </c>
      <c r="S194" s="2">
        <v>9.0</v>
      </c>
      <c r="T194" s="2">
        <v>8.0</v>
      </c>
      <c r="U194" s="2">
        <v>12.0</v>
      </c>
      <c r="V194" s="2">
        <v>15.0</v>
      </c>
      <c r="W194" s="2">
        <v>20.0</v>
      </c>
      <c r="X194" s="2">
        <v>30.0</v>
      </c>
      <c r="Y194" s="2">
        <v>30.0</v>
      </c>
      <c r="Z194" s="2">
        <v>28.0</v>
      </c>
      <c r="AA194" s="2">
        <v>29.0</v>
      </c>
      <c r="AB194" s="2">
        <v>10.0</v>
      </c>
      <c r="AC194" s="2">
        <v>310.0</v>
      </c>
      <c r="AD194" s="3">
        <f t="shared" si="4"/>
        <v>8</v>
      </c>
    </row>
    <row r="195">
      <c r="A195" s="1" t="s">
        <v>617</v>
      </c>
      <c r="B195" s="1" t="s">
        <v>618</v>
      </c>
      <c r="C195" s="2" t="s">
        <v>619</v>
      </c>
      <c r="D195" s="2"/>
      <c r="E195" s="2">
        <v>28.0</v>
      </c>
      <c r="F195" s="2"/>
      <c r="G195" s="2">
        <v>15.0</v>
      </c>
      <c r="H195" s="2">
        <v>9.0</v>
      </c>
      <c r="I195" s="2">
        <v>0.0</v>
      </c>
      <c r="J195" s="3">
        <f t="shared" si="1"/>
        <v>6</v>
      </c>
      <c r="K195" s="2">
        <v>90.0</v>
      </c>
      <c r="L195" s="2">
        <v>185.0</v>
      </c>
      <c r="N195" s="3">
        <f t="shared" si="2"/>
        <v>185</v>
      </c>
      <c r="O195" s="2">
        <v>100.0</v>
      </c>
      <c r="P195" s="2">
        <f t="shared" si="3"/>
        <v>14.125</v>
      </c>
      <c r="Q195" s="2">
        <v>7.0</v>
      </c>
      <c r="R195" s="2">
        <v>10.0</v>
      </c>
      <c r="S195" s="2">
        <v>12.0</v>
      </c>
      <c r="T195" s="2">
        <v>12.0</v>
      </c>
      <c r="U195" s="2">
        <v>14.0</v>
      </c>
      <c r="V195" s="2">
        <v>14.0</v>
      </c>
      <c r="W195" s="2">
        <v>20.0</v>
      </c>
      <c r="X195" s="2">
        <v>29.0</v>
      </c>
      <c r="Y195" s="2">
        <v>28.0</v>
      </c>
      <c r="Z195" s="2">
        <v>29.0</v>
      </c>
      <c r="AB195" s="2">
        <v>30.0</v>
      </c>
      <c r="AC195" s="2">
        <v>0.0</v>
      </c>
      <c r="AD195" s="3">
        <f t="shared" si="4"/>
        <v>0.75</v>
      </c>
    </row>
    <row r="196">
      <c r="A196" s="1" t="s">
        <v>656</v>
      </c>
      <c r="B196" s="1" t="s">
        <v>657</v>
      </c>
      <c r="C196" s="2" t="s">
        <v>658</v>
      </c>
      <c r="D196" s="2"/>
      <c r="E196" s="2">
        <v>37.0</v>
      </c>
      <c r="F196" s="2"/>
      <c r="G196" s="2">
        <v>9.0</v>
      </c>
      <c r="H196" s="2">
        <v>19.0</v>
      </c>
      <c r="I196" s="2">
        <v>41.0</v>
      </c>
      <c r="J196" s="3">
        <f t="shared" si="1"/>
        <v>11.55555556</v>
      </c>
      <c r="K196" s="2">
        <v>90.0</v>
      </c>
      <c r="L196" s="2">
        <v>175.0</v>
      </c>
      <c r="N196" s="3">
        <f t="shared" si="2"/>
        <v>175</v>
      </c>
      <c r="O196" s="2">
        <v>98.0</v>
      </c>
      <c r="P196" s="2">
        <f t="shared" si="3"/>
        <v>13.775</v>
      </c>
      <c r="Q196" s="2">
        <v>7.0</v>
      </c>
      <c r="R196" s="2">
        <v>8.0</v>
      </c>
      <c r="S196" s="2">
        <v>12.0</v>
      </c>
      <c r="T196" s="2">
        <v>12.0</v>
      </c>
      <c r="U196" s="2">
        <v>14.0</v>
      </c>
      <c r="V196" s="2">
        <v>14.0</v>
      </c>
      <c r="W196" s="2">
        <v>19.0</v>
      </c>
      <c r="X196" s="2">
        <v>28.0</v>
      </c>
      <c r="Y196" s="2">
        <v>26.0</v>
      </c>
      <c r="Z196" s="2">
        <v>29.0</v>
      </c>
      <c r="AA196" s="2">
        <v>30.0</v>
      </c>
      <c r="AB196" s="2">
        <v>50.0</v>
      </c>
      <c r="AC196" s="2">
        <v>340.0</v>
      </c>
      <c r="AD196" s="3">
        <f t="shared" si="4"/>
        <v>9.75</v>
      </c>
    </row>
    <row r="197">
      <c r="A197" s="1" t="s">
        <v>740</v>
      </c>
      <c r="B197" s="1" t="s">
        <v>741</v>
      </c>
      <c r="C197" s="2" t="s">
        <v>742</v>
      </c>
      <c r="D197" s="2"/>
      <c r="E197" s="2">
        <v>6.0</v>
      </c>
      <c r="F197" s="2"/>
      <c r="G197" s="2">
        <v>3.0</v>
      </c>
      <c r="H197" s="2">
        <v>1.0</v>
      </c>
      <c r="I197" s="2">
        <v>40.0</v>
      </c>
      <c r="J197" s="3">
        <f t="shared" si="1"/>
        <v>5.444444444</v>
      </c>
      <c r="K197" s="2">
        <v>100.0</v>
      </c>
      <c r="L197" s="2">
        <v>100.0</v>
      </c>
      <c r="N197" s="3">
        <f t="shared" si="2"/>
        <v>100</v>
      </c>
      <c r="O197" s="2">
        <v>100.0</v>
      </c>
      <c r="P197" s="2">
        <f t="shared" si="3"/>
        <v>12.5</v>
      </c>
      <c r="Q197" s="2">
        <v>6.0</v>
      </c>
      <c r="R197" s="2">
        <v>4.0</v>
      </c>
      <c r="S197" s="2">
        <v>10.0</v>
      </c>
      <c r="T197" s="2">
        <v>10.0</v>
      </c>
      <c r="U197" s="2">
        <v>15.0</v>
      </c>
      <c r="V197" s="2">
        <v>15.0</v>
      </c>
      <c r="W197" s="2">
        <v>20.0</v>
      </c>
      <c r="X197" s="2">
        <v>30.0</v>
      </c>
      <c r="Y197" s="2">
        <v>30.0</v>
      </c>
      <c r="AA197" s="2">
        <v>28.0</v>
      </c>
      <c r="AB197" s="2">
        <v>40.0</v>
      </c>
      <c r="AC197" s="2">
        <v>330.0</v>
      </c>
      <c r="AD197" s="3">
        <f t="shared" si="4"/>
        <v>9.25</v>
      </c>
    </row>
    <row r="198">
      <c r="A198" s="1" t="s">
        <v>746</v>
      </c>
      <c r="B198" s="1" t="s">
        <v>747</v>
      </c>
      <c r="C198" s="2" t="s">
        <v>748</v>
      </c>
      <c r="D198" s="2"/>
      <c r="E198" s="2">
        <v>34.0</v>
      </c>
      <c r="F198" s="2"/>
      <c r="G198" s="2">
        <v>9.0</v>
      </c>
      <c r="H198" s="2">
        <v>7.5</v>
      </c>
      <c r="I198" s="2">
        <v>14.0</v>
      </c>
      <c r="J198" s="3">
        <f t="shared" si="1"/>
        <v>5.680555556</v>
      </c>
      <c r="K198" s="2">
        <v>90.0</v>
      </c>
      <c r="L198" s="2">
        <v>175.0</v>
      </c>
      <c r="N198" s="3">
        <f t="shared" si="2"/>
        <v>175</v>
      </c>
      <c r="P198" s="2">
        <f t="shared" si="3"/>
        <v>8.875</v>
      </c>
      <c r="Q198" s="2">
        <v>7.0</v>
      </c>
      <c r="R198" s="2">
        <v>7.0</v>
      </c>
      <c r="S198" s="2">
        <v>12.0</v>
      </c>
      <c r="T198" s="2">
        <v>10.0</v>
      </c>
      <c r="U198" s="2">
        <v>14.0</v>
      </c>
      <c r="V198" s="2">
        <v>13.5</v>
      </c>
      <c r="W198" s="2">
        <v>19.5</v>
      </c>
      <c r="X198" s="2">
        <v>27.58</v>
      </c>
      <c r="Y198" s="2">
        <v>27.11</v>
      </c>
      <c r="Z198" s="2">
        <v>29.0</v>
      </c>
      <c r="AA198" s="2">
        <v>28.0</v>
      </c>
      <c r="AB198" s="2">
        <v>43.0</v>
      </c>
      <c r="AC198" s="2">
        <v>345.0</v>
      </c>
      <c r="AD198" s="3">
        <f t="shared" si="4"/>
        <v>9.7</v>
      </c>
    </row>
    <row r="199">
      <c r="A199" s="1" t="s">
        <v>784</v>
      </c>
      <c r="B199" s="1" t="s">
        <v>785</v>
      </c>
      <c r="C199" s="2" t="s">
        <v>786</v>
      </c>
      <c r="D199" s="2"/>
      <c r="E199" s="2">
        <v>31.0</v>
      </c>
      <c r="F199" s="2"/>
      <c r="G199" s="2">
        <v>12.0</v>
      </c>
      <c r="H199" s="2">
        <v>17.5</v>
      </c>
      <c r="I199" s="2">
        <v>35.0</v>
      </c>
      <c r="J199" s="3">
        <f t="shared" si="1"/>
        <v>11.26388889</v>
      </c>
      <c r="K199" s="2">
        <v>97.0</v>
      </c>
      <c r="L199" s="2">
        <v>197.0</v>
      </c>
      <c r="N199" s="3">
        <f t="shared" si="2"/>
        <v>197</v>
      </c>
      <c r="O199" s="2">
        <v>91.0</v>
      </c>
      <c r="P199" s="2">
        <f t="shared" si="3"/>
        <v>14.325</v>
      </c>
      <c r="Q199" s="2">
        <v>7.0</v>
      </c>
      <c r="R199" s="2">
        <v>7.0</v>
      </c>
      <c r="S199" s="2">
        <v>14.0</v>
      </c>
      <c r="T199" s="2">
        <v>10.0</v>
      </c>
      <c r="U199" s="2">
        <v>15.0</v>
      </c>
      <c r="V199" s="2">
        <v>13.5</v>
      </c>
      <c r="W199" s="2">
        <v>20.0</v>
      </c>
      <c r="X199" s="2">
        <v>25.0</v>
      </c>
      <c r="Y199" s="2">
        <v>30.0</v>
      </c>
      <c r="Z199" s="2">
        <v>30.0</v>
      </c>
      <c r="AA199" s="2">
        <v>30.0</v>
      </c>
      <c r="AB199" s="2">
        <v>48.0</v>
      </c>
      <c r="AC199" s="2">
        <v>345.0</v>
      </c>
      <c r="AD199" s="3">
        <f t="shared" si="4"/>
        <v>9.825</v>
      </c>
    </row>
    <row r="200">
      <c r="A200" s="1" t="s">
        <v>790</v>
      </c>
      <c r="B200" s="1" t="s">
        <v>791</v>
      </c>
      <c r="C200" s="2" t="s">
        <v>792</v>
      </c>
      <c r="D200" s="2"/>
      <c r="E200" s="2">
        <v>36.0</v>
      </c>
      <c r="F200" s="2"/>
      <c r="G200" s="2">
        <v>14.0</v>
      </c>
      <c r="H200" s="2">
        <v>16.0</v>
      </c>
      <c r="I200" s="2">
        <v>32.0</v>
      </c>
      <c r="J200" s="3">
        <f t="shared" si="1"/>
        <v>11.05555556</v>
      </c>
      <c r="K200" s="2">
        <v>95.0</v>
      </c>
      <c r="L200" s="2">
        <v>200.0</v>
      </c>
      <c r="N200" s="3">
        <f t="shared" si="2"/>
        <v>200</v>
      </c>
      <c r="O200" s="2">
        <v>94.0</v>
      </c>
      <c r="P200" s="2">
        <f t="shared" si="3"/>
        <v>14.45</v>
      </c>
      <c r="Q200" s="2">
        <v>7.0</v>
      </c>
      <c r="R200" s="2">
        <v>9.0</v>
      </c>
      <c r="S200" s="2">
        <v>15.0</v>
      </c>
      <c r="T200" s="2">
        <v>15.0</v>
      </c>
      <c r="U200" s="2">
        <v>15.0</v>
      </c>
      <c r="V200" s="2">
        <v>14.5</v>
      </c>
      <c r="W200" s="2">
        <v>20.0</v>
      </c>
      <c r="X200" s="2">
        <v>29.36</v>
      </c>
      <c r="Y200" s="2">
        <v>29.74</v>
      </c>
      <c r="Z200" s="2">
        <v>30.0</v>
      </c>
      <c r="AA200" s="2">
        <v>30.0</v>
      </c>
      <c r="AB200" s="2">
        <v>43.0</v>
      </c>
      <c r="AC200" s="2">
        <v>345.0</v>
      </c>
      <c r="AD200" s="3">
        <f t="shared" si="4"/>
        <v>9.7</v>
      </c>
    </row>
    <row r="201">
      <c r="A201" s="1" t="s">
        <v>814</v>
      </c>
      <c r="B201" s="1" t="s">
        <v>815</v>
      </c>
      <c r="C201" s="2" t="s">
        <v>816</v>
      </c>
      <c r="D201" s="2"/>
      <c r="E201" s="2">
        <v>4.0</v>
      </c>
      <c r="F201" s="2"/>
      <c r="G201" s="2">
        <v>7.0</v>
      </c>
      <c r="H201" s="2">
        <v>13.0</v>
      </c>
      <c r="I201" s="2">
        <v>38.0</v>
      </c>
      <c r="J201" s="3">
        <f t="shared" si="1"/>
        <v>9.222222222</v>
      </c>
      <c r="K201" s="2">
        <v>87.0</v>
      </c>
      <c r="L201" s="2">
        <v>191.0</v>
      </c>
      <c r="N201" s="3">
        <f t="shared" si="2"/>
        <v>191</v>
      </c>
      <c r="O201" s="2">
        <v>99.0</v>
      </c>
      <c r="P201" s="2">
        <f t="shared" si="3"/>
        <v>14.075</v>
      </c>
      <c r="Q201" s="2">
        <v>7.0</v>
      </c>
      <c r="R201" s="2">
        <v>6.0</v>
      </c>
      <c r="S201" s="2">
        <v>9.0</v>
      </c>
      <c r="U201" s="2">
        <v>15.0</v>
      </c>
      <c r="V201" s="2">
        <v>15.0</v>
      </c>
      <c r="W201" s="2">
        <v>20.0</v>
      </c>
      <c r="X201" s="2">
        <v>29.0</v>
      </c>
      <c r="Y201" s="2">
        <v>26.0</v>
      </c>
      <c r="Z201" s="2">
        <v>30.0</v>
      </c>
      <c r="AA201" s="2">
        <v>29.0</v>
      </c>
      <c r="AB201" s="2">
        <v>49.0</v>
      </c>
      <c r="AC201" s="2">
        <v>350.0</v>
      </c>
      <c r="AD201" s="3">
        <f t="shared" si="4"/>
        <v>9.975</v>
      </c>
    </row>
    <row r="202">
      <c r="A202" s="1" t="s">
        <v>817</v>
      </c>
      <c r="B202" s="1" t="s">
        <v>818</v>
      </c>
      <c r="C202" s="2" t="s">
        <v>819</v>
      </c>
      <c r="D202" s="2"/>
      <c r="E202" s="2">
        <v>14.0</v>
      </c>
      <c r="F202" s="2"/>
      <c r="G202" s="2">
        <v>9.0</v>
      </c>
      <c r="H202" s="2">
        <v>11.0</v>
      </c>
      <c r="I202" s="2">
        <v>16.0</v>
      </c>
      <c r="J202" s="3">
        <f t="shared" si="1"/>
        <v>6.777777778</v>
      </c>
      <c r="K202" s="2">
        <v>94.0</v>
      </c>
      <c r="L202" s="2">
        <v>170.0</v>
      </c>
      <c r="M202" s="2">
        <v>193.0</v>
      </c>
      <c r="N202" s="3">
        <f t="shared" si="2"/>
        <v>193</v>
      </c>
      <c r="O202" s="2">
        <v>100.0</v>
      </c>
      <c r="P202" s="2">
        <f t="shared" si="3"/>
        <v>14.525</v>
      </c>
      <c r="Q202" s="2">
        <v>7.0</v>
      </c>
      <c r="R202" s="2">
        <v>6.0</v>
      </c>
      <c r="S202" s="2">
        <v>12.0</v>
      </c>
      <c r="T202" s="2">
        <v>13.0</v>
      </c>
      <c r="U202" s="2">
        <v>15.0</v>
      </c>
      <c r="V202" s="2">
        <v>13.5</v>
      </c>
      <c r="W202" s="2">
        <v>18.5</v>
      </c>
      <c r="X202" s="2">
        <v>28.5</v>
      </c>
      <c r="Y202" s="2">
        <v>28.5</v>
      </c>
      <c r="Z202" s="2">
        <v>30.0</v>
      </c>
      <c r="AB202" s="2">
        <v>50.0</v>
      </c>
      <c r="AC202" s="2">
        <v>350.0</v>
      </c>
      <c r="AD202" s="3">
        <f t="shared" si="4"/>
        <v>10</v>
      </c>
    </row>
    <row r="203">
      <c r="A203" s="1" t="s">
        <v>841</v>
      </c>
      <c r="B203" s="1" t="s">
        <v>842</v>
      </c>
      <c r="C203" s="2" t="s">
        <v>843</v>
      </c>
      <c r="D203" s="2"/>
      <c r="E203" s="2">
        <v>13.0</v>
      </c>
      <c r="F203" s="2"/>
      <c r="G203" s="2">
        <v>6.0</v>
      </c>
      <c r="H203" s="2">
        <v>9.0</v>
      </c>
      <c r="I203" s="2">
        <v>39.0</v>
      </c>
      <c r="J203" s="3">
        <f t="shared" si="1"/>
        <v>8.083333333</v>
      </c>
      <c r="K203" s="2">
        <v>100.0</v>
      </c>
      <c r="L203" s="2">
        <v>183.0</v>
      </c>
      <c r="N203" s="3">
        <f t="shared" si="2"/>
        <v>183</v>
      </c>
      <c r="O203" s="2">
        <v>98.0</v>
      </c>
      <c r="P203" s="2">
        <f t="shared" si="3"/>
        <v>14.475</v>
      </c>
      <c r="Q203" s="2">
        <v>7.0</v>
      </c>
      <c r="R203" s="2">
        <v>4.0</v>
      </c>
      <c r="S203" s="2">
        <v>12.0</v>
      </c>
      <c r="T203" s="2">
        <v>14.5</v>
      </c>
      <c r="U203" s="2">
        <v>15.0</v>
      </c>
      <c r="V203" s="2">
        <v>14.5</v>
      </c>
      <c r="W203" s="2">
        <v>19.0</v>
      </c>
      <c r="X203" s="2">
        <v>27.0</v>
      </c>
      <c r="Y203" s="2">
        <v>28.0</v>
      </c>
      <c r="Z203" s="2">
        <v>29.0</v>
      </c>
      <c r="AA203" s="2">
        <v>30.0</v>
      </c>
      <c r="AB203" s="2">
        <v>49.0</v>
      </c>
      <c r="AC203" s="2">
        <v>350.0</v>
      </c>
      <c r="AD203" s="3">
        <f t="shared" si="4"/>
        <v>9.975</v>
      </c>
    </row>
    <row r="204">
      <c r="A204" s="1" t="s">
        <v>898</v>
      </c>
      <c r="B204" s="1" t="s">
        <v>899</v>
      </c>
      <c r="C204" s="2" t="s">
        <v>900</v>
      </c>
      <c r="D204" s="2"/>
      <c r="E204" s="2">
        <v>35.0</v>
      </c>
      <c r="F204" s="2"/>
      <c r="G204" s="2">
        <v>13.0</v>
      </c>
      <c r="H204" s="2">
        <v>16.0</v>
      </c>
      <c r="I204" s="2">
        <v>29.0</v>
      </c>
      <c r="J204" s="3">
        <f t="shared" si="1"/>
        <v>10.47222222</v>
      </c>
      <c r="K204" s="2">
        <v>100.0</v>
      </c>
      <c r="L204" s="2">
        <v>200.0</v>
      </c>
      <c r="N204" s="3">
        <f t="shared" si="2"/>
        <v>200</v>
      </c>
      <c r="O204" s="2">
        <v>90.0</v>
      </c>
      <c r="P204" s="2">
        <f t="shared" si="3"/>
        <v>14.5</v>
      </c>
      <c r="Q204" s="2">
        <v>7.0</v>
      </c>
      <c r="R204" s="2">
        <v>8.0</v>
      </c>
      <c r="S204" s="2">
        <v>10.0</v>
      </c>
      <c r="T204" s="2">
        <v>12.0</v>
      </c>
      <c r="U204" s="2">
        <v>12.0</v>
      </c>
      <c r="V204" s="2">
        <v>14.5</v>
      </c>
      <c r="W204" s="2">
        <v>18.0</v>
      </c>
      <c r="X204" s="2">
        <v>26.0</v>
      </c>
      <c r="Y204" s="2">
        <v>29.0</v>
      </c>
      <c r="Z204" s="2">
        <v>30.0</v>
      </c>
      <c r="AA204" s="2">
        <v>30.0</v>
      </c>
      <c r="AB204" s="2">
        <v>50.0</v>
      </c>
      <c r="AC204" s="2">
        <v>320.0</v>
      </c>
      <c r="AD204" s="3">
        <f t="shared" si="4"/>
        <v>9.25</v>
      </c>
    </row>
    <row r="205">
      <c r="A205" s="1" t="s">
        <v>393</v>
      </c>
      <c r="B205" s="1" t="s">
        <v>394</v>
      </c>
      <c r="C205" s="2" t="s">
        <v>395</v>
      </c>
      <c r="D205" s="2"/>
      <c r="E205" s="2">
        <v>5.0</v>
      </c>
      <c r="F205" s="2"/>
      <c r="G205" s="2">
        <v>4.0</v>
      </c>
      <c r="H205" s="2">
        <v>7.0</v>
      </c>
      <c r="I205" s="2">
        <v>20.0</v>
      </c>
      <c r="J205" s="3">
        <f t="shared" si="1"/>
        <v>4.972222222</v>
      </c>
      <c r="K205" s="2">
        <v>90.0</v>
      </c>
      <c r="L205" s="2">
        <v>170.0</v>
      </c>
      <c r="M205" s="2">
        <v>200.0</v>
      </c>
      <c r="N205" s="3">
        <f t="shared" si="2"/>
        <v>200</v>
      </c>
      <c r="O205" s="2">
        <v>95.0</v>
      </c>
      <c r="P205" s="2">
        <f t="shared" si="3"/>
        <v>14.25</v>
      </c>
      <c r="Q205" s="2">
        <v>7.0</v>
      </c>
      <c r="R205" s="2">
        <v>7.0</v>
      </c>
      <c r="S205" s="2">
        <v>13.0</v>
      </c>
      <c r="T205" s="2">
        <v>13.0</v>
      </c>
      <c r="U205" s="2">
        <v>14.0</v>
      </c>
      <c r="V205" s="2">
        <v>14.0</v>
      </c>
      <c r="W205" s="2">
        <v>20.0</v>
      </c>
      <c r="X205" s="2">
        <v>30.0</v>
      </c>
      <c r="Y205" s="2">
        <v>30.0</v>
      </c>
      <c r="Z205" s="2">
        <v>29.0</v>
      </c>
      <c r="AA205" s="2">
        <v>28.0</v>
      </c>
      <c r="AB205" s="2">
        <v>40.0</v>
      </c>
      <c r="AC205" s="2">
        <v>350.0</v>
      </c>
      <c r="AD205" s="3">
        <f t="shared" si="4"/>
        <v>9.75</v>
      </c>
    </row>
    <row r="206">
      <c r="A206" s="1" t="s">
        <v>104</v>
      </c>
      <c r="B206" s="1" t="s">
        <v>105</v>
      </c>
      <c r="C206" s="2" t="s">
        <v>106</v>
      </c>
      <c r="D206" s="2"/>
      <c r="E206" s="2">
        <v>29.0</v>
      </c>
      <c r="F206" s="2"/>
      <c r="G206" s="2">
        <v>15.0</v>
      </c>
      <c r="H206" s="2">
        <v>11.0</v>
      </c>
      <c r="I206" s="2">
        <v>34.0</v>
      </c>
      <c r="J206" s="3">
        <f t="shared" si="1"/>
        <v>10.27777778</v>
      </c>
      <c r="K206" s="2">
        <v>100.0</v>
      </c>
      <c r="L206" s="2">
        <v>184.0</v>
      </c>
      <c r="N206" s="3">
        <f t="shared" si="2"/>
        <v>184</v>
      </c>
      <c r="O206" s="2">
        <v>100.0</v>
      </c>
      <c r="P206" s="2">
        <f t="shared" si="3"/>
        <v>14.6</v>
      </c>
      <c r="Q206" s="2">
        <v>6.0</v>
      </c>
      <c r="R206" s="2">
        <v>8.0</v>
      </c>
      <c r="S206" s="2">
        <v>14.0</v>
      </c>
      <c r="T206" s="2">
        <v>12.0</v>
      </c>
      <c r="U206" s="2">
        <v>15.0</v>
      </c>
      <c r="V206" s="2">
        <v>15.0</v>
      </c>
      <c r="W206" s="2">
        <v>20.0</v>
      </c>
      <c r="X206" s="2">
        <v>30.0</v>
      </c>
      <c r="Y206" s="2">
        <v>30.0</v>
      </c>
      <c r="Z206" s="2">
        <v>30.0</v>
      </c>
      <c r="AA206" s="2">
        <v>29.0</v>
      </c>
      <c r="AB206" s="2">
        <v>50.0</v>
      </c>
      <c r="AC206" s="2">
        <v>350.0</v>
      </c>
      <c r="AD206" s="3">
        <f t="shared" si="4"/>
        <v>10</v>
      </c>
    </row>
    <row r="207">
      <c r="A207" s="1" t="s">
        <v>569</v>
      </c>
      <c r="B207" s="1" t="s">
        <v>570</v>
      </c>
      <c r="C207" s="2" t="s">
        <v>571</v>
      </c>
      <c r="D207" s="2"/>
      <c r="E207" s="2">
        <v>22.0</v>
      </c>
      <c r="F207" s="2"/>
      <c r="G207" s="2">
        <v>6.0</v>
      </c>
      <c r="H207" s="2">
        <v>13.0</v>
      </c>
      <c r="I207" s="2">
        <v>40.0</v>
      </c>
      <c r="J207" s="3">
        <f t="shared" si="1"/>
        <v>9.194444444</v>
      </c>
      <c r="K207" s="2">
        <v>96.0</v>
      </c>
      <c r="L207" s="2">
        <v>195.0</v>
      </c>
      <c r="N207" s="3">
        <f t="shared" si="2"/>
        <v>195</v>
      </c>
      <c r="O207" s="2">
        <v>98.0</v>
      </c>
      <c r="P207" s="2">
        <f t="shared" si="3"/>
        <v>14.575</v>
      </c>
      <c r="Q207" s="2">
        <v>7.0</v>
      </c>
      <c r="R207" s="2">
        <v>5.0</v>
      </c>
      <c r="S207" s="2">
        <v>7.0</v>
      </c>
      <c r="T207" s="2">
        <v>9.0</v>
      </c>
      <c r="U207" s="2">
        <v>15.0</v>
      </c>
      <c r="V207" s="2">
        <v>14.0</v>
      </c>
      <c r="W207" s="2">
        <v>19.5</v>
      </c>
      <c r="X207" s="2">
        <v>30.0</v>
      </c>
      <c r="Y207" s="2">
        <v>25.0</v>
      </c>
      <c r="Z207" s="2">
        <v>30.0</v>
      </c>
      <c r="AA207" s="2">
        <v>30.0</v>
      </c>
      <c r="AB207" s="2">
        <v>50.0</v>
      </c>
      <c r="AC207" s="2">
        <v>348.0</v>
      </c>
      <c r="AD207" s="3">
        <f t="shared" si="4"/>
        <v>9.95</v>
      </c>
    </row>
    <row r="208">
      <c r="A208" s="1" t="s">
        <v>952</v>
      </c>
      <c r="B208" s="1" t="s">
        <v>953</v>
      </c>
      <c r="C208" s="2" t="s">
        <v>954</v>
      </c>
      <c r="D208" s="2"/>
      <c r="E208" s="2">
        <v>27.0</v>
      </c>
      <c r="F208" s="2"/>
      <c r="G208" s="2">
        <v>7.0</v>
      </c>
      <c r="H208" s="2">
        <v>11.0</v>
      </c>
      <c r="I208" s="2">
        <v>21.0</v>
      </c>
      <c r="J208" s="3">
        <f t="shared" si="1"/>
        <v>6.833333333</v>
      </c>
      <c r="K208" s="2">
        <v>85.0</v>
      </c>
      <c r="L208" s="2">
        <v>180.0</v>
      </c>
      <c r="N208" s="3">
        <f t="shared" si="2"/>
        <v>180</v>
      </c>
      <c r="O208" s="2">
        <v>90.0</v>
      </c>
      <c r="P208" s="2">
        <f t="shared" si="3"/>
        <v>13.25</v>
      </c>
      <c r="Q208" s="2">
        <v>7.0</v>
      </c>
      <c r="R208" s="2">
        <v>6.0</v>
      </c>
      <c r="S208" s="2">
        <v>10.0</v>
      </c>
      <c r="T208" s="2">
        <v>12.0</v>
      </c>
      <c r="U208" s="2">
        <v>10.0</v>
      </c>
      <c r="V208" s="2">
        <v>14.5</v>
      </c>
      <c r="W208" s="2">
        <v>16.0</v>
      </c>
      <c r="X208" s="2">
        <v>30.0</v>
      </c>
      <c r="Y208" s="2">
        <v>25.0</v>
      </c>
      <c r="Z208" s="2">
        <v>29.0</v>
      </c>
      <c r="AA208" s="2">
        <v>28.0</v>
      </c>
      <c r="AB208" s="2">
        <v>48.0</v>
      </c>
      <c r="AC208" s="2">
        <v>340.0</v>
      </c>
      <c r="AD208" s="3">
        <f t="shared" si="4"/>
        <v>9.7</v>
      </c>
    </row>
    <row r="209">
      <c r="A209" s="1" t="s">
        <v>808</v>
      </c>
      <c r="B209" s="101"/>
      <c r="C209" s="2" t="s">
        <v>810</v>
      </c>
      <c r="D209" s="2"/>
      <c r="E209" s="2">
        <v>11.0</v>
      </c>
      <c r="H209" s="2">
        <v>5.0</v>
      </c>
      <c r="I209" s="2">
        <v>16.0</v>
      </c>
      <c r="J209" s="3">
        <f t="shared" si="1"/>
        <v>3.027777778</v>
      </c>
      <c r="M209" s="2">
        <v>165.0</v>
      </c>
      <c r="N209" s="3">
        <f t="shared" si="2"/>
        <v>165</v>
      </c>
      <c r="P209" s="2">
        <f t="shared" si="3"/>
        <v>4.125</v>
      </c>
      <c r="Q209" s="2">
        <v>6.0</v>
      </c>
      <c r="R209" s="2">
        <v>5.0</v>
      </c>
      <c r="S209" s="2">
        <v>6.0</v>
      </c>
      <c r="V209" s="2">
        <v>10.0</v>
      </c>
      <c r="W209" s="2">
        <v>18.0</v>
      </c>
      <c r="Z209" s="2">
        <v>28.0</v>
      </c>
      <c r="AC209" s="2">
        <v>340.0</v>
      </c>
      <c r="AD209" s="3">
        <f t="shared" si="4"/>
        <v>8.5</v>
      </c>
    </row>
    <row r="210">
      <c r="A210" s="1" t="s">
        <v>360</v>
      </c>
      <c r="B210" s="1" t="s">
        <v>361</v>
      </c>
      <c r="C210" s="2" t="s">
        <v>362</v>
      </c>
      <c r="D210" s="2"/>
      <c r="E210" s="2">
        <v>7.0</v>
      </c>
      <c r="F210" s="2"/>
      <c r="G210" s="2">
        <v>10.0</v>
      </c>
      <c r="H210" s="2">
        <v>15.0</v>
      </c>
      <c r="I210" s="2">
        <v>22.0</v>
      </c>
      <c r="J210" s="3">
        <f t="shared" si="1"/>
        <v>8.694444444</v>
      </c>
      <c r="K210" s="2">
        <v>90.0</v>
      </c>
      <c r="L210" s="2">
        <v>180.0</v>
      </c>
      <c r="N210" s="3">
        <f t="shared" si="2"/>
        <v>180</v>
      </c>
      <c r="P210" s="2">
        <f t="shared" si="3"/>
        <v>9</v>
      </c>
      <c r="Q210" s="2">
        <v>6.0</v>
      </c>
      <c r="R210" s="2">
        <v>5.0</v>
      </c>
      <c r="S210" s="2">
        <v>14.0</v>
      </c>
      <c r="T210" s="2">
        <v>13.0</v>
      </c>
      <c r="U210" s="2">
        <v>14.0</v>
      </c>
      <c r="V210" s="2">
        <v>13.0</v>
      </c>
      <c r="W210" s="2">
        <v>18.0</v>
      </c>
      <c r="X210" s="2">
        <v>30.0</v>
      </c>
      <c r="Y210" s="2">
        <v>30.0</v>
      </c>
      <c r="Z210" s="2">
        <v>28.0</v>
      </c>
      <c r="AA210" s="2">
        <v>28.0</v>
      </c>
      <c r="AB210" s="2">
        <v>30.0</v>
      </c>
      <c r="AC210" s="2">
        <v>330.0</v>
      </c>
      <c r="AD210" s="3">
        <f t="shared" si="4"/>
        <v>9</v>
      </c>
    </row>
    <row r="211">
      <c r="A211" s="1" t="s">
        <v>357</v>
      </c>
      <c r="B211" s="1" t="s">
        <v>358</v>
      </c>
      <c r="C211" s="2" t="s">
        <v>359</v>
      </c>
      <c r="D211" s="2"/>
      <c r="E211" s="2">
        <v>10.0</v>
      </c>
      <c r="F211" s="2"/>
      <c r="G211" s="2">
        <v>9.0</v>
      </c>
      <c r="H211" s="2">
        <v>10.0</v>
      </c>
      <c r="I211" s="2">
        <v>17.0</v>
      </c>
      <c r="J211" s="3">
        <f t="shared" si="1"/>
        <v>6.638888889</v>
      </c>
      <c r="K211" s="2">
        <v>80.0</v>
      </c>
      <c r="L211" s="2">
        <v>100.0</v>
      </c>
      <c r="N211" s="3">
        <f t="shared" si="2"/>
        <v>100</v>
      </c>
      <c r="O211" s="2">
        <v>90.0</v>
      </c>
      <c r="P211" s="2">
        <f t="shared" si="3"/>
        <v>11</v>
      </c>
      <c r="R211" s="2">
        <v>7.0</v>
      </c>
      <c r="S211" s="2">
        <v>13.0</v>
      </c>
      <c r="T211" s="2">
        <v>11.0</v>
      </c>
      <c r="U211" s="2">
        <v>14.0</v>
      </c>
      <c r="V211" s="2">
        <v>14.0</v>
      </c>
      <c r="W211" s="2">
        <v>20.0</v>
      </c>
      <c r="X211" s="2">
        <v>30.0</v>
      </c>
      <c r="Y211" s="2">
        <v>30.0</v>
      </c>
      <c r="Z211" s="2">
        <v>29.0</v>
      </c>
      <c r="AA211" s="2">
        <v>28.0</v>
      </c>
      <c r="AB211" s="2">
        <v>50.0</v>
      </c>
      <c r="AC211" s="2">
        <v>330.0</v>
      </c>
      <c r="AD211" s="3">
        <f t="shared" si="4"/>
        <v>9.5</v>
      </c>
    </row>
    <row r="212">
      <c r="A212" s="1" t="s">
        <v>551</v>
      </c>
      <c r="B212" s="1" t="s">
        <v>552</v>
      </c>
      <c r="C212" s="2" t="s">
        <v>553</v>
      </c>
      <c r="D212" s="2"/>
      <c r="E212" s="2">
        <v>29.0</v>
      </c>
      <c r="F212" s="2"/>
      <c r="G212" s="2">
        <v>8.0</v>
      </c>
      <c r="H212" s="2">
        <v>16.5</v>
      </c>
      <c r="I212" s="2">
        <v>31.0</v>
      </c>
      <c r="J212" s="3">
        <f t="shared" si="1"/>
        <v>9.569444444</v>
      </c>
      <c r="K212" s="2">
        <v>92.0</v>
      </c>
      <c r="L212" s="2">
        <v>187.0</v>
      </c>
      <c r="N212" s="3">
        <f t="shared" si="2"/>
        <v>187</v>
      </c>
      <c r="O212" s="2">
        <v>100.0</v>
      </c>
      <c r="P212" s="2">
        <f t="shared" si="3"/>
        <v>14.275</v>
      </c>
      <c r="Q212" s="2">
        <v>3.0</v>
      </c>
      <c r="R212" s="2">
        <v>7.0</v>
      </c>
      <c r="S212" s="2">
        <v>9.0</v>
      </c>
      <c r="T212" s="2">
        <v>6.0</v>
      </c>
      <c r="U212" s="2">
        <v>15.0</v>
      </c>
      <c r="V212" s="2">
        <v>13.5</v>
      </c>
      <c r="W212" s="2">
        <v>19.5</v>
      </c>
      <c r="X212" s="2">
        <v>28.0</v>
      </c>
      <c r="Y212" s="2">
        <v>28.0</v>
      </c>
      <c r="Z212" s="2">
        <v>30.0</v>
      </c>
      <c r="AA212" s="2">
        <v>30.0</v>
      </c>
      <c r="AB212" s="2">
        <v>45.0</v>
      </c>
      <c r="AC212" s="2">
        <v>347.0</v>
      </c>
      <c r="AD212" s="3">
        <f t="shared" si="4"/>
        <v>9.8</v>
      </c>
    </row>
    <row r="213">
      <c r="A213" s="1" t="s">
        <v>229</v>
      </c>
      <c r="B213" s="1" t="s">
        <v>230</v>
      </c>
      <c r="C213" s="2" t="s">
        <v>231</v>
      </c>
      <c r="D213" s="2"/>
      <c r="E213" s="2">
        <v>20.0</v>
      </c>
      <c r="F213" s="2"/>
      <c r="G213" s="2">
        <v>10.5</v>
      </c>
      <c r="H213" s="2">
        <v>9.5</v>
      </c>
      <c r="I213" s="2">
        <v>23.0</v>
      </c>
      <c r="J213" s="3">
        <f t="shared" si="1"/>
        <v>7.555555556</v>
      </c>
      <c r="K213" s="2">
        <v>95.0</v>
      </c>
      <c r="L213" s="2">
        <v>195.0</v>
      </c>
      <c r="N213" s="3">
        <f t="shared" si="2"/>
        <v>195</v>
      </c>
      <c r="O213" s="2">
        <v>100.0</v>
      </c>
      <c r="P213" s="2">
        <f t="shared" si="3"/>
        <v>14.625</v>
      </c>
      <c r="Q213" s="2">
        <v>6.0</v>
      </c>
      <c r="R213" s="2">
        <v>6.0</v>
      </c>
      <c r="S213" s="2">
        <v>9.0</v>
      </c>
      <c r="T213" s="2">
        <v>12.0</v>
      </c>
      <c r="U213" s="2">
        <v>14.0</v>
      </c>
      <c r="V213" s="2">
        <v>14.5</v>
      </c>
      <c r="W213" s="2">
        <v>20.0</v>
      </c>
      <c r="X213" s="2">
        <v>29.0</v>
      </c>
      <c r="Y213" s="2">
        <v>30.0</v>
      </c>
      <c r="Z213" s="2">
        <v>28.0</v>
      </c>
      <c r="AA213" s="2">
        <v>28.0</v>
      </c>
      <c r="AB213" s="2">
        <v>0.0</v>
      </c>
      <c r="AC213" s="2">
        <v>270.0</v>
      </c>
      <c r="AD213" s="3">
        <f t="shared" si="4"/>
        <v>6.75</v>
      </c>
    </row>
    <row r="214">
      <c r="A214" s="1" t="s">
        <v>509</v>
      </c>
      <c r="B214" s="1" t="s">
        <v>510</v>
      </c>
      <c r="C214" s="2" t="s">
        <v>511</v>
      </c>
      <c r="D214" s="2"/>
      <c r="E214" s="2">
        <v>24.0</v>
      </c>
      <c r="F214" s="2"/>
      <c r="G214" s="2">
        <v>10.0</v>
      </c>
      <c r="H214" s="2">
        <v>5.0</v>
      </c>
      <c r="I214" s="2">
        <v>27.0</v>
      </c>
      <c r="J214" s="3">
        <f t="shared" si="1"/>
        <v>6.75</v>
      </c>
      <c r="K214" s="2">
        <v>85.0</v>
      </c>
      <c r="L214" s="2">
        <v>170.0</v>
      </c>
      <c r="M214" s="2">
        <v>190.0</v>
      </c>
      <c r="N214" s="3">
        <f t="shared" si="2"/>
        <v>190</v>
      </c>
      <c r="O214" s="2">
        <v>98.0</v>
      </c>
      <c r="P214" s="2">
        <f t="shared" si="3"/>
        <v>13.9</v>
      </c>
      <c r="Q214" s="2">
        <v>7.0</v>
      </c>
      <c r="R214" s="2">
        <v>3.0</v>
      </c>
      <c r="S214" s="2">
        <v>7.0</v>
      </c>
      <c r="T214" s="2">
        <v>11.0</v>
      </c>
      <c r="U214" s="2">
        <v>13.0</v>
      </c>
      <c r="V214" s="2">
        <v>12.0</v>
      </c>
      <c r="W214" s="2">
        <v>19.0</v>
      </c>
      <c r="X214" s="2">
        <v>25.0</v>
      </c>
      <c r="Y214" s="2">
        <v>26.0</v>
      </c>
      <c r="Z214" s="2">
        <v>29.0</v>
      </c>
      <c r="AA214" s="2">
        <v>29.0</v>
      </c>
      <c r="AB214" s="2">
        <v>48.0</v>
      </c>
      <c r="AC214" s="2">
        <v>343.0</v>
      </c>
      <c r="AD214" s="3">
        <f t="shared" si="4"/>
        <v>9.775</v>
      </c>
    </row>
    <row r="215">
      <c r="A215" s="1" t="s">
        <v>426</v>
      </c>
      <c r="B215" s="1" t="s">
        <v>427</v>
      </c>
      <c r="C215" s="2" t="s">
        <v>428</v>
      </c>
      <c r="D215" s="2"/>
      <c r="E215" s="2">
        <v>36.0</v>
      </c>
      <c r="F215" s="2"/>
      <c r="G215" s="2">
        <v>9.0</v>
      </c>
      <c r="I215" s="2">
        <v>37.0</v>
      </c>
      <c r="J215" s="3">
        <f t="shared" si="1"/>
        <v>6.361111111</v>
      </c>
      <c r="K215" s="2">
        <v>85.0</v>
      </c>
      <c r="L215" s="2">
        <v>200.0</v>
      </c>
      <c r="N215" s="3">
        <f t="shared" si="2"/>
        <v>200</v>
      </c>
      <c r="O215" s="2">
        <v>96.0</v>
      </c>
      <c r="P215" s="2">
        <f t="shared" si="3"/>
        <v>14.05</v>
      </c>
      <c r="Q215" s="2">
        <v>7.0</v>
      </c>
      <c r="R215" s="2">
        <v>7.0</v>
      </c>
      <c r="S215" s="2">
        <v>15.0</v>
      </c>
      <c r="T215" s="2">
        <v>12.0</v>
      </c>
      <c r="U215" s="2">
        <v>15.0</v>
      </c>
      <c r="V215" s="2">
        <v>14.0</v>
      </c>
      <c r="W215" s="2">
        <v>20.0</v>
      </c>
      <c r="X215" s="2">
        <v>30.0</v>
      </c>
      <c r="Y215" s="2">
        <v>30.0</v>
      </c>
      <c r="Z215" s="2">
        <v>30.0</v>
      </c>
      <c r="AA215" s="2">
        <v>30.0</v>
      </c>
      <c r="AB215" s="2">
        <v>48.0</v>
      </c>
      <c r="AC215" s="2">
        <v>343.0</v>
      </c>
      <c r="AD215" s="3">
        <f t="shared" si="4"/>
        <v>9.775</v>
      </c>
    </row>
    <row r="216">
      <c r="A216" s="1" t="s">
        <v>441</v>
      </c>
      <c r="B216" s="1" t="s">
        <v>442</v>
      </c>
      <c r="C216" s="2" t="s">
        <v>443</v>
      </c>
      <c r="D216" s="2"/>
      <c r="E216" s="2">
        <v>29.0</v>
      </c>
      <c r="F216" s="2"/>
      <c r="G216" s="2">
        <v>10.0</v>
      </c>
      <c r="H216" s="2">
        <v>16.0</v>
      </c>
      <c r="I216" s="2">
        <v>43.0</v>
      </c>
      <c r="J216" s="3">
        <f t="shared" si="1"/>
        <v>11.27777778</v>
      </c>
      <c r="K216" s="2">
        <v>95.0</v>
      </c>
      <c r="L216" s="2">
        <v>200.0</v>
      </c>
      <c r="M216" s="2">
        <v>170.0</v>
      </c>
      <c r="N216" s="3">
        <f t="shared" si="2"/>
        <v>200</v>
      </c>
      <c r="O216" s="2">
        <v>9.0</v>
      </c>
      <c r="P216" s="2">
        <f t="shared" si="3"/>
        <v>10.2</v>
      </c>
      <c r="Q216" s="2">
        <v>7.0</v>
      </c>
      <c r="R216" s="2">
        <v>6.0</v>
      </c>
      <c r="S216" s="2">
        <v>9.0</v>
      </c>
      <c r="T216" s="2">
        <v>15.0</v>
      </c>
      <c r="U216" s="2">
        <v>12.0</v>
      </c>
      <c r="V216" s="2">
        <v>10.0</v>
      </c>
      <c r="W216" s="2">
        <v>17.0</v>
      </c>
      <c r="X216" s="2">
        <v>27.0</v>
      </c>
      <c r="Y216" s="2">
        <v>27.0</v>
      </c>
      <c r="Z216" s="2">
        <v>28.0</v>
      </c>
      <c r="AA216" s="2">
        <v>29.0</v>
      </c>
      <c r="AB216" s="2">
        <v>50.0</v>
      </c>
      <c r="AC216" s="2">
        <v>347.0</v>
      </c>
      <c r="AD216" s="3">
        <f t="shared" si="4"/>
        <v>9.925</v>
      </c>
    </row>
    <row r="217">
      <c r="A217" s="1" t="s">
        <v>223</v>
      </c>
      <c r="B217" s="1" t="s">
        <v>224</v>
      </c>
      <c r="C217" s="2" t="s">
        <v>225</v>
      </c>
      <c r="D217" s="2"/>
      <c r="E217" s="2">
        <v>33.0</v>
      </c>
      <c r="F217" s="2"/>
      <c r="G217" s="2">
        <v>16.0</v>
      </c>
      <c r="H217" s="2">
        <v>15.0</v>
      </c>
      <c r="I217" s="2">
        <v>30.0</v>
      </c>
      <c r="J217" s="3">
        <f t="shared" si="1"/>
        <v>11.08333333</v>
      </c>
      <c r="K217" s="2">
        <v>95.0</v>
      </c>
      <c r="L217" s="2">
        <v>188.0</v>
      </c>
      <c r="N217" s="3">
        <f t="shared" si="2"/>
        <v>188</v>
      </c>
      <c r="O217" s="2">
        <v>100.0</v>
      </c>
      <c r="P217" s="2">
        <f t="shared" si="3"/>
        <v>14.45</v>
      </c>
      <c r="Q217" s="2">
        <v>6.0</v>
      </c>
      <c r="R217" s="2">
        <v>9.0</v>
      </c>
      <c r="S217" s="2">
        <v>12.0</v>
      </c>
      <c r="T217" s="2">
        <v>9.0</v>
      </c>
      <c r="U217" s="2">
        <v>14.0</v>
      </c>
      <c r="V217" s="2">
        <v>15.0</v>
      </c>
      <c r="W217" s="2">
        <v>20.0</v>
      </c>
      <c r="X217" s="2">
        <v>30.0</v>
      </c>
      <c r="Y217" s="2">
        <v>30.0</v>
      </c>
      <c r="Z217" s="2">
        <v>29.0</v>
      </c>
      <c r="AA217" s="2">
        <v>28.0</v>
      </c>
      <c r="AB217" s="2">
        <v>35.0</v>
      </c>
      <c r="AC217" s="2">
        <v>300.0</v>
      </c>
      <c r="AD217" s="3">
        <f t="shared" si="4"/>
        <v>8.375</v>
      </c>
    </row>
    <row r="218">
      <c r="A218" s="1" t="s">
        <v>226</v>
      </c>
      <c r="B218" s="1" t="s">
        <v>227</v>
      </c>
      <c r="C218" s="2" t="s">
        <v>228</v>
      </c>
      <c r="D218" s="2"/>
      <c r="E218" s="2">
        <v>26.0</v>
      </c>
      <c r="F218" s="2"/>
      <c r="G218" s="2">
        <v>13.0</v>
      </c>
      <c r="H218" s="2">
        <v>2.5</v>
      </c>
      <c r="I218" s="2">
        <v>8.0</v>
      </c>
      <c r="J218" s="3">
        <f t="shared" si="1"/>
        <v>4.763888889</v>
      </c>
      <c r="K218" s="2">
        <v>95.0</v>
      </c>
      <c r="L218" s="2">
        <v>170.0</v>
      </c>
      <c r="N218" s="3">
        <f t="shared" si="2"/>
        <v>170</v>
      </c>
      <c r="O218" s="2">
        <v>75.0</v>
      </c>
      <c r="P218" s="2">
        <f t="shared" si="3"/>
        <v>12.75</v>
      </c>
      <c r="Q218" s="2">
        <v>4.0</v>
      </c>
      <c r="R218" s="2">
        <v>8.0</v>
      </c>
      <c r="S218" s="2">
        <v>10.0</v>
      </c>
      <c r="T218" s="2">
        <v>10.0</v>
      </c>
      <c r="U218" s="2">
        <v>14.0</v>
      </c>
      <c r="V218" s="2">
        <v>13.5</v>
      </c>
      <c r="W218" s="2">
        <v>20.0</v>
      </c>
      <c r="X218" s="2">
        <v>27.0</v>
      </c>
      <c r="Y218" s="2">
        <v>21.0</v>
      </c>
      <c r="AA218" s="2">
        <v>28.0</v>
      </c>
      <c r="AB218" s="2">
        <v>30.0</v>
      </c>
      <c r="AC218" s="2">
        <v>280.0</v>
      </c>
      <c r="AD218" s="3">
        <f t="shared" si="4"/>
        <v>7.75</v>
      </c>
    </row>
    <row r="219">
      <c r="A219" s="1" t="s">
        <v>916</v>
      </c>
      <c r="B219" s="1" t="s">
        <v>917</v>
      </c>
      <c r="C219" s="2" t="s">
        <v>918</v>
      </c>
      <c r="D219" s="2"/>
      <c r="E219" s="2">
        <v>27.0</v>
      </c>
      <c r="F219" s="2"/>
      <c r="G219" s="2">
        <v>8.0</v>
      </c>
      <c r="H219" s="2">
        <v>10.0</v>
      </c>
      <c r="I219" s="2">
        <v>11.0</v>
      </c>
      <c r="J219" s="3">
        <f t="shared" si="1"/>
        <v>5.722222222</v>
      </c>
      <c r="K219" s="2">
        <v>100.0</v>
      </c>
      <c r="L219" s="2">
        <v>178.0</v>
      </c>
      <c r="N219" s="3">
        <f t="shared" si="2"/>
        <v>178</v>
      </c>
      <c r="O219" s="2">
        <v>100.0</v>
      </c>
      <c r="P219" s="2">
        <f t="shared" si="3"/>
        <v>14.45</v>
      </c>
      <c r="Q219" s="2">
        <v>6.0</v>
      </c>
      <c r="R219" s="2">
        <v>3.0</v>
      </c>
      <c r="S219" s="2">
        <v>10.0</v>
      </c>
      <c r="T219" s="2">
        <v>8.0</v>
      </c>
      <c r="U219" s="2">
        <v>13.0</v>
      </c>
      <c r="V219" s="2">
        <v>14.0</v>
      </c>
      <c r="W219" s="2">
        <v>18.0</v>
      </c>
      <c r="X219" s="2">
        <v>24.0</v>
      </c>
      <c r="Y219" s="2">
        <v>30.0</v>
      </c>
      <c r="Z219" s="2">
        <v>28.0</v>
      </c>
      <c r="AA219" s="2">
        <v>29.0</v>
      </c>
      <c r="AB219" s="2">
        <v>35.0</v>
      </c>
      <c r="AC219" s="2">
        <v>320.0</v>
      </c>
      <c r="AD219" s="3">
        <f t="shared" si="4"/>
        <v>8.875</v>
      </c>
    </row>
    <row r="220">
      <c r="A220" s="1" t="s">
        <v>185</v>
      </c>
      <c r="B220" s="1" t="s">
        <v>186</v>
      </c>
      <c r="C220" s="2" t="s">
        <v>188</v>
      </c>
      <c r="I220" s="2">
        <v>-1.0</v>
      </c>
      <c r="J220" s="3">
        <f t="shared" si="1"/>
        <v>-0.1111111111</v>
      </c>
      <c r="K220" s="2">
        <v>100.0</v>
      </c>
      <c r="N220" s="3">
        <f t="shared" si="2"/>
        <v>0</v>
      </c>
      <c r="P220" s="2">
        <f t="shared" si="3"/>
        <v>5</v>
      </c>
      <c r="Q220" s="2">
        <v>7.0</v>
      </c>
      <c r="R220" s="2">
        <v>10.0</v>
      </c>
      <c r="U220" s="2">
        <v>15.0</v>
      </c>
      <c r="V220" s="2">
        <v>15.0</v>
      </c>
      <c r="W220" s="2">
        <v>20.0</v>
      </c>
      <c r="AD220" s="3">
        <f t="shared" si="4"/>
        <v>0</v>
      </c>
    </row>
    <row r="221">
      <c r="A221" s="1" t="s">
        <v>590</v>
      </c>
      <c r="B221" s="1" t="s">
        <v>591</v>
      </c>
      <c r="C221" s="2" t="s">
        <v>592</v>
      </c>
      <c r="D221" s="2"/>
      <c r="E221" s="2">
        <v>27.0</v>
      </c>
      <c r="F221" s="2"/>
      <c r="G221" s="2">
        <v>6.0</v>
      </c>
      <c r="H221" s="2">
        <v>12.5</v>
      </c>
      <c r="I221" s="2">
        <v>32.0</v>
      </c>
      <c r="J221" s="3">
        <f t="shared" si="1"/>
        <v>8.180555556</v>
      </c>
      <c r="K221" s="2">
        <v>95.0</v>
      </c>
      <c r="L221" s="2">
        <v>200.0</v>
      </c>
      <c r="N221" s="3">
        <f t="shared" si="2"/>
        <v>200</v>
      </c>
      <c r="O221" s="2">
        <v>100.0</v>
      </c>
      <c r="P221" s="2">
        <f t="shared" si="3"/>
        <v>14.75</v>
      </c>
      <c r="Q221" s="2">
        <v>7.0</v>
      </c>
      <c r="R221" s="2">
        <v>7.0</v>
      </c>
      <c r="S221" s="2">
        <v>13.0</v>
      </c>
      <c r="T221" s="2">
        <v>13.0</v>
      </c>
      <c r="U221" s="2">
        <v>15.0</v>
      </c>
      <c r="V221" s="2">
        <v>15.0</v>
      </c>
      <c r="W221" s="2">
        <v>10.0</v>
      </c>
      <c r="X221" s="2">
        <v>29.0</v>
      </c>
      <c r="Y221" s="2">
        <v>29.0</v>
      </c>
      <c r="Z221" s="2">
        <v>29.0</v>
      </c>
      <c r="AA221" s="2">
        <v>27.0</v>
      </c>
      <c r="AB221" s="2">
        <v>40.0</v>
      </c>
      <c r="AC221" s="2">
        <v>320.0</v>
      </c>
      <c r="AD221" s="3">
        <f t="shared" si="4"/>
        <v>9</v>
      </c>
    </row>
    <row r="222">
      <c r="A222" s="1" t="s">
        <v>910</v>
      </c>
      <c r="B222" s="101"/>
      <c r="C222" s="2" t="s">
        <v>912</v>
      </c>
      <c r="D222" s="2"/>
      <c r="E222" s="2">
        <v>21.0</v>
      </c>
      <c r="F222" s="2"/>
      <c r="G222" s="2">
        <v>7.0</v>
      </c>
      <c r="H222" s="2">
        <v>6.0</v>
      </c>
      <c r="I222" s="2">
        <v>-1.0</v>
      </c>
      <c r="J222" s="3">
        <f t="shared" si="1"/>
        <v>3.138888889</v>
      </c>
      <c r="K222" s="2">
        <v>95.0</v>
      </c>
      <c r="L222" s="2">
        <v>190.0</v>
      </c>
      <c r="N222" s="3">
        <f t="shared" si="2"/>
        <v>190</v>
      </c>
      <c r="O222" s="2">
        <v>85.0</v>
      </c>
      <c r="P222" s="2">
        <f t="shared" si="3"/>
        <v>13.75</v>
      </c>
      <c r="Q222" s="2">
        <v>7.0</v>
      </c>
      <c r="R222" s="2">
        <v>5.0</v>
      </c>
      <c r="S222" s="2">
        <v>8.0</v>
      </c>
      <c r="T222" s="2">
        <v>14.0</v>
      </c>
      <c r="U222" s="2">
        <v>12.0</v>
      </c>
      <c r="V222" s="2">
        <v>13.0</v>
      </c>
      <c r="W222" s="2">
        <v>17.0</v>
      </c>
      <c r="X222" s="2">
        <v>29.0</v>
      </c>
      <c r="Y222" s="2">
        <v>28.0</v>
      </c>
      <c r="Z222" s="2">
        <v>28.0</v>
      </c>
      <c r="AA222" s="2">
        <v>29.0</v>
      </c>
      <c r="AB222" s="2">
        <v>0.0</v>
      </c>
      <c r="AC222" s="2">
        <v>325.0</v>
      </c>
      <c r="AD222" s="3">
        <f t="shared" si="4"/>
        <v>8.125</v>
      </c>
    </row>
    <row r="223">
      <c r="A223" s="1" t="s">
        <v>119</v>
      </c>
      <c r="B223" s="1" t="s">
        <v>120</v>
      </c>
      <c r="C223" s="2" t="s">
        <v>121</v>
      </c>
      <c r="D223" s="2"/>
      <c r="E223" s="2">
        <v>36.0</v>
      </c>
      <c r="F223" s="2"/>
      <c r="G223" s="2">
        <v>15.0</v>
      </c>
      <c r="H223" s="2">
        <v>11.0</v>
      </c>
      <c r="I223" s="2">
        <v>36.0</v>
      </c>
      <c r="J223" s="3">
        <f t="shared" si="1"/>
        <v>10.5</v>
      </c>
      <c r="K223" s="2">
        <v>100.0</v>
      </c>
      <c r="L223" s="2">
        <v>187.0</v>
      </c>
      <c r="N223" s="3">
        <f t="shared" si="2"/>
        <v>187</v>
      </c>
      <c r="O223" s="2">
        <v>89.0</v>
      </c>
      <c r="P223" s="2">
        <f t="shared" si="3"/>
        <v>14.125</v>
      </c>
      <c r="Q223" s="2">
        <v>7.0</v>
      </c>
      <c r="R223" s="2">
        <v>10.0</v>
      </c>
      <c r="S223" s="2">
        <v>14.0</v>
      </c>
      <c r="T223" s="2">
        <v>8.0</v>
      </c>
      <c r="U223" s="2">
        <v>12.0</v>
      </c>
      <c r="V223" s="2">
        <v>15.0</v>
      </c>
      <c r="W223" s="2">
        <v>17.0</v>
      </c>
      <c r="X223" s="2">
        <v>28.0</v>
      </c>
      <c r="Y223" s="2">
        <v>26.0</v>
      </c>
      <c r="Z223" s="2">
        <v>29.0</v>
      </c>
      <c r="AA223" s="2">
        <v>30.0</v>
      </c>
      <c r="AB223" s="2">
        <v>50.0</v>
      </c>
      <c r="AC223" s="2">
        <v>350.0</v>
      </c>
      <c r="AD223" s="3">
        <f t="shared" si="4"/>
        <v>10</v>
      </c>
    </row>
    <row r="224">
      <c r="A224" s="1" t="s">
        <v>901</v>
      </c>
      <c r="B224" s="1" t="s">
        <v>902</v>
      </c>
      <c r="C224" s="2" t="s">
        <v>903</v>
      </c>
      <c r="D224" s="2"/>
      <c r="E224" s="2">
        <v>29.0</v>
      </c>
      <c r="F224" s="2"/>
      <c r="G224" s="2">
        <v>14.0</v>
      </c>
      <c r="H224" s="2">
        <v>17.5</v>
      </c>
      <c r="I224" s="2">
        <v>38.0</v>
      </c>
      <c r="J224" s="3">
        <f t="shared" si="1"/>
        <v>12.09722222</v>
      </c>
      <c r="K224" s="2">
        <v>85.0</v>
      </c>
      <c r="L224" s="2">
        <v>200.0</v>
      </c>
      <c r="N224" s="3">
        <f t="shared" si="2"/>
        <v>200</v>
      </c>
      <c r="O224" s="2">
        <v>100.0</v>
      </c>
      <c r="P224" s="2">
        <f t="shared" si="3"/>
        <v>14.25</v>
      </c>
      <c r="Q224" s="2">
        <v>7.0</v>
      </c>
      <c r="R224" s="2">
        <v>9.0</v>
      </c>
      <c r="S224" s="2">
        <v>8.0</v>
      </c>
      <c r="T224" s="2">
        <v>11.0</v>
      </c>
      <c r="U224" s="2">
        <v>14.0</v>
      </c>
      <c r="V224" s="2">
        <v>15.0</v>
      </c>
      <c r="W224" s="2">
        <v>19.0</v>
      </c>
      <c r="X224" s="2">
        <v>28.0</v>
      </c>
      <c r="Y224" s="2">
        <v>30.0</v>
      </c>
      <c r="Z224" s="2">
        <v>30.0</v>
      </c>
      <c r="AA224" s="2">
        <v>30.0</v>
      </c>
      <c r="AB224" s="2">
        <v>48.0</v>
      </c>
      <c r="AC224" s="2">
        <v>350.0</v>
      </c>
      <c r="AD224" s="3">
        <f t="shared" si="4"/>
        <v>9.95</v>
      </c>
    </row>
    <row r="225">
      <c r="A225" s="1" t="s">
        <v>351</v>
      </c>
      <c r="B225" s="1" t="s">
        <v>352</v>
      </c>
      <c r="C225" s="2" t="s">
        <v>353</v>
      </c>
      <c r="D225" s="2"/>
      <c r="E225" s="2">
        <v>32.0</v>
      </c>
      <c r="F225" s="2"/>
      <c r="G225" s="2">
        <v>3.0</v>
      </c>
      <c r="H225" s="2">
        <v>18.0</v>
      </c>
      <c r="I225" s="2">
        <v>34.0</v>
      </c>
      <c r="J225" s="3">
        <f t="shared" si="1"/>
        <v>9.027777778</v>
      </c>
      <c r="K225" s="2">
        <v>100.0</v>
      </c>
      <c r="L225" s="2">
        <v>200.0</v>
      </c>
      <c r="N225" s="3">
        <f t="shared" si="2"/>
        <v>200</v>
      </c>
      <c r="O225" s="2">
        <v>100.0</v>
      </c>
      <c r="P225" s="2">
        <f t="shared" si="3"/>
        <v>15</v>
      </c>
      <c r="Q225" s="2">
        <v>7.0</v>
      </c>
      <c r="R225" s="2">
        <v>4.0</v>
      </c>
      <c r="S225" s="2">
        <v>15.0</v>
      </c>
      <c r="T225" s="2">
        <v>13.0</v>
      </c>
      <c r="U225" s="2">
        <v>14.0</v>
      </c>
      <c r="V225" s="2">
        <v>14.0</v>
      </c>
      <c r="W225" s="2">
        <v>20.0</v>
      </c>
      <c r="X225" s="2">
        <v>30.0</v>
      </c>
      <c r="Y225" s="2">
        <v>30.0</v>
      </c>
      <c r="Z225" s="2">
        <v>30.0</v>
      </c>
      <c r="AA225" s="2">
        <v>30.0</v>
      </c>
      <c r="AB225" s="2">
        <v>50.0</v>
      </c>
      <c r="AC225" s="2">
        <v>350.0</v>
      </c>
      <c r="AD225" s="3">
        <f t="shared" si="4"/>
        <v>10</v>
      </c>
    </row>
    <row r="226">
      <c r="A226" s="1" t="s">
        <v>608</v>
      </c>
      <c r="B226" s="1" t="s">
        <v>609</v>
      </c>
      <c r="C226" s="2" t="s">
        <v>610</v>
      </c>
      <c r="D226" s="2"/>
      <c r="E226" s="2">
        <v>20.0</v>
      </c>
      <c r="F226" s="2"/>
      <c r="G226" s="2">
        <v>3.0</v>
      </c>
      <c r="H226" s="2">
        <v>7.0</v>
      </c>
      <c r="I226" s="2">
        <v>27.0</v>
      </c>
      <c r="J226" s="3">
        <f t="shared" si="1"/>
        <v>5.5</v>
      </c>
      <c r="K226" s="2">
        <v>60.0</v>
      </c>
      <c r="L226" s="2">
        <v>105.0</v>
      </c>
      <c r="N226" s="3">
        <f t="shared" si="2"/>
        <v>105</v>
      </c>
      <c r="O226" s="2">
        <v>100.0</v>
      </c>
      <c r="P226" s="2">
        <f t="shared" si="3"/>
        <v>10.625</v>
      </c>
      <c r="Q226" s="2">
        <v>0.0</v>
      </c>
      <c r="R226" s="2">
        <v>2.0</v>
      </c>
      <c r="S226" s="2">
        <v>0.0</v>
      </c>
      <c r="T226" s="2">
        <v>6.0</v>
      </c>
      <c r="U226" s="2">
        <v>5.0</v>
      </c>
      <c r="V226" s="2">
        <v>0.0</v>
      </c>
      <c r="W226" s="2">
        <v>15.0</v>
      </c>
      <c r="X226" s="2">
        <v>23.0</v>
      </c>
      <c r="Y226" s="2">
        <v>24.0</v>
      </c>
      <c r="Z226" s="2">
        <v>29.0</v>
      </c>
      <c r="AA226" s="2">
        <v>28.0</v>
      </c>
      <c r="AB226" s="2">
        <v>30.0</v>
      </c>
      <c r="AC226" s="2">
        <v>335.0</v>
      </c>
      <c r="AD226" s="3">
        <f t="shared" si="4"/>
        <v>9.125</v>
      </c>
    </row>
    <row r="227">
      <c r="A227" s="1" t="s">
        <v>731</v>
      </c>
      <c r="B227" s="1" t="s">
        <v>732</v>
      </c>
      <c r="C227" s="2" t="s">
        <v>733</v>
      </c>
      <c r="D227" s="2"/>
      <c r="E227" s="2">
        <v>32.0</v>
      </c>
      <c r="F227" s="2"/>
      <c r="G227" s="2">
        <v>4.0</v>
      </c>
      <c r="H227" s="2">
        <v>11.5</v>
      </c>
      <c r="I227" s="2">
        <v>23.0</v>
      </c>
      <c r="J227" s="3">
        <f t="shared" si="1"/>
        <v>6.430555556</v>
      </c>
      <c r="K227" s="2">
        <v>100.0</v>
      </c>
      <c r="L227" s="2">
        <v>170.0</v>
      </c>
      <c r="M227" s="2">
        <v>180.0</v>
      </c>
      <c r="N227" s="3">
        <f t="shared" si="2"/>
        <v>180</v>
      </c>
      <c r="O227" s="2">
        <v>100.0</v>
      </c>
      <c r="P227" s="2">
        <f t="shared" si="3"/>
        <v>14.5</v>
      </c>
      <c r="Q227" s="2">
        <v>7.0</v>
      </c>
      <c r="R227" s="2">
        <v>9.0</v>
      </c>
      <c r="S227" s="2">
        <v>12.0</v>
      </c>
      <c r="T227" s="2">
        <v>15.0</v>
      </c>
      <c r="U227" s="2">
        <v>15.0</v>
      </c>
      <c r="V227" s="2">
        <v>12.0</v>
      </c>
      <c r="W227" s="2">
        <v>20.0</v>
      </c>
      <c r="X227" s="2">
        <v>30.0</v>
      </c>
      <c r="Y227" s="2">
        <v>28.0</v>
      </c>
      <c r="Z227" s="2">
        <v>29.0</v>
      </c>
      <c r="AA227" s="2">
        <v>28.0</v>
      </c>
      <c r="AB227" s="2">
        <v>30.0</v>
      </c>
      <c r="AC227" s="2">
        <v>340.0</v>
      </c>
      <c r="AD227" s="3">
        <f t="shared" si="4"/>
        <v>9.25</v>
      </c>
    </row>
    <row r="228">
      <c r="A228" s="1" t="s">
        <v>497</v>
      </c>
      <c r="B228" s="1" t="s">
        <v>498</v>
      </c>
      <c r="C228" s="2" t="s">
        <v>499</v>
      </c>
      <c r="D228" s="2"/>
      <c r="E228" s="2">
        <v>22.0</v>
      </c>
      <c r="F228" s="2"/>
      <c r="G228" s="2">
        <v>12.0</v>
      </c>
      <c r="H228" s="2">
        <v>17.0</v>
      </c>
      <c r="I228" s="2">
        <v>30.0</v>
      </c>
      <c r="J228" s="3">
        <f t="shared" si="1"/>
        <v>10.58333333</v>
      </c>
      <c r="K228" s="2">
        <v>85.0</v>
      </c>
      <c r="L228" s="2">
        <v>180.0</v>
      </c>
      <c r="N228" s="3">
        <f t="shared" si="2"/>
        <v>180</v>
      </c>
      <c r="O228" s="2">
        <v>97.0</v>
      </c>
      <c r="P228" s="2">
        <f t="shared" si="3"/>
        <v>13.6</v>
      </c>
      <c r="Q228" s="2">
        <v>6.0</v>
      </c>
      <c r="R228" s="2">
        <v>8.0</v>
      </c>
      <c r="S228" s="2">
        <v>7.0</v>
      </c>
      <c r="T228" s="2">
        <v>9.0</v>
      </c>
      <c r="U228" s="2">
        <v>13.0</v>
      </c>
      <c r="V228" s="2">
        <v>14.0</v>
      </c>
      <c r="W228" s="2">
        <v>18.0</v>
      </c>
      <c r="X228" s="2">
        <v>27.0</v>
      </c>
      <c r="Y228" s="2">
        <v>28.0</v>
      </c>
      <c r="Z228" s="2">
        <v>29.0</v>
      </c>
      <c r="AA228" s="2">
        <v>29.0</v>
      </c>
      <c r="AB228" s="2">
        <v>50.0</v>
      </c>
      <c r="AC228" s="2">
        <v>346.0</v>
      </c>
      <c r="AD228" s="3">
        <f t="shared" si="4"/>
        <v>9.9</v>
      </c>
    </row>
    <row r="229">
      <c r="A229" s="1" t="s">
        <v>64</v>
      </c>
      <c r="B229" s="1" t="s">
        <v>65</v>
      </c>
      <c r="C229" s="2" t="s">
        <v>66</v>
      </c>
      <c r="D229" s="2"/>
      <c r="E229" s="2">
        <v>28.0</v>
      </c>
      <c r="F229" s="2"/>
      <c r="G229" s="2">
        <v>8.0</v>
      </c>
      <c r="H229" s="2">
        <v>8.0</v>
      </c>
      <c r="I229" s="2">
        <v>29.0</v>
      </c>
      <c r="J229" s="3">
        <f t="shared" si="1"/>
        <v>7.222222222</v>
      </c>
      <c r="K229" s="2">
        <v>80.0</v>
      </c>
      <c r="L229" s="2">
        <v>180.0</v>
      </c>
      <c r="N229" s="3">
        <f t="shared" si="2"/>
        <v>180</v>
      </c>
      <c r="O229" s="2">
        <v>91.0</v>
      </c>
      <c r="P229" s="2">
        <f t="shared" si="3"/>
        <v>13.05</v>
      </c>
      <c r="Q229" s="2">
        <v>6.0</v>
      </c>
      <c r="R229" s="2">
        <v>5.0</v>
      </c>
      <c r="S229" s="2">
        <v>14.0</v>
      </c>
      <c r="T229" s="2">
        <v>8.0</v>
      </c>
      <c r="U229" s="2">
        <v>13.0</v>
      </c>
      <c r="V229" s="2">
        <v>14.0</v>
      </c>
      <c r="W229" s="2">
        <v>19.0</v>
      </c>
      <c r="X229" s="2">
        <v>30.0</v>
      </c>
      <c r="Z229" s="2">
        <v>28.0</v>
      </c>
      <c r="AA229" s="2">
        <v>28.0</v>
      </c>
      <c r="AB229" s="2">
        <v>30.0</v>
      </c>
      <c r="AC229" s="2">
        <v>330.0</v>
      </c>
      <c r="AD229" s="3">
        <f t="shared" si="4"/>
        <v>9</v>
      </c>
    </row>
    <row r="230">
      <c r="A230" s="1" t="s">
        <v>1028</v>
      </c>
      <c r="B230" s="101"/>
      <c r="C230" s="2" t="s">
        <v>1030</v>
      </c>
      <c r="D230" s="2"/>
      <c r="E230" s="2">
        <v>28.0</v>
      </c>
      <c r="F230" s="2"/>
      <c r="G230" s="2">
        <v>17.0</v>
      </c>
      <c r="H230" s="2">
        <v>14.0</v>
      </c>
      <c r="I230" s="2">
        <v>31.0</v>
      </c>
      <c r="J230" s="3">
        <f t="shared" si="1"/>
        <v>11.19444444</v>
      </c>
      <c r="K230" s="2">
        <v>95.0</v>
      </c>
      <c r="L230" s="2">
        <v>176.0</v>
      </c>
      <c r="N230" s="3">
        <f t="shared" si="2"/>
        <v>176</v>
      </c>
      <c r="O230" s="2">
        <v>94.0</v>
      </c>
      <c r="P230" s="2">
        <f t="shared" si="3"/>
        <v>13.85</v>
      </c>
      <c r="R230" s="2">
        <v>4.0</v>
      </c>
      <c r="S230" s="2">
        <v>9.0</v>
      </c>
      <c r="T230" s="2">
        <v>12.0</v>
      </c>
      <c r="W230" s="2">
        <v>17.0</v>
      </c>
      <c r="X230" s="2">
        <v>30.0</v>
      </c>
      <c r="Y230" s="2">
        <v>24.0</v>
      </c>
      <c r="Z230" s="2">
        <v>28.0</v>
      </c>
      <c r="AB230" s="2">
        <v>50.0</v>
      </c>
      <c r="AC230" s="2">
        <v>310.0</v>
      </c>
      <c r="AD230" s="3">
        <f t="shared" si="4"/>
        <v>9</v>
      </c>
    </row>
    <row r="231">
      <c r="A231" s="1" t="s">
        <v>638</v>
      </c>
      <c r="B231" s="1" t="s">
        <v>639</v>
      </c>
      <c r="C231" s="2" t="s">
        <v>640</v>
      </c>
      <c r="D231" s="2"/>
      <c r="E231" s="2">
        <v>31.0</v>
      </c>
      <c r="F231" s="2"/>
      <c r="G231" s="2">
        <v>13.0</v>
      </c>
      <c r="H231" s="2">
        <v>18.5</v>
      </c>
      <c r="I231" s="2">
        <v>28.0</v>
      </c>
      <c r="J231" s="3">
        <f t="shared" si="1"/>
        <v>10.98611111</v>
      </c>
      <c r="K231" s="2">
        <v>100.0</v>
      </c>
      <c r="L231" s="2">
        <v>200.0</v>
      </c>
      <c r="N231" s="3">
        <f t="shared" si="2"/>
        <v>200</v>
      </c>
      <c r="O231" s="2">
        <v>90.0</v>
      </c>
      <c r="P231" s="2">
        <f t="shared" si="3"/>
        <v>14.5</v>
      </c>
      <c r="Q231" s="2">
        <v>7.0</v>
      </c>
      <c r="R231" s="2">
        <v>8.0</v>
      </c>
      <c r="S231" s="2">
        <v>15.0</v>
      </c>
      <c r="T231" s="2">
        <v>15.0</v>
      </c>
      <c r="U231" s="2">
        <v>15.0</v>
      </c>
      <c r="V231" s="2">
        <v>15.0</v>
      </c>
      <c r="W231" s="2">
        <v>20.0</v>
      </c>
      <c r="X231" s="2">
        <v>30.0</v>
      </c>
      <c r="Y231" s="2">
        <v>28.0</v>
      </c>
      <c r="Z231" s="2">
        <v>29.0</v>
      </c>
      <c r="AA231" s="2">
        <v>30.0</v>
      </c>
      <c r="AB231" s="2">
        <v>40.0</v>
      </c>
      <c r="AC231" s="2">
        <v>340.0</v>
      </c>
      <c r="AD231" s="3">
        <f t="shared" si="4"/>
        <v>9.5</v>
      </c>
    </row>
    <row r="232">
      <c r="A232" s="1" t="s">
        <v>895</v>
      </c>
      <c r="B232" s="1" t="s">
        <v>896</v>
      </c>
      <c r="C232" s="2" t="s">
        <v>897</v>
      </c>
      <c r="D232" s="2"/>
      <c r="E232" s="2">
        <v>34.0</v>
      </c>
      <c r="F232" s="2"/>
      <c r="G232" s="2">
        <v>18.0</v>
      </c>
      <c r="H232" s="2">
        <v>20.0</v>
      </c>
      <c r="I232" s="2">
        <v>33.0</v>
      </c>
      <c r="J232" s="3">
        <f t="shared" si="1"/>
        <v>13.16666667</v>
      </c>
      <c r="K232" s="2">
        <v>100.0</v>
      </c>
      <c r="L232" s="2">
        <v>200.0</v>
      </c>
      <c r="N232" s="3">
        <f t="shared" si="2"/>
        <v>200</v>
      </c>
      <c r="O232" s="2">
        <v>100.0</v>
      </c>
      <c r="P232" s="2">
        <f t="shared" si="3"/>
        <v>15</v>
      </c>
      <c r="Q232" s="2">
        <v>7.0</v>
      </c>
      <c r="R232" s="2">
        <v>7.0</v>
      </c>
      <c r="S232" s="2">
        <v>10.0</v>
      </c>
      <c r="T232" s="2">
        <v>15.0</v>
      </c>
      <c r="U232" s="2">
        <v>14.0</v>
      </c>
      <c r="V232" s="2">
        <v>14.0</v>
      </c>
      <c r="W232" s="2">
        <v>20.0</v>
      </c>
      <c r="X232" s="2">
        <v>30.0</v>
      </c>
      <c r="Y232" s="2">
        <v>30.0</v>
      </c>
      <c r="Z232" s="2">
        <v>30.0</v>
      </c>
      <c r="AA232" s="2">
        <v>30.0</v>
      </c>
      <c r="AB232" s="2">
        <v>50.0</v>
      </c>
      <c r="AC232" s="2">
        <v>350.0</v>
      </c>
      <c r="AD232" s="3">
        <f t="shared" si="4"/>
        <v>10</v>
      </c>
    </row>
    <row r="233">
      <c r="A233" s="1" t="s">
        <v>512</v>
      </c>
      <c r="B233" s="1" t="s">
        <v>513</v>
      </c>
      <c r="C233" s="2" t="s">
        <v>514</v>
      </c>
      <c r="D233" s="2"/>
      <c r="E233" s="2">
        <v>21.0</v>
      </c>
      <c r="F233" s="2"/>
      <c r="G233" s="2">
        <v>4.0</v>
      </c>
      <c r="H233" s="2">
        <v>7.0</v>
      </c>
      <c r="I233" s="2">
        <v>23.0</v>
      </c>
      <c r="J233" s="3">
        <f t="shared" si="1"/>
        <v>5.305555556</v>
      </c>
      <c r="K233" s="2">
        <v>80.0</v>
      </c>
      <c r="L233" s="2">
        <v>165.0</v>
      </c>
      <c r="M233" s="2">
        <v>170.0</v>
      </c>
      <c r="N233" s="3">
        <f t="shared" si="2"/>
        <v>170</v>
      </c>
      <c r="O233" s="2">
        <v>98.0</v>
      </c>
      <c r="P233" s="2">
        <f t="shared" si="3"/>
        <v>13.15</v>
      </c>
      <c r="Q233" s="2">
        <v>2.0</v>
      </c>
      <c r="R233" s="2">
        <v>4.0</v>
      </c>
      <c r="S233" s="2">
        <v>0.0</v>
      </c>
      <c r="T233" s="2">
        <v>11.0</v>
      </c>
      <c r="U233" s="2">
        <v>14.0</v>
      </c>
      <c r="V233" s="2">
        <v>10.0</v>
      </c>
      <c r="W233" s="2">
        <v>20.0</v>
      </c>
      <c r="X233" s="2">
        <v>25.0</v>
      </c>
      <c r="Y233" s="2">
        <v>27.0</v>
      </c>
      <c r="Z233" s="2">
        <v>28.0</v>
      </c>
      <c r="AA233" s="2">
        <v>28.0</v>
      </c>
      <c r="AB233" s="2">
        <v>50.0</v>
      </c>
      <c r="AC233" s="2">
        <v>345.0</v>
      </c>
      <c r="AD233" s="3">
        <f t="shared" si="4"/>
        <v>9.875</v>
      </c>
    </row>
    <row r="234">
      <c r="A234" s="1" t="s">
        <v>823</v>
      </c>
      <c r="B234" s="1" t="s">
        <v>824</v>
      </c>
      <c r="C234" s="2" t="s">
        <v>825</v>
      </c>
      <c r="D234" s="2"/>
      <c r="E234" s="2">
        <v>27.0</v>
      </c>
      <c r="F234" s="2"/>
      <c r="G234" s="2">
        <v>7.0</v>
      </c>
      <c r="H234" s="2">
        <v>11.0</v>
      </c>
      <c r="I234" s="2">
        <v>38.0</v>
      </c>
      <c r="J234" s="3">
        <f t="shared" si="1"/>
        <v>8.722222222</v>
      </c>
      <c r="K234" s="2">
        <v>90.0</v>
      </c>
      <c r="L234" s="2">
        <v>150.0</v>
      </c>
      <c r="M234" s="2">
        <v>195.0</v>
      </c>
      <c r="N234" s="3">
        <f t="shared" si="2"/>
        <v>195</v>
      </c>
      <c r="P234" s="2">
        <f t="shared" si="3"/>
        <v>9.375</v>
      </c>
      <c r="Q234" s="2">
        <v>7.0</v>
      </c>
      <c r="R234" s="2">
        <v>4.0</v>
      </c>
      <c r="T234" s="2">
        <v>13.0</v>
      </c>
      <c r="U234" s="2">
        <v>14.5</v>
      </c>
      <c r="V234" s="2">
        <v>11.0</v>
      </c>
      <c r="W234" s="2">
        <v>20.0</v>
      </c>
      <c r="X234" s="2">
        <v>27.0</v>
      </c>
      <c r="Z234" s="2">
        <v>30.0</v>
      </c>
      <c r="AB234" s="2">
        <v>50.0</v>
      </c>
      <c r="AC234" s="2">
        <v>350.0</v>
      </c>
      <c r="AD234" s="3">
        <f t="shared" si="4"/>
        <v>10</v>
      </c>
    </row>
    <row r="235">
      <c r="A235" s="1" t="s">
        <v>494</v>
      </c>
      <c r="B235" s="1" t="s">
        <v>495</v>
      </c>
      <c r="C235" s="2" t="s">
        <v>496</v>
      </c>
      <c r="D235" s="2"/>
      <c r="E235" s="2">
        <v>20.0</v>
      </c>
      <c r="F235" s="2"/>
      <c r="G235" s="2">
        <v>7.0</v>
      </c>
      <c r="H235" s="2">
        <v>0.0</v>
      </c>
      <c r="I235" s="2">
        <v>21.0</v>
      </c>
      <c r="J235" s="3">
        <f t="shared" si="1"/>
        <v>4.083333333</v>
      </c>
      <c r="K235" s="2">
        <v>84.0</v>
      </c>
      <c r="L235" s="2">
        <v>0.0</v>
      </c>
      <c r="N235" s="3">
        <f t="shared" si="2"/>
        <v>0</v>
      </c>
      <c r="O235" s="2">
        <v>97.0</v>
      </c>
      <c r="P235" s="2">
        <f t="shared" si="3"/>
        <v>9.05</v>
      </c>
      <c r="Q235" s="2">
        <v>7.0</v>
      </c>
      <c r="R235" s="2">
        <v>9.0</v>
      </c>
      <c r="S235" s="2">
        <v>7.0</v>
      </c>
      <c r="T235" s="2">
        <v>10.0</v>
      </c>
      <c r="U235" s="2">
        <v>13.0</v>
      </c>
      <c r="V235" s="2">
        <v>12.0</v>
      </c>
      <c r="W235" s="2">
        <v>18.0</v>
      </c>
      <c r="X235" s="2">
        <v>0.0</v>
      </c>
      <c r="Y235" s="2">
        <v>0.0</v>
      </c>
      <c r="Z235" s="2">
        <v>29.0</v>
      </c>
      <c r="AB235" s="2">
        <v>0.0</v>
      </c>
      <c r="AC235" s="2">
        <v>343.0</v>
      </c>
      <c r="AD235" s="3">
        <f t="shared" si="4"/>
        <v>8.575</v>
      </c>
    </row>
    <row r="236">
      <c r="A236" s="1" t="s">
        <v>829</v>
      </c>
      <c r="B236" s="101"/>
      <c r="C236" s="2" t="s">
        <v>831</v>
      </c>
      <c r="D236" s="2"/>
      <c r="E236" s="2">
        <v>31.0</v>
      </c>
      <c r="F236" s="2"/>
      <c r="G236" s="2">
        <v>16.0</v>
      </c>
      <c r="H236" s="2">
        <v>18.0</v>
      </c>
      <c r="I236" s="2">
        <v>39.0</v>
      </c>
      <c r="J236" s="3">
        <f t="shared" si="1"/>
        <v>12.83333333</v>
      </c>
      <c r="K236" s="2">
        <v>98.0</v>
      </c>
      <c r="L236" s="2">
        <v>160.0</v>
      </c>
      <c r="M236" s="2">
        <v>195.0</v>
      </c>
      <c r="N236" s="3">
        <f t="shared" si="2"/>
        <v>195</v>
      </c>
      <c r="O236" s="2">
        <v>100.0</v>
      </c>
      <c r="P236" s="2">
        <f t="shared" si="3"/>
        <v>14.775</v>
      </c>
      <c r="Q236" s="2">
        <v>7.0</v>
      </c>
      <c r="R236" s="2">
        <v>9.0</v>
      </c>
      <c r="S236" s="2">
        <v>15.0</v>
      </c>
      <c r="T236" s="2">
        <v>14.5</v>
      </c>
      <c r="U236" s="2">
        <v>15.0</v>
      </c>
      <c r="V236" s="2">
        <v>14.0</v>
      </c>
      <c r="W236" s="2">
        <v>20.0</v>
      </c>
      <c r="X236" s="2">
        <v>29.0</v>
      </c>
      <c r="Y236" s="2">
        <v>27.0</v>
      </c>
      <c r="Z236" s="2">
        <v>30.0</v>
      </c>
      <c r="AB236" s="2">
        <v>50.0</v>
      </c>
      <c r="AC236" s="2">
        <v>350.0</v>
      </c>
      <c r="AD236" s="3">
        <f t="shared" si="4"/>
        <v>10</v>
      </c>
    </row>
    <row r="237">
      <c r="A237" s="1" t="s">
        <v>396</v>
      </c>
      <c r="B237" s="1" t="s">
        <v>397</v>
      </c>
      <c r="C237" s="2" t="s">
        <v>398</v>
      </c>
      <c r="D237" s="2"/>
      <c r="E237" s="2">
        <v>10.0</v>
      </c>
      <c r="F237" s="2"/>
      <c r="G237" s="2">
        <v>4.0</v>
      </c>
      <c r="H237" s="2">
        <v>17.5</v>
      </c>
      <c r="I237" s="2">
        <v>19.0</v>
      </c>
      <c r="J237" s="3">
        <f t="shared" si="1"/>
        <v>7.486111111</v>
      </c>
      <c r="K237" s="2">
        <v>100.0</v>
      </c>
      <c r="L237" s="2">
        <v>185.0</v>
      </c>
      <c r="N237" s="3">
        <f t="shared" si="2"/>
        <v>185</v>
      </c>
      <c r="O237" s="2">
        <v>95.0</v>
      </c>
      <c r="P237" s="2">
        <f t="shared" si="3"/>
        <v>14.375</v>
      </c>
      <c r="R237" s="2">
        <v>5.0</v>
      </c>
      <c r="S237" s="2">
        <v>0.0</v>
      </c>
      <c r="T237" s="2">
        <v>5.0</v>
      </c>
      <c r="U237" s="2">
        <v>0.0</v>
      </c>
      <c r="V237" s="2">
        <v>0.0</v>
      </c>
      <c r="W237" s="2">
        <v>0.0</v>
      </c>
      <c r="X237" s="2">
        <v>13.0</v>
      </c>
      <c r="Y237" s="2">
        <v>30.0</v>
      </c>
      <c r="Z237" s="2">
        <v>28.0</v>
      </c>
      <c r="AB237" s="2">
        <v>49.0</v>
      </c>
      <c r="AC237" s="2">
        <v>346.0</v>
      </c>
      <c r="AD237" s="3">
        <f t="shared" si="4"/>
        <v>9.875</v>
      </c>
    </row>
    <row r="238">
      <c r="A238" s="1" t="s">
        <v>524</v>
      </c>
      <c r="B238" s="1" t="s">
        <v>525</v>
      </c>
      <c r="C238" s="2" t="s">
        <v>526</v>
      </c>
      <c r="D238" s="2"/>
      <c r="E238" s="2">
        <v>22.0</v>
      </c>
      <c r="F238" s="2"/>
      <c r="G238" s="2">
        <v>7.0</v>
      </c>
      <c r="H238" s="2">
        <v>12.5</v>
      </c>
      <c r="I238" s="2">
        <v>34.0</v>
      </c>
      <c r="J238" s="3">
        <f t="shared" si="1"/>
        <v>8.652777778</v>
      </c>
      <c r="K238" s="2">
        <v>92.0</v>
      </c>
      <c r="L238" s="2">
        <v>195.0</v>
      </c>
      <c r="N238" s="3">
        <f t="shared" si="2"/>
        <v>195</v>
      </c>
      <c r="O238" s="2">
        <v>98.0</v>
      </c>
      <c r="P238" s="2">
        <f t="shared" si="3"/>
        <v>14.375</v>
      </c>
      <c r="Q238" s="2">
        <v>6.0</v>
      </c>
      <c r="R238" s="2">
        <v>2.0</v>
      </c>
      <c r="S238" s="2">
        <v>10.0</v>
      </c>
      <c r="T238" s="2">
        <v>12.0</v>
      </c>
      <c r="U238" s="2">
        <v>14.0</v>
      </c>
      <c r="V238" s="2">
        <v>10.0</v>
      </c>
      <c r="W238" s="2">
        <v>19.5</v>
      </c>
      <c r="X238" s="2">
        <v>20.0</v>
      </c>
      <c r="Y238" s="2">
        <v>28.0</v>
      </c>
      <c r="Z238" s="2">
        <v>28.0</v>
      </c>
      <c r="AA238" s="2">
        <v>29.0</v>
      </c>
      <c r="AB238" s="2">
        <v>45.0</v>
      </c>
      <c r="AC238" s="2">
        <v>342.0</v>
      </c>
      <c r="AD238" s="3">
        <f t="shared" si="4"/>
        <v>9.675</v>
      </c>
    </row>
    <row r="239">
      <c r="A239" s="1" t="s">
        <v>557</v>
      </c>
      <c r="B239" s="1" t="s">
        <v>558</v>
      </c>
      <c r="C239" s="2" t="s">
        <v>559</v>
      </c>
      <c r="D239" s="2"/>
      <c r="E239" s="2">
        <v>9.0</v>
      </c>
      <c r="F239" s="2"/>
      <c r="G239" s="2">
        <v>2.0</v>
      </c>
      <c r="H239" s="2">
        <v>9.0</v>
      </c>
      <c r="I239" s="2">
        <v>15.0</v>
      </c>
      <c r="J239" s="3">
        <f t="shared" si="1"/>
        <v>4.416666667</v>
      </c>
      <c r="K239" s="2">
        <v>90.0</v>
      </c>
      <c r="L239" s="2">
        <v>95.0</v>
      </c>
      <c r="N239" s="3">
        <f t="shared" si="2"/>
        <v>95</v>
      </c>
      <c r="O239" s="2">
        <v>97.0</v>
      </c>
      <c r="P239" s="2">
        <f t="shared" si="3"/>
        <v>11.725</v>
      </c>
      <c r="Q239" s="2">
        <v>5.0</v>
      </c>
      <c r="R239" s="2">
        <v>0.0</v>
      </c>
      <c r="S239" s="2">
        <v>7.0</v>
      </c>
      <c r="T239" s="2">
        <v>6.0</v>
      </c>
      <c r="U239" s="2">
        <v>0.0</v>
      </c>
      <c r="V239" s="2">
        <v>13.5</v>
      </c>
      <c r="W239" s="2">
        <v>19.5</v>
      </c>
      <c r="X239" s="2">
        <v>0.0</v>
      </c>
      <c r="Y239" s="2">
        <v>28.0</v>
      </c>
      <c r="Z239" s="2">
        <v>29.0</v>
      </c>
      <c r="AA239" s="2">
        <v>27.0</v>
      </c>
      <c r="AB239" s="2">
        <v>45.0</v>
      </c>
      <c r="AC239" s="2">
        <v>342.0</v>
      </c>
      <c r="AD239" s="3">
        <f t="shared" si="4"/>
        <v>9.675</v>
      </c>
    </row>
    <row r="240">
      <c r="A240" s="1" t="s">
        <v>244</v>
      </c>
      <c r="B240" s="1" t="s">
        <v>245</v>
      </c>
      <c r="C240" s="2" t="s">
        <v>246</v>
      </c>
      <c r="D240" s="2"/>
      <c r="E240" s="2">
        <v>28.0</v>
      </c>
      <c r="F240" s="2"/>
      <c r="G240" s="2">
        <v>16.0</v>
      </c>
      <c r="H240" s="2">
        <v>16.5</v>
      </c>
      <c r="I240" s="2">
        <v>35.0</v>
      </c>
      <c r="J240" s="3">
        <f t="shared" si="1"/>
        <v>12.01388889</v>
      </c>
      <c r="K240" s="2">
        <v>100.0</v>
      </c>
      <c r="L240" s="2">
        <v>190.0</v>
      </c>
      <c r="N240" s="3">
        <f t="shared" si="2"/>
        <v>190</v>
      </c>
      <c r="O240" s="2">
        <v>90.0</v>
      </c>
      <c r="P240" s="2">
        <f t="shared" si="3"/>
        <v>14.25</v>
      </c>
      <c r="Q240" s="2">
        <v>7.0</v>
      </c>
      <c r="R240" s="2">
        <v>6.0</v>
      </c>
      <c r="S240" s="2">
        <v>12.0</v>
      </c>
      <c r="T240" s="2">
        <v>10.0</v>
      </c>
      <c r="U240" s="2">
        <v>15.0</v>
      </c>
      <c r="V240" s="2">
        <v>14.0</v>
      </c>
      <c r="W240" s="2">
        <v>20.0</v>
      </c>
      <c r="X240" s="2">
        <v>24.0</v>
      </c>
      <c r="Y240" s="2">
        <v>26.0</v>
      </c>
      <c r="Z240" s="2">
        <v>28.0</v>
      </c>
      <c r="AA240" s="2">
        <v>28.0</v>
      </c>
      <c r="AB240" s="2">
        <v>0.0</v>
      </c>
      <c r="AC240" s="2">
        <v>310.0</v>
      </c>
      <c r="AD240" s="3">
        <f t="shared" si="4"/>
        <v>7.75</v>
      </c>
    </row>
    <row r="241">
      <c r="A241" s="1" t="s">
        <v>333</v>
      </c>
      <c r="B241" s="1" t="s">
        <v>334</v>
      </c>
      <c r="C241" s="2" t="s">
        <v>335</v>
      </c>
      <c r="D241" s="2"/>
      <c r="E241" s="2">
        <v>27.0</v>
      </c>
      <c r="F241" s="2"/>
      <c r="G241" s="2">
        <v>13.0</v>
      </c>
      <c r="H241" s="2">
        <v>15.0</v>
      </c>
      <c r="I241" s="2">
        <v>33.0</v>
      </c>
      <c r="J241" s="3">
        <f t="shared" si="1"/>
        <v>10.66666667</v>
      </c>
      <c r="K241" s="2">
        <v>100.0</v>
      </c>
      <c r="L241" s="2">
        <v>165.0</v>
      </c>
      <c r="M241" s="2">
        <v>200.0</v>
      </c>
      <c r="N241" s="3">
        <f t="shared" si="2"/>
        <v>200</v>
      </c>
      <c r="O241" s="2">
        <v>100.0</v>
      </c>
      <c r="P241" s="2">
        <f t="shared" si="3"/>
        <v>15</v>
      </c>
      <c r="Q241" s="2">
        <v>7.0</v>
      </c>
      <c r="R241" s="2">
        <v>5.0</v>
      </c>
      <c r="S241" s="2">
        <v>15.0</v>
      </c>
      <c r="T241" s="2">
        <v>15.0</v>
      </c>
      <c r="U241" s="2">
        <v>12.0</v>
      </c>
      <c r="V241" s="2">
        <v>14.0</v>
      </c>
      <c r="W241" s="2">
        <v>20.0</v>
      </c>
      <c r="X241" s="2">
        <v>30.0</v>
      </c>
      <c r="Y241" s="2">
        <v>30.0</v>
      </c>
      <c r="Z241" s="2">
        <v>30.0</v>
      </c>
      <c r="AA241" s="2">
        <v>30.0</v>
      </c>
      <c r="AB241" s="2">
        <v>50.0</v>
      </c>
      <c r="AC241" s="2">
        <v>350.0</v>
      </c>
      <c r="AD241" s="3">
        <f t="shared" si="4"/>
        <v>10</v>
      </c>
    </row>
    <row r="242">
      <c r="A242" s="1" t="s">
        <v>728</v>
      </c>
      <c r="B242" s="1" t="s">
        <v>729</v>
      </c>
      <c r="C242" s="2" t="s">
        <v>730</v>
      </c>
      <c r="D242" s="2"/>
      <c r="E242" s="2">
        <v>27.0</v>
      </c>
      <c r="F242" s="2"/>
      <c r="G242" s="2">
        <v>9.0</v>
      </c>
      <c r="H242" s="2">
        <v>17.0</v>
      </c>
      <c r="I242" s="2">
        <v>39.0</v>
      </c>
      <c r="J242" s="3">
        <f t="shared" si="1"/>
        <v>10.83333333</v>
      </c>
      <c r="K242" s="2">
        <v>100.0</v>
      </c>
      <c r="L242" s="2">
        <v>200.0</v>
      </c>
      <c r="N242" s="3">
        <f t="shared" si="2"/>
        <v>200</v>
      </c>
      <c r="O242" s="2">
        <v>100.0</v>
      </c>
      <c r="P242" s="2">
        <f t="shared" si="3"/>
        <v>15</v>
      </c>
      <c r="Q242" s="2">
        <v>6.0</v>
      </c>
      <c r="R242" s="2">
        <v>7.0</v>
      </c>
      <c r="S242" s="2">
        <v>11.0</v>
      </c>
      <c r="T242" s="2">
        <v>10.0</v>
      </c>
      <c r="U242" s="2">
        <v>15.0</v>
      </c>
      <c r="V242" s="2">
        <v>15.0</v>
      </c>
      <c r="W242" s="2">
        <v>20.0</v>
      </c>
      <c r="X242" s="2">
        <v>30.0</v>
      </c>
      <c r="Y242" s="2">
        <v>30.0</v>
      </c>
      <c r="Z242" s="2">
        <v>30.0</v>
      </c>
      <c r="AA242" s="2">
        <v>30.0</v>
      </c>
      <c r="AB242" s="2">
        <v>40.0</v>
      </c>
      <c r="AC242" s="2">
        <v>330.0</v>
      </c>
      <c r="AD242" s="3">
        <f t="shared" si="4"/>
        <v>9.25</v>
      </c>
    </row>
    <row r="243">
      <c r="A243" s="1" t="s">
        <v>450</v>
      </c>
      <c r="B243" s="1" t="s">
        <v>451</v>
      </c>
      <c r="C243" s="2" t="s">
        <v>452</v>
      </c>
      <c r="D243" s="2"/>
      <c r="E243" s="2">
        <v>37.0</v>
      </c>
      <c r="F243" s="2"/>
      <c r="G243" s="2">
        <v>17.0</v>
      </c>
      <c r="H243" s="2">
        <v>20.0</v>
      </c>
      <c r="I243" s="2">
        <v>42.0</v>
      </c>
      <c r="J243" s="3">
        <f t="shared" si="1"/>
        <v>13.91666667</v>
      </c>
      <c r="K243" s="2">
        <v>100.0</v>
      </c>
      <c r="L243" s="2">
        <v>200.0</v>
      </c>
      <c r="N243" s="3">
        <f t="shared" si="2"/>
        <v>200</v>
      </c>
      <c r="O243" s="2">
        <v>95.0</v>
      </c>
      <c r="P243" s="2">
        <f t="shared" si="3"/>
        <v>14.75</v>
      </c>
      <c r="Q243" s="2">
        <v>6.0</v>
      </c>
      <c r="R243" s="2">
        <v>9.0</v>
      </c>
      <c r="S243" s="2">
        <v>12.0</v>
      </c>
      <c r="T243" s="2">
        <v>10.0</v>
      </c>
      <c r="U243" s="2">
        <v>14.0</v>
      </c>
      <c r="V243" s="2">
        <v>14.0</v>
      </c>
      <c r="W243" s="2">
        <v>19.0</v>
      </c>
      <c r="X243" s="2">
        <v>30.0</v>
      </c>
      <c r="Y243" s="2">
        <v>27.0</v>
      </c>
      <c r="Z243" s="2">
        <v>30.0</v>
      </c>
      <c r="AA243" s="2">
        <v>30.0</v>
      </c>
      <c r="AB243" s="2">
        <v>43.0</v>
      </c>
      <c r="AC243" s="2">
        <v>343.0</v>
      </c>
      <c r="AD243" s="3">
        <f t="shared" si="4"/>
        <v>9.65</v>
      </c>
    </row>
    <row r="244">
      <c r="A244" s="1" t="s">
        <v>47</v>
      </c>
      <c r="B244" s="1" t="s">
        <v>48</v>
      </c>
      <c r="C244" s="2" t="s">
        <v>49</v>
      </c>
      <c r="D244" s="2"/>
      <c r="E244" s="2">
        <v>35.0</v>
      </c>
      <c r="F244" s="2"/>
      <c r="G244" s="2">
        <v>17.0</v>
      </c>
      <c r="H244" s="2">
        <v>17.0</v>
      </c>
      <c r="I244" s="2">
        <v>34.0</v>
      </c>
      <c r="J244" s="3">
        <f t="shared" si="1"/>
        <v>12.27777778</v>
      </c>
      <c r="K244" s="2">
        <v>76.0</v>
      </c>
      <c r="L244" s="2">
        <v>190.0</v>
      </c>
      <c r="N244" s="3">
        <f t="shared" si="2"/>
        <v>190</v>
      </c>
      <c r="O244" s="2">
        <v>89.0</v>
      </c>
      <c r="P244" s="2">
        <f t="shared" si="3"/>
        <v>13</v>
      </c>
      <c r="Q244" s="2">
        <v>7.0</v>
      </c>
      <c r="R244" s="2">
        <v>7.0</v>
      </c>
      <c r="S244" s="2">
        <v>14.0</v>
      </c>
      <c r="T244" s="2">
        <v>0.0</v>
      </c>
      <c r="U244" s="2">
        <v>14.0</v>
      </c>
      <c r="V244" s="2">
        <v>14.0</v>
      </c>
      <c r="W244" s="2">
        <v>0.0</v>
      </c>
      <c r="X244" s="2">
        <v>30.0</v>
      </c>
      <c r="Y244" s="2">
        <v>26.0</v>
      </c>
      <c r="Z244" s="2">
        <v>29.0</v>
      </c>
      <c r="AA244" s="2">
        <v>28.0</v>
      </c>
      <c r="AB244" s="2">
        <v>30.0</v>
      </c>
      <c r="AC244" s="2">
        <v>340.0</v>
      </c>
      <c r="AD244" s="3">
        <f t="shared" si="4"/>
        <v>9.25</v>
      </c>
    </row>
    <row r="245">
      <c r="A245" s="1" t="s">
        <v>98</v>
      </c>
      <c r="B245" s="1" t="s">
        <v>99</v>
      </c>
      <c r="C245" s="2" t="s">
        <v>100</v>
      </c>
      <c r="D245" s="2"/>
      <c r="E245" s="2">
        <v>31.0</v>
      </c>
      <c r="F245" s="2"/>
      <c r="G245" s="2">
        <v>16.0</v>
      </c>
      <c r="H245" s="2">
        <v>17.0</v>
      </c>
      <c r="I245" s="2">
        <v>40.0</v>
      </c>
      <c r="J245" s="3">
        <f t="shared" si="1"/>
        <v>12.69444444</v>
      </c>
      <c r="K245" s="2">
        <v>100.0</v>
      </c>
      <c r="L245" s="2">
        <v>80.0</v>
      </c>
      <c r="N245" s="3">
        <f t="shared" si="2"/>
        <v>80</v>
      </c>
      <c r="O245" s="2">
        <v>90.0</v>
      </c>
      <c r="P245" s="2">
        <f t="shared" si="3"/>
        <v>11.5</v>
      </c>
      <c r="Q245" s="2">
        <v>7.0</v>
      </c>
      <c r="R245" s="2">
        <v>4.0</v>
      </c>
      <c r="S245" s="2">
        <v>13.0</v>
      </c>
      <c r="T245" s="2">
        <v>7.0</v>
      </c>
      <c r="U245" s="2">
        <v>14.0</v>
      </c>
      <c r="V245" s="2">
        <v>15.0</v>
      </c>
      <c r="W245" s="2">
        <v>20.0</v>
      </c>
      <c r="X245" s="2">
        <v>29.0</v>
      </c>
      <c r="Y245" s="2">
        <v>0.0</v>
      </c>
      <c r="Z245" s="2">
        <v>28.0</v>
      </c>
      <c r="AA245" s="2">
        <v>28.0</v>
      </c>
      <c r="AB245" s="2">
        <v>50.0</v>
      </c>
      <c r="AC245" s="2">
        <v>350.0</v>
      </c>
      <c r="AD245" s="3">
        <f t="shared" si="4"/>
        <v>10</v>
      </c>
    </row>
    <row r="246">
      <c r="A246" s="1" t="s">
        <v>375</v>
      </c>
      <c r="B246" s="101"/>
      <c r="C246" s="2" t="s">
        <v>377</v>
      </c>
      <c r="I246" s="2">
        <v>-1.0</v>
      </c>
      <c r="J246" s="3">
        <f t="shared" si="1"/>
        <v>-0.1111111111</v>
      </c>
      <c r="N246" s="3">
        <f t="shared" si="2"/>
        <v>0</v>
      </c>
      <c r="P246" s="2">
        <f t="shared" si="3"/>
        <v>0</v>
      </c>
      <c r="V246" s="2">
        <v>14.0</v>
      </c>
      <c r="Z246" s="2">
        <v>30.0</v>
      </c>
      <c r="AD246" s="3">
        <f t="shared" si="4"/>
        <v>0</v>
      </c>
    </row>
    <row r="247">
      <c r="A247" s="1" t="s">
        <v>468</v>
      </c>
      <c r="B247" s="1" t="s">
        <v>469</v>
      </c>
      <c r="C247" s="2" t="s">
        <v>470</v>
      </c>
      <c r="F247" s="2"/>
      <c r="G247" s="2">
        <v>4.0</v>
      </c>
      <c r="H247" s="2">
        <v>7.0</v>
      </c>
      <c r="I247" s="2">
        <v>20.0</v>
      </c>
      <c r="J247" s="3">
        <f t="shared" si="1"/>
        <v>4.972222222</v>
      </c>
      <c r="K247" s="2">
        <v>95.0</v>
      </c>
      <c r="L247" s="2">
        <v>170.0</v>
      </c>
      <c r="N247" s="3">
        <f t="shared" si="2"/>
        <v>170</v>
      </c>
      <c r="O247" s="2">
        <v>96.0</v>
      </c>
      <c r="P247" s="2">
        <f t="shared" si="3"/>
        <v>13.8</v>
      </c>
      <c r="Q247" s="2">
        <v>7.0</v>
      </c>
      <c r="R247" s="2">
        <v>3.0</v>
      </c>
      <c r="S247" s="2">
        <v>0.0</v>
      </c>
      <c r="T247" s="2">
        <v>12.0</v>
      </c>
      <c r="U247" s="2">
        <v>14.5</v>
      </c>
      <c r="V247" s="2">
        <v>14.0</v>
      </c>
      <c r="W247" s="2">
        <v>19.5</v>
      </c>
      <c r="X247" s="2">
        <v>28.0</v>
      </c>
      <c r="Y247" s="2">
        <v>28.0</v>
      </c>
      <c r="Z247" s="2">
        <v>29.0</v>
      </c>
      <c r="AA247" s="2">
        <v>29.0</v>
      </c>
      <c r="AB247" s="2">
        <v>45.0</v>
      </c>
      <c r="AC247" s="2">
        <v>345.0</v>
      </c>
      <c r="AD247" s="3">
        <f t="shared" si="4"/>
        <v>9.75</v>
      </c>
    </row>
    <row r="248">
      <c r="A248" s="1" t="s">
        <v>593</v>
      </c>
      <c r="B248" s="1" t="s">
        <v>594</v>
      </c>
      <c r="C248" s="2" t="s">
        <v>595</v>
      </c>
      <c r="D248" s="2"/>
      <c r="E248" s="2">
        <v>23.0</v>
      </c>
      <c r="F248" s="2"/>
      <c r="G248" s="2">
        <v>5.0</v>
      </c>
      <c r="H248" s="2">
        <v>13.0</v>
      </c>
      <c r="I248" s="2">
        <v>33.0</v>
      </c>
      <c r="J248" s="3">
        <f t="shared" si="1"/>
        <v>8.166666667</v>
      </c>
      <c r="K248" s="2">
        <v>85.0</v>
      </c>
      <c r="L248" s="2">
        <v>170.0</v>
      </c>
      <c r="N248" s="3">
        <f t="shared" si="2"/>
        <v>170</v>
      </c>
      <c r="O248" s="2">
        <v>80.0</v>
      </c>
      <c r="P248" s="2">
        <f t="shared" si="3"/>
        <v>12.5</v>
      </c>
      <c r="Q248" s="2">
        <v>6.0</v>
      </c>
      <c r="R248" s="2">
        <v>3.0</v>
      </c>
      <c r="S248" s="2">
        <v>15.0</v>
      </c>
      <c r="T248" s="2">
        <v>12.0</v>
      </c>
      <c r="U248" s="2">
        <v>13.0</v>
      </c>
      <c r="V248" s="2">
        <v>14.0</v>
      </c>
      <c r="W248" s="2">
        <v>20.0</v>
      </c>
      <c r="X248" s="2">
        <v>26.0</v>
      </c>
      <c r="Y248" s="2">
        <v>26.0</v>
      </c>
      <c r="Z248" s="2">
        <v>28.0</v>
      </c>
      <c r="AA248" s="2">
        <v>28.0</v>
      </c>
      <c r="AB248" s="2">
        <v>40.0</v>
      </c>
      <c r="AC248" s="2">
        <v>350.0</v>
      </c>
      <c r="AD248" s="3">
        <f t="shared" si="4"/>
        <v>9.75</v>
      </c>
    </row>
    <row r="249">
      <c r="A249" s="1" t="s">
        <v>605</v>
      </c>
      <c r="B249" s="1" t="s">
        <v>606</v>
      </c>
      <c r="C249" s="2" t="s">
        <v>607</v>
      </c>
      <c r="D249" s="2"/>
      <c r="E249" s="2">
        <v>25.0</v>
      </c>
      <c r="F249" s="2"/>
      <c r="G249" s="2">
        <v>9.0</v>
      </c>
      <c r="H249" s="2">
        <v>11.0</v>
      </c>
      <c r="I249" s="2">
        <v>15.0</v>
      </c>
      <c r="J249" s="3">
        <f t="shared" si="1"/>
        <v>6.666666667</v>
      </c>
      <c r="K249" s="2">
        <v>80.0</v>
      </c>
      <c r="L249" s="2">
        <v>200.0</v>
      </c>
      <c r="N249" s="3">
        <f t="shared" si="2"/>
        <v>200</v>
      </c>
      <c r="O249" s="2">
        <v>100.0</v>
      </c>
      <c r="P249" s="2">
        <f t="shared" si="3"/>
        <v>14</v>
      </c>
      <c r="Q249" s="2">
        <v>7.0</v>
      </c>
      <c r="R249" s="2">
        <v>2.0</v>
      </c>
      <c r="S249" s="2">
        <v>15.0</v>
      </c>
      <c r="T249" s="2">
        <v>3.0</v>
      </c>
      <c r="U249" s="2">
        <v>8.0</v>
      </c>
      <c r="V249" s="2">
        <v>13.0</v>
      </c>
      <c r="W249" s="2">
        <v>16.0</v>
      </c>
      <c r="X249" s="2">
        <v>26.0</v>
      </c>
      <c r="Y249" s="2">
        <v>27.0</v>
      </c>
      <c r="Z249" s="2">
        <v>29.0</v>
      </c>
      <c r="AA249" s="2">
        <v>27.0</v>
      </c>
      <c r="AB249" s="2">
        <v>50.0</v>
      </c>
      <c r="AC249" s="2">
        <v>350.0</v>
      </c>
      <c r="AD249" s="3">
        <f t="shared" si="4"/>
        <v>10</v>
      </c>
    </row>
    <row r="250">
      <c r="A250" s="1" t="s">
        <v>662</v>
      </c>
      <c r="B250" s="1" t="s">
        <v>663</v>
      </c>
      <c r="C250" s="2" t="s">
        <v>664</v>
      </c>
      <c r="D250" s="2"/>
      <c r="E250" s="2">
        <v>33.0</v>
      </c>
      <c r="F250" s="2"/>
      <c r="G250" s="2">
        <v>15.0</v>
      </c>
      <c r="H250" s="2">
        <v>19.0</v>
      </c>
      <c r="I250" s="2">
        <v>33.0</v>
      </c>
      <c r="J250" s="3">
        <f t="shared" si="1"/>
        <v>12.16666667</v>
      </c>
      <c r="K250" s="2">
        <v>100.0</v>
      </c>
      <c r="L250" s="2">
        <v>200.0</v>
      </c>
      <c r="N250" s="3">
        <f t="shared" si="2"/>
        <v>200</v>
      </c>
      <c r="O250" s="2">
        <v>91.0</v>
      </c>
      <c r="P250" s="2">
        <f t="shared" si="3"/>
        <v>14.55</v>
      </c>
      <c r="Q250" s="2">
        <v>7.0</v>
      </c>
      <c r="R250" s="2">
        <v>10.0</v>
      </c>
      <c r="S250" s="2">
        <v>15.0</v>
      </c>
      <c r="T250" s="2">
        <v>15.0</v>
      </c>
      <c r="U250" s="2">
        <v>15.0</v>
      </c>
      <c r="V250" s="2">
        <v>15.0</v>
      </c>
      <c r="W250" s="2">
        <v>20.0</v>
      </c>
      <c r="X250" s="2">
        <v>30.0</v>
      </c>
      <c r="Y250" s="2">
        <v>27.0</v>
      </c>
      <c r="Z250" s="2">
        <v>30.0</v>
      </c>
      <c r="AA250" s="2">
        <v>30.0</v>
      </c>
      <c r="AB250" s="2">
        <v>40.0</v>
      </c>
      <c r="AC250" s="2">
        <v>340.0</v>
      </c>
      <c r="AD250" s="3">
        <f t="shared" si="4"/>
        <v>9.5</v>
      </c>
    </row>
    <row r="251">
      <c r="A251" s="1" t="s">
        <v>698</v>
      </c>
      <c r="B251" s="1" t="s">
        <v>699</v>
      </c>
      <c r="C251" s="2" t="s">
        <v>700</v>
      </c>
      <c r="D251" s="2"/>
      <c r="E251" s="2">
        <v>21.0</v>
      </c>
      <c r="F251" s="2"/>
      <c r="G251" s="2">
        <v>7.0</v>
      </c>
      <c r="H251" s="2">
        <v>10.0</v>
      </c>
      <c r="I251" s="2">
        <v>29.0</v>
      </c>
      <c r="J251" s="3">
        <f t="shared" si="1"/>
        <v>7.472222222</v>
      </c>
      <c r="K251" s="2">
        <v>80.0</v>
      </c>
      <c r="L251" s="2">
        <v>150.0</v>
      </c>
      <c r="N251" s="3">
        <f t="shared" si="2"/>
        <v>150</v>
      </c>
      <c r="O251" s="2">
        <v>0.0</v>
      </c>
      <c r="P251" s="2">
        <f t="shared" si="3"/>
        <v>7.75</v>
      </c>
      <c r="Q251" s="2">
        <v>6.0</v>
      </c>
      <c r="R251" s="2">
        <v>5.0</v>
      </c>
      <c r="S251" s="2">
        <v>14.0</v>
      </c>
      <c r="T251" s="2">
        <v>10.0</v>
      </c>
      <c r="U251" s="2">
        <v>15.0</v>
      </c>
      <c r="V251" s="2">
        <v>14.0</v>
      </c>
      <c r="W251" s="2">
        <v>20.0</v>
      </c>
      <c r="X251" s="2">
        <v>30.0</v>
      </c>
      <c r="Y251" s="2">
        <v>28.0</v>
      </c>
      <c r="Z251" s="2">
        <v>27.0</v>
      </c>
      <c r="AA251" s="2">
        <v>29.0</v>
      </c>
      <c r="AB251" s="2">
        <v>50.0</v>
      </c>
      <c r="AC251" s="2">
        <v>50.0</v>
      </c>
      <c r="AD251" s="3">
        <f t="shared" si="4"/>
        <v>2.5</v>
      </c>
    </row>
    <row r="252">
      <c r="A252" s="1" t="s">
        <v>844</v>
      </c>
      <c r="B252" s="1" t="s">
        <v>845</v>
      </c>
      <c r="C252" s="2" t="s">
        <v>846</v>
      </c>
      <c r="D252" s="2"/>
      <c r="E252" s="2">
        <v>10.0</v>
      </c>
      <c r="F252" s="2"/>
      <c r="G252" s="2">
        <v>9.0</v>
      </c>
      <c r="H252" s="2">
        <v>13.0</v>
      </c>
      <c r="I252" s="2">
        <v>39.0</v>
      </c>
      <c r="J252" s="3">
        <f t="shared" si="1"/>
        <v>9.833333333</v>
      </c>
      <c r="K252" s="2">
        <v>82.0</v>
      </c>
      <c r="L252" s="2">
        <v>156.0</v>
      </c>
      <c r="N252" s="3">
        <f t="shared" si="2"/>
        <v>156</v>
      </c>
      <c r="O252" s="2">
        <v>98.0</v>
      </c>
      <c r="P252" s="2">
        <f t="shared" si="3"/>
        <v>12.9</v>
      </c>
      <c r="Q252" s="2">
        <v>7.0</v>
      </c>
      <c r="R252" s="2">
        <v>3.0</v>
      </c>
      <c r="S252" s="2">
        <v>6.0</v>
      </c>
      <c r="T252" s="2">
        <v>14.0</v>
      </c>
      <c r="U252" s="2">
        <v>15.0</v>
      </c>
      <c r="V252" s="2">
        <v>12.0</v>
      </c>
      <c r="W252" s="2">
        <v>19.0</v>
      </c>
      <c r="X252" s="2">
        <v>29.0</v>
      </c>
      <c r="Y252" s="2">
        <v>28.0</v>
      </c>
      <c r="Z252" s="2">
        <v>29.0</v>
      </c>
      <c r="AA252" s="2">
        <v>29.0</v>
      </c>
      <c r="AB252" s="2">
        <v>49.0</v>
      </c>
      <c r="AC252" s="2">
        <v>350.0</v>
      </c>
      <c r="AD252" s="3">
        <f t="shared" si="4"/>
        <v>9.975</v>
      </c>
    </row>
    <row r="253">
      <c r="A253" s="1" t="s">
        <v>919</v>
      </c>
      <c r="B253" s="1" t="s">
        <v>920</v>
      </c>
      <c r="C253" s="2" t="s">
        <v>921</v>
      </c>
      <c r="D253" s="2"/>
      <c r="E253" s="2">
        <v>24.0</v>
      </c>
      <c r="F253" s="2"/>
      <c r="G253" s="2">
        <v>8.0</v>
      </c>
      <c r="H253" s="2">
        <v>16.0</v>
      </c>
      <c r="I253" s="2">
        <v>35.0</v>
      </c>
      <c r="J253" s="3">
        <f t="shared" si="1"/>
        <v>9.888888889</v>
      </c>
      <c r="K253" s="2">
        <v>100.0</v>
      </c>
      <c r="L253" s="2">
        <v>200.0</v>
      </c>
      <c r="N253" s="3">
        <f t="shared" si="2"/>
        <v>200</v>
      </c>
      <c r="O253" s="2">
        <v>90.0</v>
      </c>
      <c r="P253" s="2">
        <f t="shared" si="3"/>
        <v>14.5</v>
      </c>
      <c r="Q253" s="2">
        <v>7.0</v>
      </c>
      <c r="R253" s="2">
        <v>5.0</v>
      </c>
      <c r="S253" s="2">
        <v>13.0</v>
      </c>
      <c r="T253" s="2">
        <v>14.0</v>
      </c>
      <c r="U253" s="2">
        <v>15.0</v>
      </c>
      <c r="V253" s="2">
        <v>14.0</v>
      </c>
      <c r="W253" s="2">
        <v>19.0</v>
      </c>
      <c r="X253" s="2">
        <v>28.0</v>
      </c>
      <c r="Y253" s="2">
        <v>30.0</v>
      </c>
      <c r="Z253" s="2">
        <v>29.0</v>
      </c>
      <c r="AA253" s="2">
        <v>30.0</v>
      </c>
      <c r="AB253" s="2">
        <v>40.0</v>
      </c>
      <c r="AC253" s="2">
        <v>350.0</v>
      </c>
      <c r="AD253" s="3">
        <f t="shared" si="4"/>
        <v>9.75</v>
      </c>
    </row>
    <row r="254">
      <c r="A254" s="1" t="s">
        <v>1016</v>
      </c>
      <c r="B254" s="1" t="s">
        <v>1017</v>
      </c>
      <c r="C254" s="2" t="s">
        <v>1018</v>
      </c>
      <c r="D254" s="2"/>
      <c r="E254" s="2">
        <v>13.0</v>
      </c>
      <c r="F254" s="2"/>
      <c r="G254" s="2">
        <v>9.0</v>
      </c>
      <c r="H254" s="2">
        <v>1.0</v>
      </c>
      <c r="I254" s="2">
        <v>6.5</v>
      </c>
      <c r="J254" s="3">
        <f t="shared" si="1"/>
        <v>3.222222222</v>
      </c>
      <c r="K254" s="2">
        <v>80.0</v>
      </c>
      <c r="L254" s="2">
        <v>154.0</v>
      </c>
      <c r="N254" s="3">
        <f t="shared" si="2"/>
        <v>154</v>
      </c>
      <c r="O254" s="2">
        <v>91.0</v>
      </c>
      <c r="P254" s="2">
        <f t="shared" si="3"/>
        <v>12.4</v>
      </c>
      <c r="R254" s="2">
        <v>7.0</v>
      </c>
      <c r="T254" s="2">
        <v>0.0</v>
      </c>
      <c r="U254" s="2">
        <v>15.0</v>
      </c>
      <c r="V254" s="2">
        <v>10.0</v>
      </c>
      <c r="W254" s="2">
        <v>12.0</v>
      </c>
      <c r="X254" s="2">
        <v>29.0</v>
      </c>
      <c r="Y254" s="2">
        <v>27.0</v>
      </c>
      <c r="Z254" s="2">
        <v>28.0</v>
      </c>
      <c r="AB254" s="2">
        <v>50.0</v>
      </c>
      <c r="AC254" s="2">
        <v>300.0</v>
      </c>
      <c r="AD254" s="3">
        <f t="shared" si="4"/>
        <v>8.75</v>
      </c>
    </row>
    <row r="255">
      <c r="A255" s="1" t="s">
        <v>802</v>
      </c>
      <c r="B255" s="1" t="s">
        <v>803</v>
      </c>
      <c r="C255" s="2" t="s">
        <v>804</v>
      </c>
      <c r="D255" s="2"/>
      <c r="E255" s="2">
        <v>12.0</v>
      </c>
      <c r="F255" s="2"/>
      <c r="G255" s="2">
        <v>4.0</v>
      </c>
      <c r="H255" s="2">
        <v>13.5</v>
      </c>
      <c r="I255" s="2">
        <v>39.0</v>
      </c>
      <c r="J255" s="3">
        <f t="shared" si="1"/>
        <v>8.708333333</v>
      </c>
      <c r="K255" s="2">
        <v>98.0</v>
      </c>
      <c r="L255" s="2">
        <v>185.0</v>
      </c>
      <c r="N255" s="3">
        <f t="shared" si="2"/>
        <v>185</v>
      </c>
      <c r="O255" s="2">
        <v>99.0</v>
      </c>
      <c r="P255" s="2">
        <f t="shared" si="3"/>
        <v>14.475</v>
      </c>
      <c r="Q255" s="2">
        <v>7.0</v>
      </c>
      <c r="R255" s="2">
        <v>3.0</v>
      </c>
      <c r="S255" s="2">
        <v>12.0</v>
      </c>
      <c r="T255" s="2">
        <v>14.0</v>
      </c>
      <c r="U255" s="2">
        <v>15.0</v>
      </c>
      <c r="V255" s="2">
        <v>11.0</v>
      </c>
      <c r="W255" s="2">
        <v>18.5</v>
      </c>
      <c r="X255" s="2">
        <v>29.0</v>
      </c>
      <c r="Y255" s="2">
        <v>29.0</v>
      </c>
      <c r="Z255" s="2">
        <v>30.0</v>
      </c>
      <c r="AA255" s="2">
        <v>30.0</v>
      </c>
      <c r="AB255" s="2">
        <v>48.0</v>
      </c>
      <c r="AC255" s="2">
        <v>350.0</v>
      </c>
      <c r="AD255" s="3">
        <f t="shared" si="4"/>
        <v>9.95</v>
      </c>
    </row>
    <row r="256">
      <c r="A256" s="1" t="s">
        <v>253</v>
      </c>
      <c r="B256" s="1" t="s">
        <v>254</v>
      </c>
      <c r="C256" s="2" t="s">
        <v>255</v>
      </c>
      <c r="D256" s="2"/>
      <c r="E256" s="2">
        <v>32.0</v>
      </c>
      <c r="F256" s="2"/>
      <c r="G256" s="2">
        <v>13.0</v>
      </c>
      <c r="H256" s="2">
        <v>16.0</v>
      </c>
      <c r="I256" s="2">
        <v>32.0</v>
      </c>
      <c r="J256" s="3">
        <f t="shared" si="1"/>
        <v>10.80555556</v>
      </c>
      <c r="K256" s="2">
        <v>90.0</v>
      </c>
      <c r="L256" s="2">
        <v>200.0</v>
      </c>
      <c r="N256" s="3">
        <f t="shared" si="2"/>
        <v>200</v>
      </c>
      <c r="O256" s="2">
        <v>99.0</v>
      </c>
      <c r="P256" s="2">
        <f t="shared" si="3"/>
        <v>14.45</v>
      </c>
      <c r="Q256" s="2">
        <v>7.0</v>
      </c>
      <c r="R256" s="2">
        <v>8.0</v>
      </c>
      <c r="S256" s="2">
        <v>12.0</v>
      </c>
      <c r="T256" s="2">
        <v>8.0</v>
      </c>
      <c r="U256" s="2">
        <v>15.0</v>
      </c>
      <c r="V256" s="2">
        <v>12.0</v>
      </c>
      <c r="W256" s="2">
        <v>20.0</v>
      </c>
      <c r="X256" s="2">
        <v>27.0</v>
      </c>
      <c r="Y256" s="2">
        <v>25.0</v>
      </c>
      <c r="Z256" s="2">
        <v>30.0</v>
      </c>
      <c r="AA256" s="2">
        <v>30.0</v>
      </c>
      <c r="AB256" s="2">
        <v>50.0</v>
      </c>
      <c r="AC256" s="2">
        <v>280.0</v>
      </c>
      <c r="AD256" s="3">
        <f t="shared" si="4"/>
        <v>8.25</v>
      </c>
    </row>
    <row r="257">
      <c r="A257" s="1" t="s">
        <v>143</v>
      </c>
      <c r="B257" s="1" t="s">
        <v>144</v>
      </c>
      <c r="C257" s="2" t="s">
        <v>145</v>
      </c>
      <c r="D257" s="2"/>
      <c r="E257" s="2">
        <v>6.0</v>
      </c>
      <c r="F257" s="2"/>
      <c r="G257" s="2">
        <v>5.0</v>
      </c>
      <c r="H257" s="2">
        <v>15.0</v>
      </c>
      <c r="I257" s="2">
        <v>20.0</v>
      </c>
      <c r="J257" s="3">
        <f t="shared" si="1"/>
        <v>7.222222222</v>
      </c>
      <c r="K257" s="2">
        <v>100.0</v>
      </c>
      <c r="L257" s="2">
        <v>180.0</v>
      </c>
      <c r="N257" s="3">
        <f t="shared" si="2"/>
        <v>180</v>
      </c>
      <c r="O257" s="2">
        <v>92.0</v>
      </c>
      <c r="P257" s="2">
        <f t="shared" si="3"/>
        <v>14.1</v>
      </c>
      <c r="R257" s="2">
        <v>0.0</v>
      </c>
      <c r="T257" s="2">
        <v>11.0</v>
      </c>
      <c r="U257" s="2">
        <v>12.0</v>
      </c>
      <c r="V257" s="2">
        <v>15.0</v>
      </c>
      <c r="W257" s="2">
        <v>18.0</v>
      </c>
      <c r="X257" s="2">
        <v>26.0</v>
      </c>
      <c r="Y257" s="2">
        <v>25.0</v>
      </c>
      <c r="Z257" s="2">
        <v>28.0</v>
      </c>
      <c r="AA257" s="2">
        <v>28.0</v>
      </c>
      <c r="AB257" s="2">
        <v>40.0</v>
      </c>
      <c r="AC257" s="2">
        <v>310.0</v>
      </c>
      <c r="AD257" s="3">
        <f t="shared" si="4"/>
        <v>8.75</v>
      </c>
    </row>
    <row r="258">
      <c r="A258" s="1" t="s">
        <v>345</v>
      </c>
      <c r="B258" s="1" t="s">
        <v>346</v>
      </c>
      <c r="C258" s="2" t="s">
        <v>347</v>
      </c>
      <c r="D258" s="2"/>
      <c r="E258" s="2">
        <v>32.0</v>
      </c>
      <c r="F258" s="2"/>
      <c r="G258" s="2">
        <v>10.0</v>
      </c>
      <c r="H258" s="2">
        <v>20.0</v>
      </c>
      <c r="I258" s="2">
        <v>34.0</v>
      </c>
      <c r="J258" s="3">
        <f t="shared" si="1"/>
        <v>11.27777778</v>
      </c>
      <c r="K258" s="2">
        <v>100.0</v>
      </c>
      <c r="L258" s="2">
        <v>180.0</v>
      </c>
      <c r="N258" s="3">
        <f t="shared" si="2"/>
        <v>180</v>
      </c>
      <c r="O258" s="2">
        <v>100.0</v>
      </c>
      <c r="P258" s="2">
        <f t="shared" si="3"/>
        <v>14.5</v>
      </c>
      <c r="Q258" s="2">
        <v>7.0</v>
      </c>
      <c r="R258" s="2">
        <v>6.0</v>
      </c>
      <c r="S258" s="2">
        <v>15.0</v>
      </c>
      <c r="T258" s="2">
        <v>15.0</v>
      </c>
      <c r="U258" s="2">
        <v>14.0</v>
      </c>
      <c r="V258" s="2">
        <v>14.0</v>
      </c>
      <c r="W258" s="2">
        <v>20.0</v>
      </c>
      <c r="X258" s="2">
        <v>30.0</v>
      </c>
      <c r="Y258" s="2">
        <v>30.0</v>
      </c>
      <c r="Z258" s="2">
        <v>30.0</v>
      </c>
      <c r="AA258" s="2">
        <v>30.0</v>
      </c>
      <c r="AB258" s="2">
        <v>35.0</v>
      </c>
      <c r="AC258" s="2">
        <v>350.0</v>
      </c>
      <c r="AD258" s="3">
        <f t="shared" si="4"/>
        <v>9.625</v>
      </c>
    </row>
    <row r="259">
      <c r="A259" s="1" t="s">
        <v>787</v>
      </c>
      <c r="B259" s="1" t="s">
        <v>788</v>
      </c>
      <c r="C259" s="2" t="s">
        <v>789</v>
      </c>
      <c r="D259" s="2"/>
      <c r="E259" s="2">
        <v>30.0</v>
      </c>
      <c r="F259" s="2"/>
      <c r="G259" s="2">
        <v>6.5</v>
      </c>
      <c r="H259" s="2">
        <v>7.0</v>
      </c>
      <c r="I259" s="2">
        <v>26.0</v>
      </c>
      <c r="J259" s="3">
        <f t="shared" si="1"/>
        <v>6.263888889</v>
      </c>
      <c r="K259" s="2">
        <v>95.0</v>
      </c>
      <c r="L259" s="2">
        <v>167.0</v>
      </c>
      <c r="N259" s="3">
        <f t="shared" si="2"/>
        <v>167</v>
      </c>
      <c r="O259" s="2">
        <v>93.0</v>
      </c>
      <c r="P259" s="2">
        <f t="shared" si="3"/>
        <v>13.575</v>
      </c>
      <c r="Q259" s="2">
        <v>6.0</v>
      </c>
      <c r="R259" s="2">
        <v>6.0</v>
      </c>
      <c r="S259" s="2">
        <v>7.0</v>
      </c>
      <c r="T259" s="2">
        <v>12.0</v>
      </c>
      <c r="U259" s="2">
        <v>13.5</v>
      </c>
      <c r="V259" s="2">
        <v>13.5</v>
      </c>
      <c r="W259" s="2">
        <v>20.0</v>
      </c>
      <c r="X259" s="2">
        <v>28.75</v>
      </c>
      <c r="Y259" s="2">
        <v>28.52</v>
      </c>
      <c r="Z259" s="2">
        <v>29.0</v>
      </c>
      <c r="AA259" s="2">
        <v>28.0</v>
      </c>
      <c r="AB259" s="2">
        <v>43.0</v>
      </c>
      <c r="AC259" s="2">
        <v>344.0</v>
      </c>
      <c r="AD259" s="3">
        <f t="shared" si="4"/>
        <v>9.675</v>
      </c>
    </row>
    <row r="260">
      <c r="A260" s="1" t="s">
        <v>1032</v>
      </c>
      <c r="B260" s="101"/>
      <c r="C260" s="2" t="s">
        <v>10</v>
      </c>
      <c r="D260" s="2"/>
      <c r="E260" s="2">
        <v>34.0</v>
      </c>
      <c r="F260" s="2"/>
      <c r="G260" s="2">
        <v>15.0</v>
      </c>
      <c r="H260" s="2">
        <v>19.0</v>
      </c>
      <c r="I260" s="2">
        <v>26.0</v>
      </c>
      <c r="J260" s="3">
        <f t="shared" si="1"/>
        <v>11.38888889</v>
      </c>
      <c r="K260" s="2">
        <v>95.0</v>
      </c>
      <c r="L260" s="2">
        <v>190.0</v>
      </c>
      <c r="M260" s="2">
        <v>200.0</v>
      </c>
      <c r="N260" s="3">
        <f t="shared" si="2"/>
        <v>200</v>
      </c>
      <c r="O260" s="2">
        <v>95.0</v>
      </c>
      <c r="P260" s="2">
        <f t="shared" si="3"/>
        <v>14.5</v>
      </c>
      <c r="Q260" s="2">
        <v>7.0</v>
      </c>
      <c r="R260" s="2">
        <v>7.0</v>
      </c>
      <c r="S260" s="2">
        <v>9.0</v>
      </c>
      <c r="T260" s="2">
        <v>13.0</v>
      </c>
      <c r="U260" s="2">
        <v>15.0</v>
      </c>
      <c r="V260" s="2">
        <v>15.0</v>
      </c>
      <c r="W260" s="2">
        <v>20.0</v>
      </c>
      <c r="Z260" s="2">
        <v>30.0</v>
      </c>
      <c r="AB260" s="2">
        <v>50.0</v>
      </c>
      <c r="AC260" s="2">
        <v>330.0</v>
      </c>
      <c r="AD260" s="3">
        <f t="shared" si="4"/>
        <v>9.5</v>
      </c>
    </row>
    <row r="261">
      <c r="A261" s="1" t="s">
        <v>265</v>
      </c>
      <c r="B261" s="1" t="s">
        <v>266</v>
      </c>
      <c r="C261" s="2" t="s">
        <v>267</v>
      </c>
      <c r="D261" s="2"/>
      <c r="E261" s="2">
        <v>11.0</v>
      </c>
      <c r="F261" s="2"/>
      <c r="G261" s="2">
        <v>6.0</v>
      </c>
      <c r="H261" s="2">
        <v>5.0</v>
      </c>
      <c r="I261" s="2">
        <v>0.0</v>
      </c>
      <c r="J261" s="3">
        <f t="shared" si="1"/>
        <v>2.75</v>
      </c>
      <c r="K261" s="2">
        <v>90.0</v>
      </c>
      <c r="L261" s="2">
        <v>160.0</v>
      </c>
      <c r="N261" s="3">
        <f t="shared" si="2"/>
        <v>160</v>
      </c>
      <c r="O261" s="2">
        <v>94.0</v>
      </c>
      <c r="P261" s="2">
        <f t="shared" si="3"/>
        <v>13.2</v>
      </c>
      <c r="Q261" s="2">
        <v>7.0</v>
      </c>
      <c r="R261" s="2">
        <v>6.0</v>
      </c>
      <c r="S261" s="2">
        <v>7.0</v>
      </c>
      <c r="T261" s="2">
        <v>7.0</v>
      </c>
      <c r="U261" s="2">
        <v>13.0</v>
      </c>
      <c r="V261" s="2">
        <v>12.0</v>
      </c>
      <c r="W261" s="2">
        <v>17.0</v>
      </c>
      <c r="X261" s="2">
        <v>22.0</v>
      </c>
      <c r="Y261" s="2">
        <v>26.0</v>
      </c>
      <c r="Z261" s="2">
        <v>28.0</v>
      </c>
      <c r="AA261" s="2">
        <v>28.0</v>
      </c>
      <c r="AB261" s="2">
        <v>50.0</v>
      </c>
      <c r="AC261" s="2">
        <v>300.0</v>
      </c>
      <c r="AD261" s="3">
        <f t="shared" si="4"/>
        <v>8.75</v>
      </c>
    </row>
    <row r="262">
      <c r="A262" s="1" t="s">
        <v>167</v>
      </c>
      <c r="B262" s="1" t="s">
        <v>168</v>
      </c>
      <c r="C262" s="2" t="s">
        <v>169</v>
      </c>
      <c r="D262" s="2"/>
      <c r="E262" s="2">
        <v>30.0</v>
      </c>
      <c r="F262" s="2"/>
      <c r="G262" s="2">
        <v>10.5</v>
      </c>
      <c r="H262" s="2">
        <v>9.0</v>
      </c>
      <c r="I262" s="2">
        <v>20.0</v>
      </c>
      <c r="J262" s="3">
        <f t="shared" si="1"/>
        <v>7.097222222</v>
      </c>
      <c r="K262" s="2">
        <v>100.0</v>
      </c>
      <c r="L262" s="2">
        <v>179.0</v>
      </c>
      <c r="N262" s="3">
        <f t="shared" si="2"/>
        <v>179</v>
      </c>
      <c r="O262" s="2">
        <v>94.0</v>
      </c>
      <c r="P262" s="2">
        <f t="shared" si="3"/>
        <v>14.175</v>
      </c>
      <c r="Q262" s="2">
        <v>7.0</v>
      </c>
      <c r="R262" s="2">
        <v>6.0</v>
      </c>
      <c r="T262" s="2">
        <v>9.0</v>
      </c>
      <c r="U262" s="2">
        <v>11.0</v>
      </c>
      <c r="V262" s="2">
        <v>15.0</v>
      </c>
      <c r="W262" s="2">
        <v>20.0</v>
      </c>
      <c r="X262" s="2">
        <v>26.0</v>
      </c>
      <c r="Y262" s="2">
        <v>28.0</v>
      </c>
      <c r="Z262" s="2">
        <v>28.0</v>
      </c>
      <c r="AA262" s="2">
        <v>29.0</v>
      </c>
      <c r="AB262" s="2">
        <v>10.0</v>
      </c>
      <c r="AC262" s="2">
        <v>310.0</v>
      </c>
      <c r="AD262" s="3">
        <f t="shared" si="4"/>
        <v>8</v>
      </c>
    </row>
    <row r="263">
      <c r="A263" s="1" t="s">
        <v>268</v>
      </c>
      <c r="B263" s="1" t="s">
        <v>269</v>
      </c>
      <c r="C263" s="2" t="s">
        <v>270</v>
      </c>
      <c r="D263" s="2"/>
      <c r="E263" s="2">
        <v>29.0</v>
      </c>
      <c r="F263" s="2"/>
      <c r="G263" s="2">
        <v>15.0</v>
      </c>
      <c r="H263" s="2">
        <v>13.0</v>
      </c>
      <c r="I263" s="2">
        <v>35.5</v>
      </c>
      <c r="J263" s="3">
        <f t="shared" si="1"/>
        <v>10.94444444</v>
      </c>
      <c r="K263" s="2">
        <v>90.0</v>
      </c>
      <c r="L263" s="2">
        <v>200.0</v>
      </c>
      <c r="N263" s="3">
        <f t="shared" si="2"/>
        <v>200</v>
      </c>
      <c r="O263" s="2">
        <v>92.0</v>
      </c>
      <c r="P263" s="2">
        <f t="shared" si="3"/>
        <v>14.1</v>
      </c>
      <c r="Q263" s="2">
        <v>7.0</v>
      </c>
      <c r="R263" s="2">
        <v>9.0</v>
      </c>
      <c r="S263" s="2">
        <v>11.0</v>
      </c>
      <c r="T263" s="2">
        <v>7.0</v>
      </c>
      <c r="U263" s="2">
        <v>15.0</v>
      </c>
      <c r="V263" s="2">
        <v>15.0</v>
      </c>
      <c r="W263" s="2">
        <v>20.0</v>
      </c>
      <c r="X263" s="2">
        <v>30.0</v>
      </c>
      <c r="Y263" s="2">
        <v>30.0</v>
      </c>
      <c r="Z263" s="2">
        <v>29.0</v>
      </c>
      <c r="AA263" s="2">
        <v>27.0</v>
      </c>
      <c r="AB263" s="2">
        <v>10.0</v>
      </c>
      <c r="AC263" s="2">
        <v>335.0</v>
      </c>
      <c r="AD263" s="3">
        <f t="shared" si="4"/>
        <v>8.625</v>
      </c>
    </row>
    <row r="264">
      <c r="A264" s="1" t="s">
        <v>883</v>
      </c>
      <c r="B264" s="1" t="s">
        <v>884</v>
      </c>
      <c r="C264" s="2" t="s">
        <v>885</v>
      </c>
      <c r="D264" s="2"/>
      <c r="E264" s="2">
        <v>26.0</v>
      </c>
      <c r="F264" s="2"/>
      <c r="G264" s="2">
        <v>9.0</v>
      </c>
      <c r="I264" s="2">
        <v>18.0</v>
      </c>
      <c r="J264" s="3">
        <f t="shared" si="1"/>
        <v>4.25</v>
      </c>
      <c r="K264" s="2">
        <v>80.0</v>
      </c>
      <c r="L264" s="2">
        <v>196.0</v>
      </c>
      <c r="N264" s="3">
        <f t="shared" si="2"/>
        <v>196</v>
      </c>
      <c r="O264" s="2">
        <v>100.0</v>
      </c>
      <c r="P264" s="2">
        <f t="shared" si="3"/>
        <v>13.9</v>
      </c>
      <c r="Q264" s="2">
        <v>6.0</v>
      </c>
      <c r="R264" s="2">
        <v>2.0</v>
      </c>
      <c r="S264" s="2">
        <v>14.5</v>
      </c>
      <c r="T264" s="2">
        <v>14.0</v>
      </c>
      <c r="U264" s="2">
        <v>10.0</v>
      </c>
      <c r="V264" s="2">
        <v>11.5</v>
      </c>
      <c r="W264" s="2">
        <v>18.0</v>
      </c>
      <c r="X264" s="2">
        <v>30.0</v>
      </c>
      <c r="Y264" s="2">
        <v>30.0</v>
      </c>
      <c r="Z264" s="2">
        <v>28.0</v>
      </c>
      <c r="AA264" s="2">
        <v>28.0</v>
      </c>
      <c r="AB264" s="2">
        <v>30.0</v>
      </c>
      <c r="AC264" s="2">
        <v>330.0</v>
      </c>
      <c r="AD264" s="3">
        <f t="shared" si="4"/>
        <v>9</v>
      </c>
    </row>
    <row r="265">
      <c r="A265" s="1" t="s">
        <v>198</v>
      </c>
      <c r="B265" s="1" t="s">
        <v>199</v>
      </c>
      <c r="C265" s="2" t="s">
        <v>200</v>
      </c>
      <c r="D265" s="2"/>
      <c r="E265" s="2">
        <v>31.0</v>
      </c>
      <c r="F265" s="2"/>
      <c r="G265" s="2">
        <v>13.0</v>
      </c>
      <c r="H265" s="2">
        <v>14.0</v>
      </c>
      <c r="I265" s="2">
        <v>12.0</v>
      </c>
      <c r="J265" s="3">
        <f t="shared" si="1"/>
        <v>8.083333333</v>
      </c>
      <c r="K265" s="2">
        <v>95.0</v>
      </c>
      <c r="L265" s="2">
        <v>190.0</v>
      </c>
      <c r="N265" s="3">
        <f t="shared" si="2"/>
        <v>190</v>
      </c>
      <c r="O265" s="2">
        <v>88.0</v>
      </c>
      <c r="P265" s="2">
        <f t="shared" si="3"/>
        <v>13.9</v>
      </c>
      <c r="Q265" s="2">
        <v>6.0</v>
      </c>
      <c r="R265" s="2">
        <v>4.0</v>
      </c>
      <c r="T265" s="2">
        <v>7.0</v>
      </c>
      <c r="U265" s="2">
        <v>14.0</v>
      </c>
      <c r="W265" s="2">
        <v>18.0</v>
      </c>
      <c r="X265" s="2">
        <v>24.0</v>
      </c>
      <c r="Y265" s="2">
        <v>26.0</v>
      </c>
      <c r="Z265" s="2">
        <v>27.0</v>
      </c>
      <c r="AA265" s="2">
        <v>28.0</v>
      </c>
      <c r="AB265" s="2">
        <v>10.0</v>
      </c>
      <c r="AC265" s="2">
        <v>300.0</v>
      </c>
      <c r="AD265" s="3">
        <f t="shared" si="4"/>
        <v>7.75</v>
      </c>
    </row>
    <row r="266">
      <c r="A266" s="1" t="s">
        <v>372</v>
      </c>
      <c r="B266" s="1" t="s">
        <v>373</v>
      </c>
      <c r="C266" s="2" t="s">
        <v>374</v>
      </c>
      <c r="D266" s="2"/>
      <c r="E266" s="2">
        <v>36.0</v>
      </c>
      <c r="F266" s="2"/>
      <c r="G266" s="2">
        <v>10.0</v>
      </c>
      <c r="H266" s="2">
        <v>19.0</v>
      </c>
      <c r="I266" s="2">
        <v>35.0</v>
      </c>
      <c r="J266" s="3">
        <f t="shared" si="1"/>
        <v>11.13888889</v>
      </c>
      <c r="K266" s="2">
        <v>99.0</v>
      </c>
      <c r="L266" s="2">
        <v>175.0</v>
      </c>
      <c r="M266" s="2">
        <v>200.0</v>
      </c>
      <c r="N266" s="3">
        <f t="shared" si="2"/>
        <v>200</v>
      </c>
      <c r="O266" s="2">
        <v>99.0</v>
      </c>
      <c r="P266" s="2">
        <f t="shared" si="3"/>
        <v>14.9</v>
      </c>
      <c r="Q266" s="2">
        <v>6.0</v>
      </c>
      <c r="R266" s="2">
        <v>3.0</v>
      </c>
      <c r="S266" s="2">
        <v>14.0</v>
      </c>
      <c r="T266" s="2">
        <v>15.0</v>
      </c>
      <c r="U266" s="2">
        <v>14.0</v>
      </c>
      <c r="V266" s="2">
        <v>14.0</v>
      </c>
      <c r="W266" s="2">
        <v>17.0</v>
      </c>
      <c r="X266" s="2">
        <v>30.0</v>
      </c>
      <c r="Y266" s="2">
        <v>30.0</v>
      </c>
      <c r="Z266" s="2">
        <v>30.0</v>
      </c>
      <c r="AA266" s="2">
        <v>30.0</v>
      </c>
      <c r="AB266" s="2">
        <v>50.0</v>
      </c>
      <c r="AC266" s="2">
        <v>350.0</v>
      </c>
      <c r="AD266" s="3">
        <f t="shared" si="4"/>
        <v>10</v>
      </c>
    </row>
    <row r="267">
      <c r="A267" s="1" t="s">
        <v>277</v>
      </c>
      <c r="B267" s="101"/>
      <c r="C267" s="2" t="s">
        <v>279</v>
      </c>
      <c r="D267" s="2"/>
      <c r="E267" s="2">
        <v>21.0</v>
      </c>
      <c r="F267" s="2"/>
      <c r="G267" s="2">
        <v>5.0</v>
      </c>
      <c r="H267" s="2">
        <v>3.5</v>
      </c>
      <c r="I267" s="2">
        <v>22.5</v>
      </c>
      <c r="J267" s="3">
        <f t="shared" si="1"/>
        <v>4.625</v>
      </c>
      <c r="K267" s="2">
        <v>70.0</v>
      </c>
      <c r="L267" s="2">
        <v>185.0</v>
      </c>
      <c r="N267" s="3">
        <f t="shared" si="2"/>
        <v>185</v>
      </c>
      <c r="O267" s="2">
        <v>92.0</v>
      </c>
      <c r="P267" s="2">
        <f t="shared" si="3"/>
        <v>12.725</v>
      </c>
      <c r="Q267" s="2">
        <v>3.0</v>
      </c>
      <c r="R267" s="2">
        <v>5.0</v>
      </c>
      <c r="S267" s="2">
        <v>0.0</v>
      </c>
      <c r="T267" s="2">
        <v>3.0</v>
      </c>
      <c r="U267" s="2">
        <v>11.0</v>
      </c>
      <c r="V267" s="2">
        <v>15.0</v>
      </c>
      <c r="W267" s="2">
        <v>8.5</v>
      </c>
      <c r="X267" s="2">
        <v>28.0</v>
      </c>
      <c r="Y267" s="2">
        <v>30.0</v>
      </c>
      <c r="Z267" s="2">
        <v>28.0</v>
      </c>
      <c r="AA267" s="2">
        <v>27.0</v>
      </c>
      <c r="AB267" s="2">
        <v>50.0</v>
      </c>
      <c r="AC267" s="2">
        <v>330.0</v>
      </c>
      <c r="AD267" s="3">
        <f t="shared" si="4"/>
        <v>9.5</v>
      </c>
    </row>
    <row r="268">
      <c r="A268" s="1" t="s">
        <v>50</v>
      </c>
      <c r="B268" s="1" t="s">
        <v>51</v>
      </c>
      <c r="C268" s="2" t="s">
        <v>52</v>
      </c>
      <c r="D268" s="2"/>
      <c r="E268" s="2">
        <v>19.0</v>
      </c>
      <c r="F268" s="2"/>
      <c r="G268" s="2">
        <v>6.0</v>
      </c>
      <c r="H268" s="2">
        <v>6.0</v>
      </c>
      <c r="I268" s="2">
        <v>35.0</v>
      </c>
      <c r="J268" s="3">
        <f t="shared" si="1"/>
        <v>6.888888889</v>
      </c>
      <c r="K268" s="2">
        <v>90.0</v>
      </c>
      <c r="L268" s="2">
        <v>180.0</v>
      </c>
      <c r="N268" s="3">
        <f t="shared" si="2"/>
        <v>180</v>
      </c>
      <c r="O268" s="2">
        <v>89.0</v>
      </c>
      <c r="P268" s="2">
        <f t="shared" si="3"/>
        <v>13.45</v>
      </c>
      <c r="Q268" s="2">
        <v>7.0</v>
      </c>
      <c r="R268" s="2">
        <v>2.0</v>
      </c>
      <c r="S268" s="2">
        <v>15.0</v>
      </c>
      <c r="T268" s="2">
        <v>10.0</v>
      </c>
      <c r="U268" s="2">
        <v>14.0</v>
      </c>
      <c r="V268" s="2">
        <v>14.0</v>
      </c>
      <c r="W268" s="2">
        <v>20.0</v>
      </c>
      <c r="X268" s="2">
        <v>30.0</v>
      </c>
      <c r="Y268" s="2">
        <v>30.0</v>
      </c>
      <c r="Z268" s="2">
        <v>28.0</v>
      </c>
      <c r="AA268" s="2">
        <v>28.0</v>
      </c>
      <c r="AB268" s="2">
        <v>30.0</v>
      </c>
      <c r="AC268" s="2">
        <v>335.0</v>
      </c>
      <c r="AD268" s="3">
        <f t="shared" si="4"/>
        <v>9.125</v>
      </c>
    </row>
    <row r="269">
      <c r="A269" s="1" t="s">
        <v>560</v>
      </c>
      <c r="B269" s="1" t="s">
        <v>561</v>
      </c>
      <c r="C269" s="2" t="s">
        <v>562</v>
      </c>
      <c r="D269" s="2"/>
      <c r="E269" s="2">
        <v>32.0</v>
      </c>
      <c r="F269" s="2"/>
      <c r="G269" s="2">
        <v>10.0</v>
      </c>
      <c r="H269" s="2">
        <v>12.0</v>
      </c>
      <c r="I269" s="2">
        <v>41.0</v>
      </c>
      <c r="J269" s="3">
        <f t="shared" si="1"/>
        <v>10.05555556</v>
      </c>
      <c r="K269" s="2">
        <v>98.0</v>
      </c>
      <c r="L269" s="2">
        <v>192.0</v>
      </c>
      <c r="N269" s="3">
        <f t="shared" si="2"/>
        <v>192</v>
      </c>
      <c r="O269" s="2">
        <v>99.0</v>
      </c>
      <c r="P269" s="2">
        <f t="shared" si="3"/>
        <v>14.65</v>
      </c>
      <c r="Q269" s="2">
        <v>7.0</v>
      </c>
      <c r="R269" s="2">
        <v>8.0</v>
      </c>
      <c r="S269" s="2">
        <v>10.0</v>
      </c>
      <c r="T269" s="2">
        <v>14.0</v>
      </c>
      <c r="U269" s="2">
        <v>13.0</v>
      </c>
      <c r="V269" s="2">
        <v>14.0</v>
      </c>
      <c r="W269" s="2">
        <v>19.5</v>
      </c>
      <c r="X269" s="2">
        <v>29.0</v>
      </c>
      <c r="Y269" s="2">
        <v>28.0</v>
      </c>
      <c r="Z269" s="2">
        <v>29.0</v>
      </c>
      <c r="AA269" s="2">
        <v>30.0</v>
      </c>
      <c r="AB269" s="2">
        <v>45.0</v>
      </c>
      <c r="AC269" s="2">
        <v>344.0</v>
      </c>
      <c r="AD269" s="3">
        <f t="shared" si="4"/>
        <v>9.725</v>
      </c>
    </row>
    <row r="270">
      <c r="A270" s="1" t="s">
        <v>339</v>
      </c>
      <c r="B270" s="1" t="s">
        <v>340</v>
      </c>
      <c r="C270" s="2" t="s">
        <v>341</v>
      </c>
      <c r="D270" s="2"/>
      <c r="E270" s="2">
        <v>25.0</v>
      </c>
      <c r="F270" s="2"/>
      <c r="G270" s="2">
        <v>11.5</v>
      </c>
      <c r="H270" s="2">
        <v>6.0</v>
      </c>
      <c r="I270" s="2">
        <v>-1.0</v>
      </c>
      <c r="J270" s="3">
        <f t="shared" si="1"/>
        <v>4.263888889</v>
      </c>
      <c r="K270" s="2">
        <v>100.0</v>
      </c>
      <c r="L270" s="2">
        <v>200.0</v>
      </c>
      <c r="N270" s="3">
        <f t="shared" si="2"/>
        <v>200</v>
      </c>
      <c r="O270" s="2">
        <v>100.0</v>
      </c>
      <c r="P270" s="2">
        <f t="shared" si="3"/>
        <v>15</v>
      </c>
      <c r="Q270" s="2">
        <v>7.0</v>
      </c>
      <c r="R270" s="2">
        <v>6.0</v>
      </c>
      <c r="S270" s="2">
        <v>15.0</v>
      </c>
      <c r="T270" s="2">
        <v>15.0</v>
      </c>
      <c r="U270" s="2">
        <v>12.0</v>
      </c>
      <c r="V270" s="2">
        <v>15.0</v>
      </c>
      <c r="W270" s="2">
        <v>16.0</v>
      </c>
      <c r="X270" s="2">
        <v>30.0</v>
      </c>
      <c r="Y270" s="2">
        <v>30.0</v>
      </c>
      <c r="Z270" s="2">
        <v>30.0</v>
      </c>
      <c r="AA270" s="2">
        <v>30.0</v>
      </c>
      <c r="AB270" s="2">
        <v>50.0</v>
      </c>
      <c r="AC270" s="2">
        <v>350.0</v>
      </c>
      <c r="AD270" s="3">
        <f t="shared" si="4"/>
        <v>10</v>
      </c>
    </row>
    <row r="271">
      <c r="A271" s="1" t="s">
        <v>485</v>
      </c>
      <c r="B271" s="1" t="s">
        <v>486</v>
      </c>
      <c r="C271" s="2" t="s">
        <v>487</v>
      </c>
      <c r="F271" s="2"/>
      <c r="G271" s="2">
        <v>0.0</v>
      </c>
      <c r="H271" s="2">
        <v>0.0</v>
      </c>
      <c r="I271" s="2">
        <v>-1.0</v>
      </c>
      <c r="J271" s="3">
        <f t="shared" si="1"/>
        <v>-0.1111111111</v>
      </c>
      <c r="K271" s="2">
        <v>93.0</v>
      </c>
      <c r="L271" s="2">
        <v>0.0</v>
      </c>
      <c r="N271" s="3">
        <f t="shared" si="2"/>
        <v>0</v>
      </c>
      <c r="P271" s="2">
        <f t="shared" si="3"/>
        <v>4.65</v>
      </c>
      <c r="Q271" s="2">
        <v>7.0</v>
      </c>
      <c r="R271" s="2">
        <v>9.0</v>
      </c>
      <c r="S271" s="2">
        <v>10.0</v>
      </c>
      <c r="T271" s="2">
        <v>11.0</v>
      </c>
      <c r="U271" s="2">
        <v>14.5</v>
      </c>
      <c r="V271" s="2">
        <v>14.5</v>
      </c>
      <c r="W271" s="2">
        <v>20.0</v>
      </c>
      <c r="X271" s="2">
        <v>0.0</v>
      </c>
      <c r="Y271" s="2">
        <v>0.0</v>
      </c>
      <c r="AD271" s="3">
        <f t="shared" si="4"/>
        <v>0</v>
      </c>
    </row>
    <row r="272">
      <c r="A272" s="1" t="s">
        <v>411</v>
      </c>
      <c r="B272" s="1" t="s">
        <v>412</v>
      </c>
      <c r="C272" s="2" t="s">
        <v>413</v>
      </c>
      <c r="D272" s="2"/>
      <c r="E272" s="2">
        <v>25.0</v>
      </c>
      <c r="F272" s="2"/>
      <c r="G272" s="2">
        <v>8.0</v>
      </c>
      <c r="H272" s="2">
        <v>16.0</v>
      </c>
      <c r="I272" s="2">
        <v>41.0</v>
      </c>
      <c r="J272" s="3">
        <f t="shared" si="1"/>
        <v>10.55555556</v>
      </c>
      <c r="K272" s="2">
        <v>80.0</v>
      </c>
      <c r="L272" s="2">
        <v>185.0</v>
      </c>
      <c r="M272" s="2">
        <v>165.0</v>
      </c>
      <c r="N272" s="3">
        <f t="shared" si="2"/>
        <v>185</v>
      </c>
      <c r="O272" s="2">
        <v>99.0</v>
      </c>
      <c r="P272" s="2">
        <f t="shared" si="3"/>
        <v>13.575</v>
      </c>
      <c r="Q272" s="2">
        <v>6.0</v>
      </c>
      <c r="R272" s="2">
        <v>5.0</v>
      </c>
      <c r="S272" s="2">
        <v>12.0</v>
      </c>
      <c r="T272" s="2">
        <v>13.0</v>
      </c>
      <c r="U272" s="2">
        <v>10.0</v>
      </c>
      <c r="V272" s="2">
        <v>11.0</v>
      </c>
      <c r="W272" s="2">
        <v>16.0</v>
      </c>
      <c r="X272" s="2">
        <v>27.0</v>
      </c>
      <c r="Y272" s="2">
        <v>18.0</v>
      </c>
      <c r="Z272" s="2">
        <v>29.0</v>
      </c>
      <c r="AB272" s="2">
        <v>45.0</v>
      </c>
      <c r="AC272" s="2">
        <v>346.0</v>
      </c>
      <c r="AD272" s="3">
        <f t="shared" si="4"/>
        <v>9.775</v>
      </c>
    </row>
    <row r="273">
      <c r="A273" s="1" t="s">
        <v>665</v>
      </c>
      <c r="B273" s="1" t="s">
        <v>666</v>
      </c>
      <c r="C273" s="2" t="s">
        <v>667</v>
      </c>
      <c r="D273" s="2"/>
      <c r="E273" s="2">
        <v>27.0</v>
      </c>
      <c r="F273" s="2"/>
      <c r="G273" s="2">
        <v>9.0</v>
      </c>
      <c r="H273" s="2">
        <v>12.0</v>
      </c>
      <c r="I273" s="2">
        <v>31.0</v>
      </c>
      <c r="J273" s="3">
        <f t="shared" si="1"/>
        <v>8.694444444</v>
      </c>
      <c r="K273" s="2">
        <v>95.0</v>
      </c>
      <c r="L273" s="2">
        <v>180.0</v>
      </c>
      <c r="N273" s="3">
        <f t="shared" si="2"/>
        <v>180</v>
      </c>
      <c r="O273" s="2">
        <v>90.0</v>
      </c>
      <c r="P273" s="2">
        <f t="shared" si="3"/>
        <v>13.75</v>
      </c>
      <c r="Q273" s="2">
        <v>7.0</v>
      </c>
      <c r="R273" s="2">
        <v>3.0</v>
      </c>
      <c r="S273" s="2">
        <v>15.0</v>
      </c>
      <c r="T273" s="2">
        <v>14.0</v>
      </c>
      <c r="U273" s="2">
        <v>13.0</v>
      </c>
      <c r="V273" s="2">
        <v>15.0</v>
      </c>
      <c r="W273" s="2">
        <v>20.0</v>
      </c>
      <c r="X273" s="2">
        <v>28.0</v>
      </c>
      <c r="Y273" s="2">
        <v>28.0</v>
      </c>
      <c r="Z273" s="2">
        <v>29.0</v>
      </c>
      <c r="AA273" s="2">
        <v>29.0</v>
      </c>
      <c r="AB273" s="2">
        <v>50.0</v>
      </c>
      <c r="AC273" s="2">
        <v>300.0</v>
      </c>
      <c r="AD273" s="3">
        <f t="shared" si="4"/>
        <v>8.75</v>
      </c>
    </row>
    <row r="274">
      <c r="A274" s="1" t="s">
        <v>286</v>
      </c>
      <c r="B274" s="1" t="s">
        <v>287</v>
      </c>
      <c r="C274" s="2" t="s">
        <v>288</v>
      </c>
      <c r="D274" s="2"/>
      <c r="E274" s="2">
        <v>27.0</v>
      </c>
      <c r="F274" s="2"/>
      <c r="G274" s="2">
        <v>14.0</v>
      </c>
      <c r="H274" s="2">
        <v>14.0</v>
      </c>
      <c r="I274" s="2">
        <v>20.5</v>
      </c>
      <c r="J274" s="3">
        <f t="shared" si="1"/>
        <v>9.277777778</v>
      </c>
      <c r="K274" s="2">
        <v>95.0</v>
      </c>
      <c r="L274" s="2">
        <v>199.0</v>
      </c>
      <c r="N274" s="3">
        <f t="shared" si="2"/>
        <v>199</v>
      </c>
      <c r="O274" s="2">
        <v>95.0</v>
      </c>
      <c r="P274" s="2">
        <f t="shared" si="3"/>
        <v>14.475</v>
      </c>
      <c r="Q274" s="2">
        <v>7.0</v>
      </c>
      <c r="R274" s="2">
        <v>3.0</v>
      </c>
      <c r="S274" s="2">
        <v>8.0</v>
      </c>
      <c r="T274" s="2">
        <v>0.0</v>
      </c>
      <c r="U274" s="2">
        <v>15.0</v>
      </c>
      <c r="V274" s="2">
        <v>15.0</v>
      </c>
      <c r="W274" s="2">
        <v>20.0</v>
      </c>
      <c r="X274" s="2">
        <v>30.0</v>
      </c>
      <c r="Y274" s="2">
        <v>28.0</v>
      </c>
      <c r="Z274" s="2">
        <v>28.0</v>
      </c>
      <c r="AA274" s="2">
        <v>28.0</v>
      </c>
      <c r="AB274" s="2">
        <v>10.0</v>
      </c>
      <c r="AC274" s="2">
        <v>335.0</v>
      </c>
      <c r="AD274" s="3">
        <f t="shared" si="4"/>
        <v>8.625</v>
      </c>
    </row>
    <row r="275">
      <c r="A275" s="1" t="s">
        <v>459</v>
      </c>
      <c r="B275" s="1" t="s">
        <v>460</v>
      </c>
      <c r="C275" s="2" t="s">
        <v>461</v>
      </c>
      <c r="D275" s="2"/>
      <c r="E275" s="2">
        <v>39.0</v>
      </c>
      <c r="F275" s="2"/>
      <c r="G275" s="2">
        <v>15.0</v>
      </c>
      <c r="H275" s="2">
        <v>20.0</v>
      </c>
      <c r="I275" s="2">
        <v>36.0</v>
      </c>
      <c r="J275" s="3">
        <f t="shared" si="1"/>
        <v>12.75</v>
      </c>
      <c r="K275" s="2">
        <v>85.0</v>
      </c>
      <c r="L275" s="2">
        <v>200.0</v>
      </c>
      <c r="N275" s="3">
        <f t="shared" si="2"/>
        <v>200</v>
      </c>
      <c r="O275" s="2">
        <v>98.0</v>
      </c>
      <c r="P275" s="2">
        <f t="shared" si="3"/>
        <v>14.15</v>
      </c>
      <c r="Q275" s="2">
        <v>7.0</v>
      </c>
      <c r="R275" s="2">
        <v>10.0</v>
      </c>
      <c r="S275" s="2">
        <v>15.0</v>
      </c>
      <c r="T275" s="2">
        <v>14.0</v>
      </c>
      <c r="U275" s="2">
        <v>15.0</v>
      </c>
      <c r="V275" s="2">
        <v>12.0</v>
      </c>
      <c r="W275" s="2">
        <v>20.0</v>
      </c>
      <c r="X275" s="2">
        <v>30.0</v>
      </c>
      <c r="Y275" s="2">
        <v>26.0</v>
      </c>
      <c r="Z275" s="2">
        <v>30.0</v>
      </c>
      <c r="AA275" s="2">
        <v>30.0</v>
      </c>
      <c r="AB275" s="2">
        <v>50.0</v>
      </c>
      <c r="AC275" s="2">
        <v>345.0</v>
      </c>
      <c r="AD275" s="3">
        <f t="shared" si="4"/>
        <v>9.875</v>
      </c>
    </row>
    <row r="276">
      <c r="A276" s="1" t="s">
        <v>805</v>
      </c>
      <c r="B276" s="1" t="s">
        <v>806</v>
      </c>
      <c r="C276" s="2" t="s">
        <v>807</v>
      </c>
      <c r="D276" s="2"/>
      <c r="E276" s="2">
        <v>23.0</v>
      </c>
      <c r="F276" s="2"/>
      <c r="G276" s="2">
        <v>9.5</v>
      </c>
      <c r="H276" s="2">
        <v>13.5</v>
      </c>
      <c r="I276" s="2">
        <v>38.0</v>
      </c>
      <c r="J276" s="3">
        <f t="shared" si="1"/>
        <v>9.972222222</v>
      </c>
      <c r="K276" s="2">
        <v>100.0</v>
      </c>
      <c r="L276" s="2">
        <v>193.0</v>
      </c>
      <c r="N276" s="3">
        <f t="shared" si="2"/>
        <v>193</v>
      </c>
      <c r="O276" s="2">
        <v>100.0</v>
      </c>
      <c r="P276" s="2">
        <f t="shared" si="3"/>
        <v>14.825</v>
      </c>
      <c r="Q276" s="2">
        <v>7.0</v>
      </c>
      <c r="R276" s="2">
        <v>6.0</v>
      </c>
      <c r="S276" s="2">
        <v>9.0</v>
      </c>
      <c r="T276" s="2">
        <v>14.0</v>
      </c>
      <c r="U276" s="2">
        <v>14.5</v>
      </c>
      <c r="V276" s="2">
        <v>14.0</v>
      </c>
      <c r="W276" s="2">
        <v>20.0</v>
      </c>
      <c r="X276" s="2">
        <v>28.5</v>
      </c>
      <c r="Y276" s="2">
        <v>28.0</v>
      </c>
      <c r="Z276" s="2">
        <v>29.0</v>
      </c>
      <c r="AA276" s="2">
        <v>30.0</v>
      </c>
      <c r="AB276" s="2">
        <v>49.0</v>
      </c>
      <c r="AC276" s="2">
        <v>350.0</v>
      </c>
      <c r="AD276" s="3">
        <f t="shared" si="4"/>
        <v>9.975</v>
      </c>
    </row>
    <row r="277">
      <c r="A277" s="1" t="s">
        <v>596</v>
      </c>
      <c r="B277" s="1" t="s">
        <v>597</v>
      </c>
      <c r="C277" s="2" t="s">
        <v>598</v>
      </c>
      <c r="D277" s="2"/>
      <c r="E277" s="2">
        <v>33.0</v>
      </c>
      <c r="F277" s="2"/>
      <c r="G277" s="2">
        <v>8.0</v>
      </c>
      <c r="H277" s="2">
        <v>14.0</v>
      </c>
      <c r="I277" s="2">
        <v>32.0</v>
      </c>
      <c r="J277" s="3">
        <f t="shared" si="1"/>
        <v>9.055555556</v>
      </c>
      <c r="K277" s="2">
        <v>75.0</v>
      </c>
      <c r="L277" s="2">
        <v>185.0</v>
      </c>
      <c r="N277" s="3">
        <f t="shared" si="2"/>
        <v>185</v>
      </c>
      <c r="O277" s="2">
        <v>91.0</v>
      </c>
      <c r="P277" s="2">
        <f t="shared" si="3"/>
        <v>12.925</v>
      </c>
      <c r="Q277" s="2">
        <v>7.0</v>
      </c>
      <c r="R277" s="2">
        <v>8.0</v>
      </c>
      <c r="S277" s="2">
        <v>12.0</v>
      </c>
      <c r="T277" s="2">
        <v>1.0</v>
      </c>
      <c r="U277" s="2">
        <v>15.0</v>
      </c>
      <c r="V277" s="2">
        <v>15.0</v>
      </c>
      <c r="W277" s="2">
        <v>18.0</v>
      </c>
      <c r="X277" s="2">
        <v>30.0</v>
      </c>
      <c r="Y277" s="2">
        <v>30.0</v>
      </c>
      <c r="Z277" s="2">
        <v>29.0</v>
      </c>
      <c r="AA277" s="2">
        <v>28.0</v>
      </c>
      <c r="AB277" s="2">
        <v>40.0</v>
      </c>
      <c r="AC277" s="2">
        <v>330.0</v>
      </c>
      <c r="AD277" s="3">
        <f t="shared" si="4"/>
        <v>9.25</v>
      </c>
    </row>
    <row r="278">
      <c r="A278" s="1" t="s">
        <v>704</v>
      </c>
      <c r="B278" s="1" t="s">
        <v>705</v>
      </c>
      <c r="C278" s="2" t="s">
        <v>706</v>
      </c>
      <c r="D278" s="2"/>
      <c r="E278" s="2">
        <v>19.0</v>
      </c>
      <c r="F278" s="2"/>
      <c r="G278" s="2">
        <v>8.0</v>
      </c>
      <c r="H278" s="2">
        <v>16.0</v>
      </c>
      <c r="I278" s="2">
        <v>16.0</v>
      </c>
      <c r="J278" s="3">
        <f t="shared" si="1"/>
        <v>7.777777778</v>
      </c>
      <c r="K278" s="2">
        <v>100.0</v>
      </c>
      <c r="L278" s="2">
        <v>180.0</v>
      </c>
      <c r="M278" s="2">
        <v>160.0</v>
      </c>
      <c r="N278" s="3">
        <f t="shared" si="2"/>
        <v>180</v>
      </c>
      <c r="O278" s="2">
        <v>100.0</v>
      </c>
      <c r="P278" s="2">
        <f t="shared" si="3"/>
        <v>14.5</v>
      </c>
      <c r="Q278" s="2">
        <v>7.0</v>
      </c>
      <c r="R278" s="2">
        <v>4.0</v>
      </c>
      <c r="S278" s="2">
        <v>12.0</v>
      </c>
      <c r="T278" s="2">
        <v>15.0</v>
      </c>
      <c r="U278" s="2">
        <v>15.0</v>
      </c>
      <c r="V278" s="2">
        <v>14.0</v>
      </c>
      <c r="W278" s="2">
        <v>20.0</v>
      </c>
      <c r="X278" s="2">
        <v>30.0</v>
      </c>
      <c r="Y278" s="2">
        <v>30.0</v>
      </c>
      <c r="Z278" s="2">
        <v>29.0</v>
      </c>
      <c r="AA278" s="2">
        <v>29.0</v>
      </c>
      <c r="AB278" s="2">
        <v>30.0</v>
      </c>
      <c r="AC278" s="2">
        <v>340.0</v>
      </c>
      <c r="AD278" s="3">
        <f t="shared" si="4"/>
        <v>9.25</v>
      </c>
    </row>
    <row r="279">
      <c r="A279" s="1" t="s">
        <v>796</v>
      </c>
      <c r="B279" s="1" t="s">
        <v>797</v>
      </c>
      <c r="C279" s="2" t="s">
        <v>798</v>
      </c>
      <c r="D279" s="2"/>
      <c r="E279" s="2">
        <v>31.0</v>
      </c>
      <c r="F279" s="2"/>
      <c r="G279" s="2">
        <v>14.0</v>
      </c>
      <c r="H279" s="2">
        <v>16.0</v>
      </c>
      <c r="I279" s="2">
        <v>26.0</v>
      </c>
      <c r="J279" s="3">
        <f t="shared" si="1"/>
        <v>10.38888889</v>
      </c>
      <c r="K279" s="2">
        <v>95.0</v>
      </c>
      <c r="L279" s="2">
        <v>200.0</v>
      </c>
      <c r="N279" s="3">
        <f t="shared" si="2"/>
        <v>200</v>
      </c>
      <c r="O279" s="2">
        <v>94.0</v>
      </c>
      <c r="P279" s="2">
        <f t="shared" si="3"/>
        <v>14.45</v>
      </c>
      <c r="Q279" s="2">
        <v>6.0</v>
      </c>
      <c r="R279" s="2">
        <v>9.0</v>
      </c>
      <c r="S279" s="2">
        <v>15.0</v>
      </c>
      <c r="T279" s="2">
        <v>12.0</v>
      </c>
      <c r="U279" s="2">
        <v>15.0</v>
      </c>
      <c r="V279" s="2">
        <v>14.0</v>
      </c>
      <c r="W279" s="2">
        <v>20.0</v>
      </c>
      <c r="X279" s="2">
        <v>28.75</v>
      </c>
      <c r="Y279" s="2">
        <v>27.11</v>
      </c>
      <c r="Z279" s="2">
        <v>30.0</v>
      </c>
      <c r="AA279" s="2">
        <v>30.0</v>
      </c>
      <c r="AB279" s="2">
        <v>42.0</v>
      </c>
      <c r="AC279" s="2">
        <v>342.0</v>
      </c>
      <c r="AD279" s="3">
        <f t="shared" si="4"/>
        <v>9.6</v>
      </c>
    </row>
    <row r="280">
      <c r="A280" s="1" t="s">
        <v>289</v>
      </c>
      <c r="B280" s="1" t="s">
        <v>290</v>
      </c>
      <c r="C280" s="2" t="s">
        <v>291</v>
      </c>
      <c r="D280" s="2"/>
      <c r="E280" s="2">
        <v>35.0</v>
      </c>
      <c r="F280" s="2"/>
      <c r="G280" s="2">
        <v>14.5</v>
      </c>
      <c r="H280" s="2">
        <v>19.0</v>
      </c>
      <c r="I280" s="2">
        <v>34.0</v>
      </c>
      <c r="J280" s="3">
        <f t="shared" si="1"/>
        <v>12.15277778</v>
      </c>
      <c r="K280" s="2">
        <v>80.0</v>
      </c>
      <c r="L280" s="2">
        <v>192.0</v>
      </c>
      <c r="N280" s="3">
        <f t="shared" si="2"/>
        <v>192</v>
      </c>
      <c r="O280" s="2">
        <v>86.0</v>
      </c>
      <c r="P280" s="2">
        <f t="shared" si="3"/>
        <v>13.1</v>
      </c>
      <c r="Q280" s="2">
        <v>6.0</v>
      </c>
      <c r="R280" s="2">
        <v>6.0</v>
      </c>
      <c r="S280" s="2">
        <v>12.0</v>
      </c>
      <c r="T280" s="2">
        <v>8.0</v>
      </c>
      <c r="U280" s="2">
        <v>13.0</v>
      </c>
      <c r="V280" s="2">
        <v>13.0</v>
      </c>
      <c r="W280" s="2">
        <v>20.0</v>
      </c>
      <c r="X280" s="2">
        <v>26.0</v>
      </c>
      <c r="Y280" s="2">
        <v>23.0</v>
      </c>
      <c r="Z280" s="2">
        <v>29.0</v>
      </c>
      <c r="AA280" s="2">
        <v>28.0</v>
      </c>
      <c r="AB280" s="2">
        <v>40.0</v>
      </c>
      <c r="AC280" s="2">
        <v>330.0</v>
      </c>
      <c r="AD280" s="3">
        <f t="shared" si="4"/>
        <v>9.25</v>
      </c>
    </row>
    <row r="281">
      <c r="A281" s="1" t="s">
        <v>303</v>
      </c>
      <c r="B281" s="1" t="s">
        <v>304</v>
      </c>
      <c r="C281" s="2" t="s">
        <v>305</v>
      </c>
      <c r="D281" s="2"/>
      <c r="E281" s="2">
        <v>29.0</v>
      </c>
      <c r="F281" s="2"/>
      <c r="G281" s="2">
        <v>13.0</v>
      </c>
      <c r="H281" s="2">
        <v>14.0</v>
      </c>
      <c r="I281" s="2">
        <v>32.0</v>
      </c>
      <c r="J281" s="3">
        <f t="shared" si="1"/>
        <v>10.30555556</v>
      </c>
      <c r="K281" s="2">
        <v>95.0</v>
      </c>
      <c r="L281" s="2">
        <v>137.0</v>
      </c>
      <c r="N281" s="3">
        <f t="shared" si="2"/>
        <v>137</v>
      </c>
      <c r="O281" s="2">
        <v>86.0</v>
      </c>
      <c r="P281" s="2">
        <f t="shared" si="3"/>
        <v>12.475</v>
      </c>
      <c r="Q281" s="2">
        <v>7.0</v>
      </c>
      <c r="R281" s="2">
        <v>6.0</v>
      </c>
      <c r="S281" s="2">
        <v>14.0</v>
      </c>
      <c r="T281" s="2">
        <v>12.0</v>
      </c>
      <c r="U281" s="2">
        <v>14.0</v>
      </c>
      <c r="V281" s="2">
        <v>15.0</v>
      </c>
      <c r="W281" s="2">
        <v>14.0</v>
      </c>
      <c r="X281" s="2">
        <v>30.0</v>
      </c>
      <c r="Y281" s="2">
        <v>22.0</v>
      </c>
      <c r="Z281" s="2">
        <v>28.0</v>
      </c>
      <c r="AA281" s="2">
        <v>28.0</v>
      </c>
      <c r="AB281" s="2">
        <v>20.0</v>
      </c>
      <c r="AC281" s="2">
        <v>330.0</v>
      </c>
      <c r="AD281" s="3">
        <f t="shared" si="4"/>
        <v>8.75</v>
      </c>
    </row>
    <row r="282">
      <c r="A282" s="1" t="s">
        <v>587</v>
      </c>
      <c r="B282" s="1" t="s">
        <v>1463</v>
      </c>
      <c r="C282" s="2" t="s">
        <v>589</v>
      </c>
      <c r="D282" s="2"/>
      <c r="E282" s="2">
        <v>14.0</v>
      </c>
      <c r="F282" s="2"/>
      <c r="G282" s="2">
        <v>10.5</v>
      </c>
      <c r="H282" s="2">
        <v>10.0</v>
      </c>
      <c r="I282" s="2">
        <v>16.0</v>
      </c>
      <c r="J282" s="3">
        <f t="shared" si="1"/>
        <v>6.902777778</v>
      </c>
      <c r="K282" s="2">
        <v>95.0</v>
      </c>
      <c r="L282" s="2">
        <v>165.0</v>
      </c>
      <c r="N282" s="3">
        <f t="shared" si="2"/>
        <v>165</v>
      </c>
      <c r="O282" s="2">
        <v>85.0</v>
      </c>
      <c r="P282" s="2">
        <f t="shared" si="3"/>
        <v>13.125</v>
      </c>
      <c r="Q282" s="2">
        <v>7.0</v>
      </c>
      <c r="R282" s="2">
        <v>5.0</v>
      </c>
      <c r="S282" s="2">
        <v>9.0</v>
      </c>
      <c r="T282" s="2">
        <v>5.0</v>
      </c>
      <c r="U282" s="2">
        <v>15.0</v>
      </c>
      <c r="V282" s="2">
        <v>15.0</v>
      </c>
      <c r="W282" s="2">
        <v>20.0</v>
      </c>
      <c r="X282" s="2">
        <v>30.0</v>
      </c>
      <c r="Y282" s="2">
        <v>30.0</v>
      </c>
      <c r="Z282" s="2">
        <v>28.0</v>
      </c>
      <c r="AA282" s="2">
        <v>28.0</v>
      </c>
      <c r="AB282" s="2">
        <v>50.0</v>
      </c>
      <c r="AC282" s="2">
        <v>320.0</v>
      </c>
      <c r="AD282" s="3">
        <f t="shared" si="4"/>
        <v>9.25</v>
      </c>
    </row>
    <row r="283">
      <c r="A283" s="1" t="s">
        <v>292</v>
      </c>
      <c r="B283" s="101"/>
      <c r="C283" s="2" t="s">
        <v>292</v>
      </c>
      <c r="D283" s="2"/>
      <c r="E283" s="2">
        <v>19.0</v>
      </c>
      <c r="F283" s="2"/>
      <c r="G283" s="2">
        <v>10.0</v>
      </c>
      <c r="H283" s="2">
        <v>11.5</v>
      </c>
      <c r="I283" s="2">
        <v>29.0</v>
      </c>
      <c r="J283" s="3">
        <f t="shared" si="1"/>
        <v>8.597222222</v>
      </c>
      <c r="K283" s="2">
        <v>85.0</v>
      </c>
      <c r="L283" s="2">
        <v>180.0</v>
      </c>
      <c r="N283" s="3">
        <f t="shared" si="2"/>
        <v>180</v>
      </c>
      <c r="O283" s="2">
        <v>87.0</v>
      </c>
      <c r="P283" s="2">
        <f t="shared" si="3"/>
        <v>13.1</v>
      </c>
      <c r="Q283" s="2">
        <v>7.0</v>
      </c>
      <c r="R283" s="2">
        <v>2.0</v>
      </c>
      <c r="S283" s="2">
        <v>13.0</v>
      </c>
      <c r="T283" s="2">
        <v>8.0</v>
      </c>
      <c r="U283" s="2">
        <v>15.0</v>
      </c>
      <c r="V283" s="2">
        <v>15.0</v>
      </c>
      <c r="W283" s="2">
        <v>18.0</v>
      </c>
      <c r="X283" s="2">
        <v>21.0</v>
      </c>
      <c r="Y283" s="2">
        <v>24.0</v>
      </c>
      <c r="Z283" s="2">
        <v>28.0</v>
      </c>
      <c r="AA283" s="2">
        <v>28.0</v>
      </c>
      <c r="AB283" s="2">
        <v>30.0</v>
      </c>
      <c r="AC283" s="2">
        <v>300.0</v>
      </c>
      <c r="AD283" s="3">
        <f t="shared" si="4"/>
        <v>8.25</v>
      </c>
    </row>
    <row r="284">
      <c r="A284" s="1" t="s">
        <v>140</v>
      </c>
      <c r="B284" s="1" t="s">
        <v>141</v>
      </c>
      <c r="C284" s="2" t="s">
        <v>142</v>
      </c>
      <c r="D284" s="2"/>
      <c r="E284" s="2">
        <v>27.0</v>
      </c>
      <c r="F284" s="2"/>
      <c r="G284" s="2">
        <v>6.0</v>
      </c>
      <c r="H284" s="2">
        <v>11.0</v>
      </c>
      <c r="I284" s="2">
        <v>30.5</v>
      </c>
      <c r="J284" s="3">
        <f t="shared" si="1"/>
        <v>7.638888889</v>
      </c>
      <c r="K284" s="2">
        <v>70.0</v>
      </c>
      <c r="L284" s="2">
        <v>198.0</v>
      </c>
      <c r="N284" s="3">
        <f t="shared" si="2"/>
        <v>198</v>
      </c>
      <c r="O284" s="2">
        <v>90.0</v>
      </c>
      <c r="P284" s="2">
        <f t="shared" si="3"/>
        <v>12.95</v>
      </c>
      <c r="Q284" s="2">
        <v>7.0</v>
      </c>
      <c r="R284" s="2">
        <v>10.0</v>
      </c>
      <c r="T284" s="2">
        <v>8.0</v>
      </c>
      <c r="U284" s="2">
        <v>14.0</v>
      </c>
      <c r="W284" s="2">
        <v>20.0</v>
      </c>
      <c r="X284" s="2">
        <v>26.0</v>
      </c>
      <c r="Y284" s="2">
        <v>28.0</v>
      </c>
      <c r="Z284" s="2">
        <v>30.0</v>
      </c>
      <c r="AA284" s="2">
        <v>28.0</v>
      </c>
      <c r="AB284" s="2">
        <v>10.0</v>
      </c>
      <c r="AC284" s="2">
        <v>280.0</v>
      </c>
      <c r="AD284" s="3">
        <f t="shared" si="4"/>
        <v>7.25</v>
      </c>
    </row>
    <row r="285">
      <c r="A285" s="1" t="s">
        <v>770</v>
      </c>
      <c r="B285" s="1" t="s">
        <v>771</v>
      </c>
      <c r="C285" s="2" t="s">
        <v>772</v>
      </c>
      <c r="D285" s="2"/>
      <c r="E285" s="2">
        <v>30.0</v>
      </c>
      <c r="F285" s="2"/>
      <c r="G285" s="2">
        <v>12.0</v>
      </c>
      <c r="H285" s="2">
        <v>9.5</v>
      </c>
      <c r="I285" s="2">
        <v>27.0</v>
      </c>
      <c r="J285" s="3">
        <f t="shared" si="1"/>
        <v>8.375</v>
      </c>
      <c r="K285" s="2">
        <v>90.0</v>
      </c>
      <c r="L285" s="2">
        <v>200.0</v>
      </c>
      <c r="N285" s="3">
        <f t="shared" si="2"/>
        <v>200</v>
      </c>
      <c r="O285" s="2">
        <v>90.0</v>
      </c>
      <c r="P285" s="2">
        <f t="shared" si="3"/>
        <v>14</v>
      </c>
      <c r="Q285" s="2">
        <v>7.0</v>
      </c>
      <c r="R285" s="2">
        <v>4.0</v>
      </c>
      <c r="S285" s="2">
        <v>15.0</v>
      </c>
      <c r="T285" s="2">
        <v>12.0</v>
      </c>
      <c r="U285" s="2">
        <v>15.0</v>
      </c>
      <c r="V285" s="2">
        <v>14.0</v>
      </c>
      <c r="W285" s="2">
        <v>20.0</v>
      </c>
      <c r="X285" s="2">
        <v>28.44</v>
      </c>
      <c r="Y285" s="2">
        <v>27.89</v>
      </c>
      <c r="Z285" s="2">
        <v>30.0</v>
      </c>
      <c r="AA285" s="2">
        <v>29.0</v>
      </c>
      <c r="AB285" s="2">
        <v>49.0</v>
      </c>
      <c r="AC285" s="2">
        <v>345.0</v>
      </c>
      <c r="AD285" s="3">
        <f t="shared" si="4"/>
        <v>9.85</v>
      </c>
    </row>
    <row r="286">
      <c r="A286" s="1" t="s">
        <v>488</v>
      </c>
      <c r="B286" s="1" t="s">
        <v>489</v>
      </c>
      <c r="C286" s="2" t="s">
        <v>490</v>
      </c>
      <c r="D286" s="2"/>
      <c r="E286" s="2">
        <v>31.0</v>
      </c>
      <c r="F286" s="2"/>
      <c r="G286" s="2">
        <v>9.0</v>
      </c>
      <c r="H286" s="2">
        <v>15.0</v>
      </c>
      <c r="I286" s="2">
        <v>32.0</v>
      </c>
      <c r="J286" s="3">
        <f t="shared" si="1"/>
        <v>9.555555556</v>
      </c>
      <c r="K286" s="2">
        <v>92.0</v>
      </c>
      <c r="L286" s="2">
        <v>200.0</v>
      </c>
      <c r="N286" s="3">
        <f t="shared" si="2"/>
        <v>200</v>
      </c>
      <c r="O286" s="2">
        <v>99.0</v>
      </c>
      <c r="P286" s="2">
        <f t="shared" si="3"/>
        <v>14.55</v>
      </c>
      <c r="Q286" s="2">
        <v>7.0</v>
      </c>
      <c r="R286" s="2">
        <v>7.0</v>
      </c>
      <c r="S286" s="2">
        <v>11.0</v>
      </c>
      <c r="T286" s="2">
        <v>14.0</v>
      </c>
      <c r="U286" s="2">
        <v>14.5</v>
      </c>
      <c r="V286" s="2">
        <v>13.0</v>
      </c>
      <c r="W286" s="2">
        <v>19.5</v>
      </c>
      <c r="X286" s="2">
        <v>28.0</v>
      </c>
      <c r="Y286" s="2">
        <v>27.0</v>
      </c>
      <c r="Z286" s="2">
        <v>30.0</v>
      </c>
      <c r="AA286" s="2">
        <v>30.0</v>
      </c>
      <c r="AB286" s="2">
        <v>50.0</v>
      </c>
      <c r="AC286" s="2">
        <v>350.0</v>
      </c>
      <c r="AD286" s="3">
        <f t="shared" si="4"/>
        <v>10</v>
      </c>
    </row>
    <row r="287">
      <c r="A287" s="1" t="s">
        <v>877</v>
      </c>
      <c r="B287" s="1" t="s">
        <v>878</v>
      </c>
      <c r="C287" s="2" t="s">
        <v>879</v>
      </c>
      <c r="D287" s="2"/>
      <c r="E287" s="2">
        <v>33.0</v>
      </c>
      <c r="F287" s="2"/>
      <c r="G287" s="2">
        <v>11.0</v>
      </c>
      <c r="H287" s="2">
        <v>15.5</v>
      </c>
      <c r="I287" s="2">
        <v>33.0</v>
      </c>
      <c r="J287" s="3">
        <f t="shared" si="1"/>
        <v>10.29166667</v>
      </c>
      <c r="K287" s="2">
        <v>100.0</v>
      </c>
      <c r="L287" s="2">
        <v>200.0</v>
      </c>
      <c r="N287" s="3">
        <f t="shared" si="2"/>
        <v>200</v>
      </c>
      <c r="O287" s="2">
        <v>98.0</v>
      </c>
      <c r="P287" s="2">
        <f t="shared" si="3"/>
        <v>14.9</v>
      </c>
      <c r="Q287" s="2">
        <v>7.0</v>
      </c>
      <c r="R287" s="2">
        <v>10.0</v>
      </c>
      <c r="S287" s="2">
        <v>14.0</v>
      </c>
      <c r="T287" s="2">
        <v>13.5</v>
      </c>
      <c r="U287" s="2">
        <v>15.0</v>
      </c>
      <c r="V287" s="2">
        <v>15.0</v>
      </c>
      <c r="W287" s="2">
        <v>20.0</v>
      </c>
      <c r="X287" s="2">
        <v>26.0</v>
      </c>
      <c r="Y287" s="2">
        <v>29.0</v>
      </c>
      <c r="Z287" s="2">
        <v>30.0</v>
      </c>
      <c r="AA287" s="2">
        <v>30.0</v>
      </c>
      <c r="AB287" s="2">
        <v>40.0</v>
      </c>
      <c r="AC287" s="2">
        <v>350.0</v>
      </c>
      <c r="AD287" s="3">
        <f t="shared" si="4"/>
        <v>9.75</v>
      </c>
    </row>
    <row r="288">
      <c r="A288" s="1" t="s">
        <v>213</v>
      </c>
      <c r="B288" s="1" t="s">
        <v>214</v>
      </c>
      <c r="C288" s="2" t="s">
        <v>215</v>
      </c>
      <c r="D288" s="2"/>
      <c r="E288" s="2">
        <v>24.0</v>
      </c>
      <c r="F288" s="2"/>
      <c r="G288" s="2">
        <v>19.0</v>
      </c>
      <c r="H288" s="2">
        <v>13.5</v>
      </c>
      <c r="I288" s="2">
        <v>26.0</v>
      </c>
      <c r="J288" s="3">
        <f t="shared" si="1"/>
        <v>11.01388889</v>
      </c>
      <c r="K288" s="2">
        <v>95.0</v>
      </c>
      <c r="L288" s="2">
        <v>160.0</v>
      </c>
      <c r="N288" s="3">
        <f t="shared" si="2"/>
        <v>160</v>
      </c>
      <c r="O288" s="2">
        <v>180.0</v>
      </c>
      <c r="P288" s="2">
        <f t="shared" si="3"/>
        <v>17.75</v>
      </c>
      <c r="Q288" s="2">
        <v>7.0</v>
      </c>
      <c r="R288" s="2">
        <v>7.0</v>
      </c>
      <c r="S288" s="2">
        <v>9.0</v>
      </c>
      <c r="T288" s="2">
        <v>9.0</v>
      </c>
      <c r="U288" s="2">
        <v>13.0</v>
      </c>
      <c r="V288" s="2">
        <v>15.0</v>
      </c>
      <c r="W288" s="2">
        <v>18.0</v>
      </c>
      <c r="X288" s="2">
        <v>24.0</v>
      </c>
      <c r="Y288" s="2">
        <v>27.0</v>
      </c>
      <c r="Z288" s="2">
        <v>30.0</v>
      </c>
      <c r="AA288" s="2">
        <v>28.0</v>
      </c>
      <c r="AB288" s="2">
        <v>30.0</v>
      </c>
      <c r="AC288" s="2">
        <v>330.0</v>
      </c>
      <c r="AD288" s="3">
        <f t="shared" si="4"/>
        <v>9</v>
      </c>
    </row>
    <row r="289">
      <c r="A289" s="1" t="s">
        <v>271</v>
      </c>
      <c r="B289" s="1" t="s">
        <v>272</v>
      </c>
      <c r="C289" s="2" t="s">
        <v>273</v>
      </c>
      <c r="D289" s="2"/>
      <c r="E289" s="2">
        <v>37.0</v>
      </c>
      <c r="F289" s="2"/>
      <c r="G289" s="2">
        <v>18.0</v>
      </c>
      <c r="H289" s="2">
        <v>17.5</v>
      </c>
      <c r="I289" s="2">
        <v>17.0</v>
      </c>
      <c r="J289" s="3">
        <f t="shared" si="1"/>
        <v>10.76388889</v>
      </c>
      <c r="K289" s="2">
        <v>100.0</v>
      </c>
      <c r="L289" s="2">
        <v>200.0</v>
      </c>
      <c r="N289" s="3">
        <f t="shared" si="2"/>
        <v>200</v>
      </c>
      <c r="O289" s="2">
        <v>88.0</v>
      </c>
      <c r="P289" s="2">
        <f t="shared" si="3"/>
        <v>14.4</v>
      </c>
      <c r="Q289" s="2">
        <v>4.0</v>
      </c>
      <c r="R289" s="2">
        <v>7.0</v>
      </c>
      <c r="S289" s="2">
        <v>13.0</v>
      </c>
      <c r="T289" s="2">
        <v>13.0</v>
      </c>
      <c r="U289" s="2">
        <v>13.0</v>
      </c>
      <c r="V289" s="2">
        <v>15.0</v>
      </c>
      <c r="W289" s="2">
        <v>20.0</v>
      </c>
      <c r="X289" s="2">
        <v>30.0</v>
      </c>
      <c r="Y289" s="2">
        <v>27.0</v>
      </c>
      <c r="Z289" s="2">
        <v>29.0</v>
      </c>
      <c r="AA289" s="2">
        <v>28.0</v>
      </c>
      <c r="AB289" s="2">
        <v>25.0</v>
      </c>
      <c r="AC289" s="2">
        <v>320.0</v>
      </c>
      <c r="AD289" s="3">
        <f t="shared" si="4"/>
        <v>8.625</v>
      </c>
    </row>
    <row r="290">
      <c r="A290" s="1" t="s">
        <v>330</v>
      </c>
      <c r="B290" s="1" t="s">
        <v>331</v>
      </c>
      <c r="C290" s="2" t="s">
        <v>332</v>
      </c>
      <c r="D290" s="2"/>
      <c r="E290" s="2">
        <v>22.0</v>
      </c>
      <c r="F290" s="2"/>
      <c r="G290" s="2">
        <v>11.0</v>
      </c>
      <c r="H290" s="2">
        <v>8.0</v>
      </c>
      <c r="I290" s="2">
        <v>20.0</v>
      </c>
      <c r="J290" s="3">
        <f t="shared" si="1"/>
        <v>6.972222222</v>
      </c>
      <c r="K290" s="2">
        <v>99.0</v>
      </c>
      <c r="L290" s="2">
        <v>180.0</v>
      </c>
      <c r="N290" s="3">
        <f t="shared" si="2"/>
        <v>180</v>
      </c>
      <c r="O290" s="2">
        <v>99.0</v>
      </c>
      <c r="P290" s="2">
        <f t="shared" si="3"/>
        <v>14.4</v>
      </c>
      <c r="Q290" s="2">
        <v>7.0</v>
      </c>
      <c r="R290" s="2">
        <v>2.0</v>
      </c>
      <c r="S290" s="2">
        <v>14.0</v>
      </c>
      <c r="T290" s="2">
        <v>13.0</v>
      </c>
      <c r="U290" s="2">
        <v>14.0</v>
      </c>
      <c r="V290" s="2">
        <v>14.0</v>
      </c>
      <c r="W290" s="2">
        <v>18.0</v>
      </c>
      <c r="X290" s="2">
        <v>30.0</v>
      </c>
      <c r="Y290" s="2">
        <v>30.0</v>
      </c>
      <c r="Z290" s="2">
        <v>30.0</v>
      </c>
      <c r="AA290" s="2">
        <v>30.0</v>
      </c>
      <c r="AB290" s="2">
        <v>50.0</v>
      </c>
      <c r="AC290" s="2">
        <v>350.0</v>
      </c>
      <c r="AD290" s="3">
        <f t="shared" si="4"/>
        <v>10</v>
      </c>
    </row>
    <row r="291">
      <c r="A291" s="1" t="s">
        <v>342</v>
      </c>
      <c r="B291" s="1" t="s">
        <v>343</v>
      </c>
      <c r="C291" s="2" t="s">
        <v>344</v>
      </c>
      <c r="D291" s="2"/>
      <c r="E291" s="2">
        <v>12.0</v>
      </c>
      <c r="F291" s="2"/>
      <c r="G291" s="2">
        <v>5.5</v>
      </c>
      <c r="H291" s="2">
        <v>2.0</v>
      </c>
      <c r="I291" s="2">
        <v>23.0</v>
      </c>
      <c r="J291" s="3">
        <f t="shared" si="1"/>
        <v>4.430555556</v>
      </c>
      <c r="K291" s="2">
        <v>100.0</v>
      </c>
      <c r="L291" s="2">
        <v>200.0</v>
      </c>
      <c r="N291" s="3">
        <f t="shared" si="2"/>
        <v>200</v>
      </c>
      <c r="O291" s="2">
        <v>100.0</v>
      </c>
      <c r="P291" s="2">
        <f t="shared" si="3"/>
        <v>15</v>
      </c>
      <c r="Q291" s="2">
        <v>7.0</v>
      </c>
      <c r="R291" s="2">
        <v>5.0</v>
      </c>
      <c r="S291" s="2">
        <v>15.0</v>
      </c>
      <c r="T291" s="2">
        <v>13.0</v>
      </c>
      <c r="U291" s="2">
        <v>13.0</v>
      </c>
      <c r="V291" s="2">
        <v>14.0</v>
      </c>
      <c r="W291" s="2">
        <v>20.0</v>
      </c>
      <c r="X291" s="2">
        <v>30.0</v>
      </c>
      <c r="Y291" s="2">
        <v>30.0</v>
      </c>
      <c r="Z291" s="2">
        <v>29.0</v>
      </c>
      <c r="AA291" s="2">
        <v>28.0</v>
      </c>
      <c r="AB291" s="2">
        <v>30.0</v>
      </c>
      <c r="AC291" s="2">
        <v>350.0</v>
      </c>
      <c r="AD291" s="3">
        <f t="shared" si="4"/>
        <v>9.5</v>
      </c>
    </row>
    <row r="292">
      <c r="A292" s="1" t="s">
        <v>530</v>
      </c>
      <c r="B292" s="1" t="s">
        <v>531</v>
      </c>
      <c r="C292" s="2" t="s">
        <v>532</v>
      </c>
      <c r="D292" s="2"/>
      <c r="E292" s="2">
        <v>21.0</v>
      </c>
      <c r="F292" s="2"/>
      <c r="G292" s="2">
        <v>12.0</v>
      </c>
      <c r="H292" s="2">
        <v>15.5</v>
      </c>
      <c r="I292" s="2">
        <v>26.0</v>
      </c>
      <c r="J292" s="3">
        <f t="shared" si="1"/>
        <v>9.763888889</v>
      </c>
      <c r="K292" s="2">
        <v>93.0</v>
      </c>
      <c r="L292" s="2">
        <v>187.0</v>
      </c>
      <c r="N292" s="3">
        <f t="shared" si="2"/>
        <v>187</v>
      </c>
      <c r="O292" s="2">
        <v>99.0</v>
      </c>
      <c r="P292" s="2">
        <f t="shared" si="3"/>
        <v>14.275</v>
      </c>
      <c r="Q292" s="2">
        <v>6.0</v>
      </c>
      <c r="R292" s="2">
        <v>6.0</v>
      </c>
      <c r="S292" s="2">
        <v>5.0</v>
      </c>
      <c r="T292" s="2">
        <v>13.0</v>
      </c>
      <c r="U292" s="2">
        <v>0.0</v>
      </c>
      <c r="V292" s="2">
        <v>14.5</v>
      </c>
      <c r="W292" s="2">
        <v>20.0</v>
      </c>
      <c r="X292" s="2">
        <v>20.0</v>
      </c>
      <c r="Y292" s="2">
        <v>21.0</v>
      </c>
      <c r="Z292" s="2">
        <v>29.0</v>
      </c>
      <c r="AB292" s="2">
        <v>45.0</v>
      </c>
      <c r="AC292" s="2">
        <v>343.0</v>
      </c>
      <c r="AD292" s="3">
        <f t="shared" si="4"/>
        <v>9.7</v>
      </c>
    </row>
    <row r="293">
      <c r="A293" s="1" t="s">
        <v>692</v>
      </c>
      <c r="B293" s="1" t="s">
        <v>693</v>
      </c>
      <c r="C293" s="2" t="s">
        <v>694</v>
      </c>
      <c r="D293" s="2"/>
      <c r="E293" s="2">
        <v>27.0</v>
      </c>
      <c r="F293" s="2"/>
      <c r="G293" s="2">
        <v>14.0</v>
      </c>
      <c r="H293" s="2">
        <v>12.5</v>
      </c>
      <c r="I293" s="2">
        <v>25.0</v>
      </c>
      <c r="J293" s="3">
        <f t="shared" si="1"/>
        <v>9.402777778</v>
      </c>
      <c r="K293" s="2">
        <v>100.0</v>
      </c>
      <c r="L293" s="2">
        <v>200.0</v>
      </c>
      <c r="N293" s="3">
        <f t="shared" si="2"/>
        <v>200</v>
      </c>
      <c r="O293" s="2">
        <v>80.0</v>
      </c>
      <c r="P293" s="2">
        <f t="shared" si="3"/>
        <v>14</v>
      </c>
      <c r="Q293" s="2">
        <v>7.0</v>
      </c>
      <c r="R293" s="2">
        <v>10.0</v>
      </c>
      <c r="S293" s="2">
        <v>10.0</v>
      </c>
      <c r="T293" s="2">
        <v>10.0</v>
      </c>
      <c r="U293" s="2">
        <v>15.0</v>
      </c>
      <c r="V293" s="2">
        <v>15.0</v>
      </c>
      <c r="W293" s="2">
        <v>20.0</v>
      </c>
      <c r="X293" s="2">
        <v>25.0</v>
      </c>
      <c r="Y293" s="2">
        <v>30.0</v>
      </c>
      <c r="Z293" s="2">
        <v>29.0</v>
      </c>
      <c r="AA293" s="2">
        <v>29.0</v>
      </c>
      <c r="AB293" s="2">
        <v>30.0</v>
      </c>
      <c r="AC293" s="2">
        <v>320.0</v>
      </c>
      <c r="AD293" s="3">
        <f t="shared" si="4"/>
        <v>8.75</v>
      </c>
    </row>
    <row r="294">
      <c r="A294" s="1" t="s">
        <v>262</v>
      </c>
      <c r="B294" s="1" t="s">
        <v>263</v>
      </c>
      <c r="C294" s="2" t="s">
        <v>264</v>
      </c>
      <c r="D294" s="2"/>
      <c r="E294" s="2">
        <v>20.0</v>
      </c>
      <c r="F294" s="2"/>
      <c r="G294" s="2">
        <v>6.0</v>
      </c>
      <c r="H294" s="2">
        <v>5.0</v>
      </c>
      <c r="I294" s="2">
        <v>25.0</v>
      </c>
      <c r="J294" s="3">
        <f t="shared" si="1"/>
        <v>5.527777778</v>
      </c>
      <c r="K294" s="2">
        <v>95.0</v>
      </c>
      <c r="L294" s="2">
        <v>175.0</v>
      </c>
      <c r="N294" s="3">
        <f t="shared" si="2"/>
        <v>175</v>
      </c>
      <c r="O294" s="2">
        <v>85.0</v>
      </c>
      <c r="P294" s="2">
        <f t="shared" si="3"/>
        <v>13.375</v>
      </c>
      <c r="Q294" s="2">
        <v>7.0</v>
      </c>
      <c r="R294" s="2">
        <v>5.0</v>
      </c>
      <c r="S294" s="2">
        <v>10.0</v>
      </c>
      <c r="U294" s="2">
        <v>14.0</v>
      </c>
      <c r="V294" s="2">
        <v>13.0</v>
      </c>
      <c r="W294" s="2">
        <v>20.0</v>
      </c>
      <c r="X294" s="2">
        <v>26.0</v>
      </c>
      <c r="Y294" s="2">
        <v>24.0</v>
      </c>
      <c r="Z294" s="2">
        <v>28.0</v>
      </c>
      <c r="AA294" s="2">
        <v>27.0</v>
      </c>
      <c r="AB294" s="2">
        <v>10.0</v>
      </c>
      <c r="AC294" s="2">
        <v>270.0</v>
      </c>
      <c r="AD294" s="3">
        <f t="shared" si="4"/>
        <v>7</v>
      </c>
    </row>
    <row r="295">
      <c r="A295" s="1" t="s">
        <v>862</v>
      </c>
      <c r="B295" s="1" t="s">
        <v>863</v>
      </c>
      <c r="C295" s="2" t="s">
        <v>864</v>
      </c>
      <c r="D295" s="2"/>
      <c r="E295" s="2">
        <v>28.0</v>
      </c>
      <c r="F295" s="2"/>
      <c r="G295" s="2">
        <v>11.0</v>
      </c>
      <c r="H295" s="2">
        <v>15.0</v>
      </c>
      <c r="I295" s="2">
        <v>38.0</v>
      </c>
      <c r="J295" s="3">
        <f t="shared" si="1"/>
        <v>10.72222222</v>
      </c>
      <c r="K295" s="2">
        <v>96.0</v>
      </c>
      <c r="L295" s="2">
        <v>160.0</v>
      </c>
      <c r="M295" s="2">
        <v>190.0</v>
      </c>
      <c r="N295" s="3">
        <f t="shared" si="2"/>
        <v>190</v>
      </c>
      <c r="O295" s="2">
        <v>99.0</v>
      </c>
      <c r="P295" s="2">
        <f t="shared" si="3"/>
        <v>14.5</v>
      </c>
      <c r="Q295" s="2">
        <v>7.0</v>
      </c>
      <c r="R295" s="2">
        <v>9.0</v>
      </c>
      <c r="S295" s="2">
        <v>9.0</v>
      </c>
      <c r="T295" s="2">
        <v>14.0</v>
      </c>
      <c r="U295" s="2">
        <v>15.0</v>
      </c>
      <c r="V295" s="2">
        <v>13.0</v>
      </c>
      <c r="W295" s="2">
        <v>19.0</v>
      </c>
      <c r="X295" s="2">
        <v>27.5</v>
      </c>
      <c r="Y295" s="2">
        <v>27.0</v>
      </c>
      <c r="Z295" s="2">
        <v>30.0</v>
      </c>
      <c r="AA295" s="2">
        <v>30.0</v>
      </c>
      <c r="AB295" s="2">
        <v>49.0</v>
      </c>
      <c r="AC295" s="2">
        <v>350.0</v>
      </c>
      <c r="AD295" s="3">
        <f t="shared" si="4"/>
        <v>9.975</v>
      </c>
    </row>
    <row r="296">
      <c r="A296" s="1" t="s">
        <v>773</v>
      </c>
      <c r="B296" s="1" t="s">
        <v>774</v>
      </c>
      <c r="C296" s="2" t="s">
        <v>773</v>
      </c>
      <c r="D296" s="2"/>
      <c r="E296" s="2">
        <v>34.0</v>
      </c>
      <c r="F296" s="2"/>
      <c r="G296" s="2">
        <v>8.0</v>
      </c>
      <c r="H296" s="2">
        <v>17.0</v>
      </c>
      <c r="I296" s="2">
        <v>27.0</v>
      </c>
      <c r="J296" s="3">
        <f t="shared" si="1"/>
        <v>9.25</v>
      </c>
      <c r="K296" s="2">
        <v>95.0</v>
      </c>
      <c r="L296" s="2">
        <v>190.0</v>
      </c>
      <c r="N296" s="3">
        <f t="shared" si="2"/>
        <v>190</v>
      </c>
      <c r="O296" s="2">
        <v>92.0</v>
      </c>
      <c r="P296" s="2">
        <f t="shared" si="3"/>
        <v>14.1</v>
      </c>
      <c r="Q296" s="2">
        <v>7.0</v>
      </c>
      <c r="R296" s="2">
        <v>6.0</v>
      </c>
      <c r="S296" s="2">
        <v>14.0</v>
      </c>
      <c r="T296" s="2">
        <v>10.0</v>
      </c>
      <c r="U296" s="2">
        <v>14.0</v>
      </c>
      <c r="V296" s="2">
        <v>13.5</v>
      </c>
      <c r="W296" s="2">
        <v>20.0</v>
      </c>
      <c r="X296" s="2">
        <v>25.0</v>
      </c>
      <c r="Y296" s="2">
        <v>26.32</v>
      </c>
      <c r="Z296" s="2">
        <v>29.0</v>
      </c>
      <c r="AA296" s="2">
        <v>29.0</v>
      </c>
      <c r="AB296" s="2">
        <v>43.0</v>
      </c>
      <c r="AC296" s="2">
        <v>345.0</v>
      </c>
      <c r="AD296" s="3">
        <f t="shared" si="4"/>
        <v>9.7</v>
      </c>
    </row>
    <row r="297">
      <c r="A297" s="1" t="s">
        <v>152</v>
      </c>
      <c r="B297" s="1" t="s">
        <v>153</v>
      </c>
      <c r="C297" s="2" t="s">
        <v>154</v>
      </c>
      <c r="D297" s="2"/>
      <c r="E297" s="2">
        <v>27.0</v>
      </c>
      <c r="F297" s="2"/>
      <c r="G297" s="2">
        <v>7.0</v>
      </c>
      <c r="H297" s="2">
        <v>14.0</v>
      </c>
      <c r="I297" s="2">
        <v>31.5</v>
      </c>
      <c r="J297" s="3">
        <f t="shared" si="1"/>
        <v>8.75</v>
      </c>
      <c r="K297" s="2">
        <v>100.0</v>
      </c>
      <c r="L297" s="2">
        <v>180.0</v>
      </c>
      <c r="N297" s="3">
        <f t="shared" si="2"/>
        <v>180</v>
      </c>
      <c r="O297" s="2">
        <v>90.0</v>
      </c>
      <c r="P297" s="2">
        <f t="shared" si="3"/>
        <v>14</v>
      </c>
      <c r="Q297" s="2">
        <v>6.0</v>
      </c>
      <c r="R297" s="2">
        <v>7.0</v>
      </c>
      <c r="T297" s="2">
        <v>10.0</v>
      </c>
      <c r="U297" s="2">
        <v>15.0</v>
      </c>
      <c r="V297" s="2">
        <v>14.0</v>
      </c>
      <c r="W297" s="2">
        <v>20.0</v>
      </c>
      <c r="X297" s="2">
        <v>26.0</v>
      </c>
      <c r="Y297" s="2">
        <v>25.0</v>
      </c>
      <c r="Z297" s="2">
        <v>29.0</v>
      </c>
      <c r="AA297" s="2">
        <v>28.0</v>
      </c>
      <c r="AB297" s="2">
        <v>40.0</v>
      </c>
      <c r="AC297" s="2">
        <v>310.0</v>
      </c>
      <c r="AD297" s="3">
        <f t="shared" si="4"/>
        <v>8.75</v>
      </c>
    </row>
    <row r="298">
      <c r="A298" s="1" t="s">
        <v>256</v>
      </c>
      <c r="B298" s="1" t="s">
        <v>257</v>
      </c>
      <c r="C298" s="2" t="s">
        <v>258</v>
      </c>
      <c r="D298" s="2"/>
      <c r="E298" s="2">
        <v>17.0</v>
      </c>
      <c r="F298" s="2"/>
      <c r="G298" s="2">
        <v>8.0</v>
      </c>
      <c r="H298" s="2">
        <v>4.0</v>
      </c>
      <c r="I298" s="2">
        <v>15.0</v>
      </c>
      <c r="J298" s="3">
        <f t="shared" si="1"/>
        <v>4.666666667</v>
      </c>
      <c r="K298" s="2">
        <v>90.0</v>
      </c>
      <c r="L298" s="2">
        <v>170.0</v>
      </c>
      <c r="N298" s="3">
        <f t="shared" si="2"/>
        <v>170</v>
      </c>
      <c r="O298" s="2">
        <v>90.0</v>
      </c>
      <c r="P298" s="2">
        <f t="shared" si="3"/>
        <v>13.25</v>
      </c>
      <c r="Q298" s="2">
        <v>6.0</v>
      </c>
      <c r="R298" s="2">
        <v>5.0</v>
      </c>
      <c r="S298" s="2">
        <v>0.0</v>
      </c>
      <c r="T298" s="2">
        <v>3.0</v>
      </c>
      <c r="U298" s="2">
        <v>14.0</v>
      </c>
      <c r="V298" s="2">
        <v>15.0</v>
      </c>
      <c r="W298" s="2">
        <v>20.0</v>
      </c>
      <c r="X298" s="2">
        <v>25.0</v>
      </c>
      <c r="Y298" s="2">
        <v>24.0</v>
      </c>
      <c r="Z298" s="2">
        <v>30.0</v>
      </c>
      <c r="AA298" s="2">
        <v>28.0</v>
      </c>
      <c r="AB298" s="2">
        <v>35.0</v>
      </c>
      <c r="AC298" s="2">
        <v>280.0</v>
      </c>
      <c r="AD298" s="3">
        <f t="shared" si="4"/>
        <v>7.875</v>
      </c>
    </row>
    <row r="299">
      <c r="A299" s="1" t="s">
        <v>479</v>
      </c>
      <c r="B299" s="1" t="s">
        <v>480</v>
      </c>
      <c r="C299" s="2" t="s">
        <v>481</v>
      </c>
      <c r="D299" s="2"/>
      <c r="E299" s="2">
        <v>27.0</v>
      </c>
      <c r="F299" s="2"/>
      <c r="G299" s="2">
        <v>10.0</v>
      </c>
      <c r="H299" s="2">
        <v>12.0</v>
      </c>
      <c r="I299" s="2">
        <v>28.0</v>
      </c>
      <c r="J299" s="3">
        <f t="shared" si="1"/>
        <v>8.611111111</v>
      </c>
      <c r="K299" s="2">
        <v>94.0</v>
      </c>
      <c r="L299" s="2">
        <v>185.0</v>
      </c>
      <c r="N299" s="3">
        <f t="shared" si="2"/>
        <v>185</v>
      </c>
      <c r="O299" s="2">
        <v>97.0</v>
      </c>
      <c r="P299" s="2">
        <f t="shared" si="3"/>
        <v>14.175</v>
      </c>
      <c r="Q299" s="2">
        <v>7.0</v>
      </c>
      <c r="R299" s="2">
        <v>5.0</v>
      </c>
      <c r="S299" s="2">
        <v>7.0</v>
      </c>
      <c r="T299" s="2">
        <v>10.0</v>
      </c>
      <c r="U299" s="2">
        <v>14.0</v>
      </c>
      <c r="V299" s="2">
        <v>14.0</v>
      </c>
      <c r="W299" s="2">
        <v>18.0</v>
      </c>
      <c r="X299" s="2">
        <v>28.0</v>
      </c>
      <c r="Y299" s="2">
        <v>29.0</v>
      </c>
      <c r="Z299" s="2">
        <v>30.0</v>
      </c>
      <c r="AA299" s="2">
        <v>29.0</v>
      </c>
      <c r="AB299" s="2">
        <v>50.0</v>
      </c>
      <c r="AC299" s="2">
        <v>345.0</v>
      </c>
      <c r="AD299" s="3">
        <f t="shared" si="4"/>
        <v>9.875</v>
      </c>
    </row>
    <row r="300">
      <c r="A300" s="1" t="s">
        <v>1464</v>
      </c>
      <c r="B300" s="101"/>
      <c r="C300" s="2" t="s">
        <v>997</v>
      </c>
      <c r="D300" s="2"/>
      <c r="E300" s="2">
        <v>11.0</v>
      </c>
      <c r="F300" s="2"/>
      <c r="G300" s="2">
        <v>9.0</v>
      </c>
      <c r="H300" s="2">
        <v>10.0</v>
      </c>
      <c r="I300" s="2">
        <v>22.0</v>
      </c>
      <c r="J300" s="3">
        <f t="shared" si="1"/>
        <v>7.194444444</v>
      </c>
      <c r="K300" s="2">
        <v>50.0</v>
      </c>
      <c r="L300" s="2">
        <v>165.0</v>
      </c>
      <c r="M300" s="2">
        <v>160.0</v>
      </c>
      <c r="N300" s="3">
        <f t="shared" si="2"/>
        <v>165</v>
      </c>
      <c r="O300" s="2">
        <v>92.0</v>
      </c>
      <c r="P300" s="2">
        <f t="shared" si="3"/>
        <v>11.225</v>
      </c>
      <c r="Q300" s="2">
        <v>6.0</v>
      </c>
      <c r="S300" s="2">
        <v>10.0</v>
      </c>
      <c r="T300" s="2">
        <v>5.0</v>
      </c>
      <c r="U300" s="2">
        <v>10.0</v>
      </c>
      <c r="V300" s="2">
        <v>12.0</v>
      </c>
      <c r="W300" s="2">
        <v>15.0</v>
      </c>
      <c r="X300" s="2">
        <v>28.0</v>
      </c>
      <c r="Y300" s="2">
        <v>30.0</v>
      </c>
      <c r="Z300" s="2">
        <v>28.0</v>
      </c>
      <c r="AA300" s="2">
        <v>29.0</v>
      </c>
      <c r="AB300" s="2">
        <v>50.0</v>
      </c>
      <c r="AC300" s="2">
        <v>290.0</v>
      </c>
      <c r="AD300" s="3">
        <f t="shared" si="4"/>
        <v>8.5</v>
      </c>
    </row>
    <row r="301">
      <c r="A301" s="1" t="s">
        <v>1465</v>
      </c>
      <c r="B301" s="101"/>
      <c r="C301" s="2" t="s">
        <v>1006</v>
      </c>
      <c r="D301" s="2"/>
      <c r="E301" s="2">
        <v>26.0</v>
      </c>
      <c r="F301" s="2"/>
      <c r="G301" s="2">
        <v>13.0</v>
      </c>
      <c r="H301" s="2">
        <v>12.0</v>
      </c>
      <c r="I301" s="2">
        <v>19.0</v>
      </c>
      <c r="J301" s="3">
        <f t="shared" si="1"/>
        <v>8.361111111</v>
      </c>
      <c r="K301" s="2">
        <v>95.0</v>
      </c>
      <c r="L301" s="2">
        <v>170.0</v>
      </c>
      <c r="N301" s="3">
        <f t="shared" si="2"/>
        <v>170</v>
      </c>
      <c r="O301" s="2">
        <v>88.0</v>
      </c>
      <c r="P301" s="2">
        <f t="shared" si="3"/>
        <v>13.4</v>
      </c>
      <c r="Q301" s="2">
        <v>7.0</v>
      </c>
      <c r="R301" s="2">
        <v>7.0</v>
      </c>
      <c r="S301" s="2">
        <v>9.0</v>
      </c>
      <c r="T301" s="2">
        <v>9.0</v>
      </c>
      <c r="U301" s="2">
        <v>15.0</v>
      </c>
      <c r="V301" s="2">
        <v>15.0</v>
      </c>
      <c r="W301" s="2">
        <v>17.0</v>
      </c>
      <c r="X301" s="2">
        <v>30.0</v>
      </c>
      <c r="Y301" s="2">
        <v>30.0</v>
      </c>
      <c r="Z301" s="2">
        <v>28.0</v>
      </c>
      <c r="AA301" s="2">
        <v>29.0</v>
      </c>
      <c r="AB301" s="2">
        <v>50.0</v>
      </c>
      <c r="AC301" s="2">
        <v>320.0</v>
      </c>
      <c r="AD301" s="3">
        <f t="shared" si="4"/>
        <v>9.25</v>
      </c>
    </row>
    <row r="302">
      <c r="A302" s="1" t="s">
        <v>599</v>
      </c>
      <c r="B302" s="1" t="s">
        <v>600</v>
      </c>
      <c r="C302" s="2" t="s">
        <v>601</v>
      </c>
      <c r="D302" s="2"/>
      <c r="E302" s="2">
        <v>35.0</v>
      </c>
      <c r="F302" s="2"/>
      <c r="G302" s="2">
        <v>14.0</v>
      </c>
      <c r="H302" s="2">
        <v>7.0</v>
      </c>
      <c r="I302" s="2">
        <v>36.0</v>
      </c>
      <c r="J302" s="3">
        <f t="shared" si="1"/>
        <v>9.25</v>
      </c>
      <c r="K302" s="2">
        <v>95.0</v>
      </c>
      <c r="L302" s="2">
        <v>200.0</v>
      </c>
      <c r="N302" s="3">
        <f t="shared" si="2"/>
        <v>200</v>
      </c>
      <c r="O302" s="2">
        <v>100.0</v>
      </c>
      <c r="P302" s="2">
        <f t="shared" si="3"/>
        <v>14.75</v>
      </c>
      <c r="Q302" s="2">
        <v>7.0</v>
      </c>
      <c r="R302" s="2">
        <v>8.0</v>
      </c>
      <c r="S302" s="2">
        <v>12.0</v>
      </c>
      <c r="T302" s="2">
        <v>10.0</v>
      </c>
      <c r="U302" s="2">
        <v>15.0</v>
      </c>
      <c r="V302" s="2">
        <v>14.0</v>
      </c>
      <c r="W302" s="2">
        <v>20.0</v>
      </c>
      <c r="X302" s="2">
        <v>30.0</v>
      </c>
      <c r="Y302" s="2">
        <v>29.0</v>
      </c>
      <c r="Z302" s="2">
        <v>29.0</v>
      </c>
      <c r="AA302" s="2">
        <v>30.0</v>
      </c>
      <c r="AB302" s="2">
        <v>50.0</v>
      </c>
      <c r="AC302" s="2">
        <v>340.0</v>
      </c>
      <c r="AD302" s="3">
        <f t="shared" si="4"/>
        <v>9.75</v>
      </c>
    </row>
    <row r="303">
      <c r="A303" s="1" t="s">
        <v>11</v>
      </c>
      <c r="B303" s="1" t="s">
        <v>12</v>
      </c>
      <c r="C303" s="2" t="s">
        <v>13</v>
      </c>
      <c r="D303" s="2"/>
      <c r="E303" s="2">
        <v>25.0</v>
      </c>
      <c r="F303" s="2"/>
      <c r="G303" s="2">
        <v>8.0</v>
      </c>
      <c r="H303" s="2">
        <v>18.0</v>
      </c>
      <c r="I303" s="2">
        <v>26.0</v>
      </c>
      <c r="J303" s="3">
        <f t="shared" si="1"/>
        <v>9.388888889</v>
      </c>
      <c r="K303" s="2">
        <v>95.0</v>
      </c>
      <c r="L303" s="2">
        <v>190.0</v>
      </c>
      <c r="M303" s="2">
        <v>190.0</v>
      </c>
      <c r="N303" s="3">
        <f t="shared" si="2"/>
        <v>190</v>
      </c>
      <c r="O303" s="2">
        <v>95.0</v>
      </c>
      <c r="P303" s="2">
        <f t="shared" si="3"/>
        <v>14.25</v>
      </c>
      <c r="Q303" s="2">
        <v>6.0</v>
      </c>
      <c r="T303" s="2">
        <v>12.0</v>
      </c>
      <c r="U303" s="2">
        <v>15.0</v>
      </c>
      <c r="V303" s="2">
        <v>15.0</v>
      </c>
      <c r="W303" s="2">
        <v>20.0</v>
      </c>
      <c r="X303" s="2">
        <v>25.0</v>
      </c>
      <c r="Y303" s="2">
        <v>30.0</v>
      </c>
      <c r="Z303" s="2">
        <v>30.0</v>
      </c>
      <c r="AB303" s="2">
        <v>50.0</v>
      </c>
      <c r="AC303" s="2">
        <v>330.0</v>
      </c>
      <c r="AD303" s="3">
        <f t="shared" si="4"/>
        <v>9.5</v>
      </c>
    </row>
    <row r="304">
      <c r="A304" s="1" t="s">
        <v>853</v>
      </c>
      <c r="B304" s="1" t="s">
        <v>854</v>
      </c>
      <c r="C304" s="2" t="s">
        <v>855</v>
      </c>
      <c r="D304" s="2"/>
      <c r="E304" s="2">
        <v>37.0</v>
      </c>
      <c r="F304" s="2"/>
      <c r="G304" s="2">
        <v>15.0</v>
      </c>
      <c r="H304" s="2">
        <v>18.0</v>
      </c>
      <c r="I304" s="2">
        <v>44.0</v>
      </c>
      <c r="J304" s="3">
        <f t="shared" si="1"/>
        <v>13.13888889</v>
      </c>
      <c r="K304" s="2">
        <v>100.0</v>
      </c>
      <c r="L304" s="2">
        <v>200.0</v>
      </c>
      <c r="N304" s="3">
        <f t="shared" si="2"/>
        <v>200</v>
      </c>
      <c r="O304" s="2">
        <v>100.0</v>
      </c>
      <c r="P304" s="2">
        <f t="shared" si="3"/>
        <v>15</v>
      </c>
      <c r="Q304" s="2">
        <v>6.0</v>
      </c>
      <c r="R304" s="2">
        <v>10.0</v>
      </c>
      <c r="S304" s="2">
        <v>12.0</v>
      </c>
      <c r="T304" s="2">
        <v>14.5</v>
      </c>
      <c r="U304" s="2">
        <v>15.0</v>
      </c>
      <c r="V304" s="2">
        <v>14.5</v>
      </c>
      <c r="W304" s="2">
        <v>20.0</v>
      </c>
      <c r="X304" s="2">
        <v>27.0</v>
      </c>
      <c r="Y304" s="2">
        <v>27.0</v>
      </c>
      <c r="Z304" s="2">
        <v>30.0</v>
      </c>
      <c r="AA304" s="2">
        <v>30.0</v>
      </c>
      <c r="AB304" s="2">
        <v>50.0</v>
      </c>
      <c r="AC304" s="2">
        <v>350.0</v>
      </c>
      <c r="AD304" s="3">
        <f t="shared" si="4"/>
        <v>10</v>
      </c>
    </row>
    <row r="305">
      <c r="A305" s="1" t="s">
        <v>542</v>
      </c>
      <c r="B305" s="1" t="s">
        <v>543</v>
      </c>
      <c r="C305" s="2" t="s">
        <v>544</v>
      </c>
      <c r="D305" s="2"/>
      <c r="E305" s="2">
        <v>15.0</v>
      </c>
      <c r="F305" s="2"/>
      <c r="G305" s="2">
        <v>7.0</v>
      </c>
      <c r="H305" s="2">
        <v>11.0</v>
      </c>
      <c r="I305" s="2">
        <v>30.0</v>
      </c>
      <c r="J305" s="3">
        <f t="shared" si="1"/>
        <v>7.833333333</v>
      </c>
      <c r="K305" s="2">
        <v>100.0</v>
      </c>
      <c r="L305" s="2">
        <v>195.0</v>
      </c>
      <c r="N305" s="3">
        <f t="shared" si="2"/>
        <v>195</v>
      </c>
      <c r="O305" s="2">
        <v>100.0</v>
      </c>
      <c r="P305" s="2">
        <f t="shared" si="3"/>
        <v>14.875</v>
      </c>
      <c r="Q305" s="2">
        <v>5.0</v>
      </c>
      <c r="R305" s="2">
        <v>5.0</v>
      </c>
      <c r="S305" s="2">
        <v>5.0</v>
      </c>
      <c r="T305" s="2">
        <v>15.0</v>
      </c>
      <c r="U305" s="2">
        <v>14.5</v>
      </c>
      <c r="V305" s="2">
        <v>14.5</v>
      </c>
      <c r="W305" s="2">
        <v>20.0</v>
      </c>
      <c r="X305" s="2">
        <v>28.0</v>
      </c>
      <c r="Y305" s="2">
        <v>29.0</v>
      </c>
      <c r="Z305" s="2">
        <v>30.0</v>
      </c>
      <c r="AA305" s="2">
        <v>30.0</v>
      </c>
      <c r="AB305" s="2">
        <v>45.0</v>
      </c>
      <c r="AC305" s="2">
        <v>350.0</v>
      </c>
      <c r="AD305" s="3">
        <f t="shared" si="4"/>
        <v>9.875</v>
      </c>
    </row>
    <row r="306">
      <c r="A306" s="1" t="s">
        <v>545</v>
      </c>
      <c r="B306" s="1" t="s">
        <v>546</v>
      </c>
      <c r="C306" s="2" t="s">
        <v>547</v>
      </c>
      <c r="D306" s="2"/>
      <c r="E306" s="2">
        <v>20.0</v>
      </c>
      <c r="F306" s="2"/>
      <c r="G306" s="2">
        <v>11.0</v>
      </c>
      <c r="H306" s="2">
        <v>14.5</v>
      </c>
      <c r="I306" s="2">
        <v>37.0</v>
      </c>
      <c r="J306" s="3">
        <f t="shared" si="1"/>
        <v>10.48611111</v>
      </c>
      <c r="K306" s="2">
        <v>98.0</v>
      </c>
      <c r="L306" s="2">
        <v>200.0</v>
      </c>
      <c r="N306" s="3">
        <f t="shared" si="2"/>
        <v>200</v>
      </c>
      <c r="O306" s="2">
        <v>98.0</v>
      </c>
      <c r="P306" s="2">
        <f t="shared" si="3"/>
        <v>14.8</v>
      </c>
      <c r="Q306" s="2">
        <v>7.0</v>
      </c>
      <c r="R306" s="2">
        <v>5.0</v>
      </c>
      <c r="S306" s="2">
        <v>11.0</v>
      </c>
      <c r="T306" s="2">
        <v>10.0</v>
      </c>
      <c r="U306" s="2">
        <v>14.5</v>
      </c>
      <c r="V306" s="2">
        <v>14.5</v>
      </c>
      <c r="W306" s="2">
        <v>20.0</v>
      </c>
      <c r="X306" s="2">
        <v>30.0</v>
      </c>
      <c r="Y306" s="2">
        <v>29.0</v>
      </c>
      <c r="Z306" s="2">
        <v>30.0</v>
      </c>
      <c r="AA306" s="2">
        <v>30.0</v>
      </c>
      <c r="AB306" s="2">
        <v>50.0</v>
      </c>
      <c r="AC306" s="2">
        <v>346.0</v>
      </c>
      <c r="AD306" s="3">
        <f t="shared" si="4"/>
        <v>9.9</v>
      </c>
    </row>
    <row r="307">
      <c r="A307" s="1" t="s">
        <v>429</v>
      </c>
      <c r="B307" s="1" t="s">
        <v>430</v>
      </c>
      <c r="C307" s="2" t="s">
        <v>431</v>
      </c>
      <c r="D307" s="2"/>
      <c r="E307" s="2">
        <v>31.0</v>
      </c>
      <c r="F307" s="2"/>
      <c r="G307" s="2">
        <v>11.0</v>
      </c>
      <c r="H307" s="2">
        <v>15.0</v>
      </c>
      <c r="I307" s="2">
        <v>32.0</v>
      </c>
      <c r="J307" s="3">
        <f t="shared" si="1"/>
        <v>10.05555556</v>
      </c>
      <c r="K307" s="2">
        <v>85.0</v>
      </c>
      <c r="L307" s="2">
        <v>175.0</v>
      </c>
      <c r="N307" s="3">
        <f t="shared" si="2"/>
        <v>175</v>
      </c>
      <c r="O307" s="2">
        <v>98.0</v>
      </c>
      <c r="P307" s="2">
        <f t="shared" si="3"/>
        <v>13.525</v>
      </c>
      <c r="Q307" s="2">
        <v>7.0</v>
      </c>
      <c r="R307" s="2">
        <v>6.0</v>
      </c>
      <c r="S307" s="2">
        <v>7.0</v>
      </c>
      <c r="T307" s="2">
        <v>6.0</v>
      </c>
      <c r="U307" s="2">
        <v>15.0</v>
      </c>
      <c r="V307" s="2">
        <v>13.0</v>
      </c>
      <c r="W307" s="2">
        <v>15.0</v>
      </c>
      <c r="X307" s="2">
        <v>30.0</v>
      </c>
      <c r="Y307" s="2">
        <v>27.0</v>
      </c>
      <c r="Z307" s="2">
        <v>29.0</v>
      </c>
      <c r="AA307" s="2">
        <v>27.0</v>
      </c>
      <c r="AB307" s="2">
        <v>50.0</v>
      </c>
      <c r="AC307" s="2">
        <v>346.0</v>
      </c>
      <c r="AD307" s="3">
        <f t="shared" si="4"/>
        <v>9.9</v>
      </c>
    </row>
    <row r="308">
      <c r="A308" s="1" t="s">
        <v>312</v>
      </c>
      <c r="B308" s="1" t="s">
        <v>313</v>
      </c>
      <c r="C308" s="2" t="s">
        <v>314</v>
      </c>
      <c r="D308" s="2"/>
      <c r="E308" s="2">
        <v>22.0</v>
      </c>
      <c r="F308" s="2"/>
      <c r="G308" s="2">
        <v>8.0</v>
      </c>
      <c r="H308" s="2">
        <v>7.0</v>
      </c>
      <c r="I308" s="2">
        <v>6.0</v>
      </c>
      <c r="J308" s="3">
        <f t="shared" si="1"/>
        <v>4.416666667</v>
      </c>
      <c r="K308" s="2">
        <v>75.0</v>
      </c>
      <c r="L308" s="2">
        <v>0.0</v>
      </c>
      <c r="M308" s="2">
        <v>175.0</v>
      </c>
      <c r="N308" s="3">
        <f t="shared" si="2"/>
        <v>175</v>
      </c>
      <c r="O308" s="2">
        <v>87.0</v>
      </c>
      <c r="P308" s="2">
        <f t="shared" si="3"/>
        <v>12.475</v>
      </c>
      <c r="Q308" s="2">
        <v>7.0</v>
      </c>
      <c r="S308" s="2">
        <v>8.0</v>
      </c>
      <c r="T308" s="2">
        <v>0.0</v>
      </c>
      <c r="U308" s="2">
        <v>14.0</v>
      </c>
      <c r="V308" s="2">
        <v>14.0</v>
      </c>
      <c r="W308" s="2">
        <v>20.0</v>
      </c>
      <c r="X308" s="2">
        <v>0.0</v>
      </c>
      <c r="Y308" s="2">
        <v>0.0</v>
      </c>
      <c r="Z308" s="2">
        <v>28.0</v>
      </c>
      <c r="AA308" s="2">
        <v>30.0</v>
      </c>
      <c r="AB308" s="2">
        <v>30.0</v>
      </c>
      <c r="AC308" s="2">
        <v>320.0</v>
      </c>
      <c r="AD308" s="3">
        <f t="shared" si="4"/>
        <v>8.75</v>
      </c>
    </row>
    <row r="309">
      <c r="A309" s="1" t="s">
        <v>743</v>
      </c>
      <c r="B309" s="1" t="s">
        <v>744</v>
      </c>
      <c r="C309" s="2" t="s">
        <v>745</v>
      </c>
      <c r="D309" s="2"/>
      <c r="E309" s="2">
        <v>25.0</v>
      </c>
      <c r="F309" s="2"/>
      <c r="G309" s="2">
        <v>8.0</v>
      </c>
      <c r="H309" s="2">
        <v>5.5</v>
      </c>
      <c r="I309" s="2">
        <v>42.0</v>
      </c>
      <c r="J309" s="3">
        <f t="shared" si="1"/>
        <v>8.041666667</v>
      </c>
      <c r="K309" s="2">
        <v>100.0</v>
      </c>
      <c r="L309" s="2">
        <v>125.0</v>
      </c>
      <c r="N309" s="3">
        <f t="shared" si="2"/>
        <v>125</v>
      </c>
      <c r="O309" s="2">
        <v>100.0</v>
      </c>
      <c r="P309" s="2">
        <f t="shared" si="3"/>
        <v>13.125</v>
      </c>
      <c r="Q309" s="2">
        <v>6.0</v>
      </c>
      <c r="R309" s="2">
        <v>6.0</v>
      </c>
      <c r="S309" s="2">
        <v>12.0</v>
      </c>
      <c r="T309" s="2">
        <v>12.0</v>
      </c>
      <c r="U309" s="2">
        <v>15.0</v>
      </c>
      <c r="V309" s="2">
        <v>15.0</v>
      </c>
      <c r="W309" s="2">
        <v>20.0</v>
      </c>
      <c r="X309" s="2">
        <v>30.0</v>
      </c>
      <c r="Y309" s="2">
        <v>30.0</v>
      </c>
      <c r="Z309" s="2">
        <v>28.0</v>
      </c>
      <c r="AB309" s="2">
        <v>30.0</v>
      </c>
      <c r="AC309" s="2">
        <v>340.0</v>
      </c>
      <c r="AD309" s="3">
        <f t="shared" si="4"/>
        <v>9.25</v>
      </c>
    </row>
    <row r="310">
      <c r="A310" s="1" t="s">
        <v>201</v>
      </c>
      <c r="B310" s="1" t="s">
        <v>202</v>
      </c>
      <c r="C310" s="2" t="s">
        <v>203</v>
      </c>
      <c r="D310" s="2"/>
      <c r="E310" s="2">
        <v>34.0</v>
      </c>
      <c r="F310" s="2"/>
      <c r="G310" s="2">
        <v>14.0</v>
      </c>
      <c r="H310" s="2">
        <v>12.5</v>
      </c>
      <c r="I310" s="2">
        <v>18.0</v>
      </c>
      <c r="J310" s="3">
        <f t="shared" si="1"/>
        <v>8.625</v>
      </c>
      <c r="K310" s="2">
        <v>100.0</v>
      </c>
      <c r="L310" s="2">
        <v>159.0</v>
      </c>
      <c r="N310" s="3">
        <f t="shared" si="2"/>
        <v>159</v>
      </c>
      <c r="O310" s="2">
        <v>180.0</v>
      </c>
      <c r="P310" s="2">
        <f t="shared" si="3"/>
        <v>17.975</v>
      </c>
      <c r="Q310" s="2">
        <v>7.0</v>
      </c>
      <c r="R310" s="2">
        <v>6.0</v>
      </c>
      <c r="S310" s="2">
        <v>13.0</v>
      </c>
      <c r="T310" s="2">
        <v>8.0</v>
      </c>
      <c r="U310" s="2">
        <v>14.0</v>
      </c>
      <c r="V310" s="2">
        <v>12.5</v>
      </c>
      <c r="W310" s="2">
        <v>20.0</v>
      </c>
      <c r="X310" s="2">
        <v>28.0</v>
      </c>
      <c r="Y310" s="2">
        <v>24.0</v>
      </c>
      <c r="Z310" s="2">
        <v>30.0</v>
      </c>
      <c r="AA310" s="2">
        <v>28.0</v>
      </c>
      <c r="AB310" s="2">
        <v>35.0</v>
      </c>
      <c r="AC310" s="2">
        <v>300.0</v>
      </c>
      <c r="AD310" s="3">
        <f t="shared" si="4"/>
        <v>8.375</v>
      </c>
    </row>
    <row r="311">
      <c r="A311" s="1" t="s">
        <v>238</v>
      </c>
      <c r="B311" s="1" t="s">
        <v>239</v>
      </c>
      <c r="C311" s="2" t="s">
        <v>240</v>
      </c>
      <c r="D311" s="2"/>
      <c r="E311" s="2">
        <v>19.0</v>
      </c>
      <c r="F311" s="2"/>
      <c r="G311" s="2">
        <v>8.0</v>
      </c>
      <c r="H311" s="2">
        <v>13.5</v>
      </c>
      <c r="I311" s="2">
        <v>30.0</v>
      </c>
      <c r="J311" s="3">
        <f t="shared" si="1"/>
        <v>8.708333333</v>
      </c>
      <c r="K311" s="2">
        <v>100.0</v>
      </c>
      <c r="L311" s="2">
        <v>185.0</v>
      </c>
      <c r="N311" s="3">
        <f t="shared" si="2"/>
        <v>185</v>
      </c>
      <c r="O311" s="2">
        <v>90.0</v>
      </c>
      <c r="P311" s="2">
        <f t="shared" si="3"/>
        <v>14.125</v>
      </c>
      <c r="Q311" s="2">
        <v>7.0</v>
      </c>
      <c r="R311" s="2">
        <v>7.0</v>
      </c>
      <c r="S311" s="2">
        <v>11.0</v>
      </c>
      <c r="T311" s="2">
        <v>8.0</v>
      </c>
      <c r="U311" s="2">
        <v>13.0</v>
      </c>
      <c r="V311" s="2">
        <v>13.0</v>
      </c>
      <c r="W311" s="2">
        <v>18.0</v>
      </c>
      <c r="X311" s="2">
        <v>24.0</v>
      </c>
      <c r="Y311" s="2">
        <v>26.0</v>
      </c>
      <c r="Z311" s="2">
        <v>28.0</v>
      </c>
      <c r="AA311" s="2">
        <v>28.0</v>
      </c>
      <c r="AB311" s="2">
        <v>30.0</v>
      </c>
      <c r="AC311" s="2">
        <v>290.0</v>
      </c>
      <c r="AD311" s="3">
        <f t="shared" si="4"/>
        <v>8</v>
      </c>
    </row>
    <row r="312">
      <c r="A312" s="1" t="s">
        <v>482</v>
      </c>
      <c r="B312" s="1" t="s">
        <v>483</v>
      </c>
      <c r="C312" s="2" t="s">
        <v>484</v>
      </c>
      <c r="D312" s="2"/>
      <c r="E312" s="2">
        <v>34.0</v>
      </c>
      <c r="F312" s="2"/>
      <c r="G312" s="2">
        <v>16.0</v>
      </c>
      <c r="H312" s="2">
        <v>19.0</v>
      </c>
      <c r="I312" s="2">
        <v>36.0</v>
      </c>
      <c r="J312" s="3">
        <f t="shared" si="1"/>
        <v>12.75</v>
      </c>
      <c r="K312" s="2">
        <v>100.0</v>
      </c>
      <c r="L312" s="2">
        <v>200.0</v>
      </c>
      <c r="N312" s="3">
        <f t="shared" si="2"/>
        <v>200</v>
      </c>
      <c r="O312" s="2">
        <v>100.0</v>
      </c>
      <c r="P312" s="2">
        <f t="shared" si="3"/>
        <v>15</v>
      </c>
      <c r="Q312" s="2">
        <v>7.0</v>
      </c>
      <c r="R312" s="2">
        <v>8.0</v>
      </c>
      <c r="S312" s="2">
        <v>12.0</v>
      </c>
      <c r="T312" s="2">
        <v>14.0</v>
      </c>
      <c r="U312" s="2">
        <v>14.5</v>
      </c>
      <c r="V312" s="2">
        <v>14.0</v>
      </c>
      <c r="W312" s="2">
        <v>19.5</v>
      </c>
      <c r="X312" s="2">
        <v>29.0</v>
      </c>
      <c r="Y312" s="2">
        <v>28.0</v>
      </c>
      <c r="Z312" s="2">
        <v>30.0</v>
      </c>
      <c r="AA312" s="2">
        <v>30.0</v>
      </c>
      <c r="AB312" s="2">
        <v>50.0</v>
      </c>
      <c r="AC312" s="2">
        <v>350.0</v>
      </c>
      <c r="AD312" s="3">
        <f t="shared" si="4"/>
        <v>10</v>
      </c>
    </row>
    <row r="313">
      <c r="A313" s="1" t="s">
        <v>164</v>
      </c>
      <c r="B313" s="1" t="s">
        <v>165</v>
      </c>
      <c r="C313" s="2" t="s">
        <v>166</v>
      </c>
      <c r="D313" s="2"/>
      <c r="E313" s="2">
        <v>31.0</v>
      </c>
      <c r="F313" s="2"/>
      <c r="G313" s="2">
        <v>16.0</v>
      </c>
      <c r="I313" s="2">
        <v>30.0</v>
      </c>
      <c r="J313" s="3">
        <f t="shared" si="1"/>
        <v>7.333333333</v>
      </c>
      <c r="K313" s="2">
        <v>100.0</v>
      </c>
      <c r="N313" s="3">
        <f t="shared" si="2"/>
        <v>0</v>
      </c>
      <c r="P313" s="2">
        <f t="shared" si="3"/>
        <v>5</v>
      </c>
      <c r="Q313" s="2">
        <v>7.0</v>
      </c>
      <c r="R313" s="2">
        <v>9.0</v>
      </c>
      <c r="T313" s="2">
        <v>9.0</v>
      </c>
      <c r="U313" s="2">
        <v>12.0</v>
      </c>
      <c r="V313" s="2">
        <v>12.0</v>
      </c>
      <c r="W313" s="2">
        <v>16.0</v>
      </c>
      <c r="Z313" s="2">
        <v>30.0</v>
      </c>
      <c r="AB313" s="2">
        <v>10.0</v>
      </c>
      <c r="AD313" s="3">
        <f t="shared" si="4"/>
        <v>0.25</v>
      </c>
    </row>
    <row r="314">
      <c r="A314" s="1" t="s">
        <v>381</v>
      </c>
      <c r="B314" s="1" t="s">
        <v>382</v>
      </c>
      <c r="C314" s="2" t="s">
        <v>383</v>
      </c>
      <c r="D314" s="2"/>
      <c r="E314" s="2">
        <v>27.0</v>
      </c>
      <c r="F314" s="2"/>
      <c r="G314" s="2">
        <v>7.0</v>
      </c>
      <c r="H314" s="2">
        <v>16.0</v>
      </c>
      <c r="I314" s="2">
        <v>32.0</v>
      </c>
      <c r="J314" s="3">
        <f t="shared" si="1"/>
        <v>9.305555556</v>
      </c>
      <c r="K314" s="2">
        <v>99.0</v>
      </c>
      <c r="L314" s="2">
        <v>170.0</v>
      </c>
      <c r="N314" s="3">
        <f t="shared" si="2"/>
        <v>170</v>
      </c>
      <c r="O314" s="2">
        <v>99.0</v>
      </c>
      <c r="P314" s="2">
        <f t="shared" si="3"/>
        <v>14.15</v>
      </c>
      <c r="Q314" s="2">
        <v>7.0</v>
      </c>
      <c r="R314" s="2">
        <v>4.0</v>
      </c>
      <c r="S314" s="2">
        <v>14.0</v>
      </c>
      <c r="T314" s="2">
        <v>15.0</v>
      </c>
      <c r="U314" s="2">
        <v>14.0</v>
      </c>
      <c r="V314" s="2">
        <v>14.0</v>
      </c>
      <c r="W314" s="2">
        <v>20.0</v>
      </c>
      <c r="X314" s="2">
        <v>30.0</v>
      </c>
      <c r="Y314" s="2">
        <v>30.0</v>
      </c>
      <c r="Z314" s="2">
        <v>30.0</v>
      </c>
      <c r="AB314" s="2">
        <v>50.0</v>
      </c>
      <c r="AC314" s="2">
        <v>350.0</v>
      </c>
      <c r="AD314" s="3">
        <f t="shared" si="4"/>
        <v>10</v>
      </c>
    </row>
    <row r="315">
      <c r="A315" s="1" t="s">
        <v>491</v>
      </c>
      <c r="B315" s="1" t="s">
        <v>492</v>
      </c>
      <c r="C315" s="2" t="s">
        <v>493</v>
      </c>
      <c r="D315" s="2"/>
      <c r="E315" s="2">
        <v>28.0</v>
      </c>
      <c r="F315" s="2"/>
      <c r="G315" s="2">
        <v>12.0</v>
      </c>
      <c r="H315" s="2">
        <v>13.0</v>
      </c>
      <c r="I315" s="2">
        <v>40.0</v>
      </c>
      <c r="J315" s="3">
        <f t="shared" si="1"/>
        <v>10.69444444</v>
      </c>
      <c r="K315" s="2">
        <v>95.0</v>
      </c>
      <c r="L315" s="2">
        <v>190.0</v>
      </c>
      <c r="N315" s="3">
        <f t="shared" si="2"/>
        <v>190</v>
      </c>
      <c r="O315" s="2">
        <v>99.0</v>
      </c>
      <c r="P315" s="2">
        <f t="shared" si="3"/>
        <v>14.45</v>
      </c>
      <c r="Q315" s="2">
        <v>7.0</v>
      </c>
      <c r="R315" s="2">
        <v>10.0</v>
      </c>
      <c r="S315" s="2">
        <v>12.0</v>
      </c>
      <c r="T315" s="2">
        <v>10.0</v>
      </c>
      <c r="U315" s="2">
        <v>14.5</v>
      </c>
      <c r="V315" s="2">
        <v>15.0</v>
      </c>
      <c r="W315" s="2">
        <v>19.5</v>
      </c>
      <c r="X315" s="2">
        <v>29.0</v>
      </c>
      <c r="Y315" s="2">
        <v>29.0</v>
      </c>
      <c r="Z315" s="2">
        <v>30.0</v>
      </c>
      <c r="AA315" s="2">
        <v>30.0</v>
      </c>
      <c r="AB315" s="2">
        <v>50.0</v>
      </c>
      <c r="AC315" s="2">
        <v>348.0</v>
      </c>
      <c r="AD315" s="3">
        <f t="shared" si="4"/>
        <v>9.95</v>
      </c>
    </row>
    <row r="316">
      <c r="A316" s="1" t="s">
        <v>575</v>
      </c>
      <c r="B316" s="1" t="s">
        <v>576</v>
      </c>
      <c r="C316" s="2" t="s">
        <v>577</v>
      </c>
      <c r="D316" s="2"/>
      <c r="E316" s="2">
        <v>24.0</v>
      </c>
      <c r="F316" s="2"/>
      <c r="G316" s="2">
        <v>3.0</v>
      </c>
      <c r="H316" s="2">
        <v>9.0</v>
      </c>
      <c r="I316" s="2">
        <v>30.0</v>
      </c>
      <c r="J316" s="3">
        <f t="shared" si="1"/>
        <v>6.333333333</v>
      </c>
      <c r="K316" s="2">
        <v>83.0</v>
      </c>
      <c r="L316" s="2">
        <v>170.0</v>
      </c>
      <c r="N316" s="3">
        <f t="shared" si="2"/>
        <v>170</v>
      </c>
      <c r="O316" s="2">
        <v>97.0</v>
      </c>
      <c r="P316" s="2">
        <f t="shared" si="3"/>
        <v>13.25</v>
      </c>
      <c r="Q316" s="2">
        <v>7.0</v>
      </c>
      <c r="R316" s="2">
        <v>5.0</v>
      </c>
      <c r="S316" s="2">
        <v>9.0</v>
      </c>
      <c r="T316" s="2">
        <v>14.0</v>
      </c>
      <c r="U316" s="2">
        <v>0.0</v>
      </c>
      <c r="V316" s="2">
        <v>14.0</v>
      </c>
      <c r="W316" s="2">
        <v>0.0</v>
      </c>
      <c r="X316" s="2">
        <v>0.0</v>
      </c>
      <c r="Y316" s="2">
        <v>0.0</v>
      </c>
      <c r="Z316" s="2">
        <v>28.0</v>
      </c>
      <c r="AA316" s="2">
        <v>28.0</v>
      </c>
      <c r="AB316" s="2">
        <v>45.0</v>
      </c>
      <c r="AC316" s="2">
        <v>345.0</v>
      </c>
      <c r="AD316" s="3">
        <f t="shared" si="4"/>
        <v>9.75</v>
      </c>
    </row>
    <row r="317">
      <c r="A317" s="1" t="s">
        <v>506</v>
      </c>
      <c r="B317" s="1" t="s">
        <v>507</v>
      </c>
      <c r="C317" s="2" t="s">
        <v>508</v>
      </c>
      <c r="D317" s="2"/>
      <c r="E317" s="2">
        <v>20.0</v>
      </c>
      <c r="F317" s="2"/>
      <c r="G317" s="2">
        <v>5.0</v>
      </c>
      <c r="H317" s="2">
        <v>5.0</v>
      </c>
      <c r="I317" s="2">
        <v>26.0</v>
      </c>
      <c r="J317" s="3">
        <f t="shared" si="1"/>
        <v>5.388888889</v>
      </c>
      <c r="K317" s="2">
        <v>94.0</v>
      </c>
      <c r="L317" s="2">
        <v>180.0</v>
      </c>
      <c r="N317" s="3">
        <f t="shared" si="2"/>
        <v>180</v>
      </c>
      <c r="O317" s="2">
        <v>97.0</v>
      </c>
      <c r="P317" s="2">
        <f t="shared" si="3"/>
        <v>14.05</v>
      </c>
      <c r="Q317" s="2">
        <v>6.0</v>
      </c>
      <c r="R317" s="2">
        <v>5.0</v>
      </c>
      <c r="S317" s="2">
        <v>12.0</v>
      </c>
      <c r="T317" s="2">
        <v>11.0</v>
      </c>
      <c r="U317" s="2">
        <v>14.5</v>
      </c>
      <c r="V317" s="2">
        <v>13.0</v>
      </c>
      <c r="W317" s="2">
        <v>19.5</v>
      </c>
      <c r="X317" s="2">
        <v>27.0</v>
      </c>
      <c r="Y317" s="2">
        <v>26.0</v>
      </c>
      <c r="Z317" s="2">
        <v>29.0</v>
      </c>
      <c r="AA317" s="2">
        <v>28.0</v>
      </c>
      <c r="AB317" s="2">
        <v>50.0</v>
      </c>
      <c r="AC317" s="2">
        <v>346.0</v>
      </c>
      <c r="AD317" s="3">
        <f t="shared" si="4"/>
        <v>9.9</v>
      </c>
    </row>
    <row r="318">
      <c r="A318" s="1" t="s">
        <v>533</v>
      </c>
      <c r="B318" s="1" t="s">
        <v>534</v>
      </c>
      <c r="C318" s="2" t="s">
        <v>535</v>
      </c>
      <c r="D318" s="2"/>
      <c r="E318" s="2">
        <v>16.0</v>
      </c>
      <c r="F318" s="2"/>
      <c r="G318" s="2">
        <v>4.0</v>
      </c>
      <c r="H318" s="2">
        <v>6.5</v>
      </c>
      <c r="I318" s="2">
        <v>31.0</v>
      </c>
      <c r="J318" s="3">
        <f t="shared" si="1"/>
        <v>6.069444444</v>
      </c>
      <c r="K318" s="2">
        <v>93.0</v>
      </c>
      <c r="L318" s="2">
        <v>165.0</v>
      </c>
      <c r="M318" s="2">
        <v>190.0</v>
      </c>
      <c r="N318" s="3">
        <f t="shared" si="2"/>
        <v>190</v>
      </c>
      <c r="O318" s="2">
        <v>97.0</v>
      </c>
      <c r="P318" s="2">
        <f t="shared" si="3"/>
        <v>14.25</v>
      </c>
      <c r="Q318" s="2">
        <v>6.0</v>
      </c>
      <c r="R318" s="2">
        <v>6.0</v>
      </c>
      <c r="S318" s="2">
        <v>7.0</v>
      </c>
      <c r="T318" s="2">
        <v>14.0</v>
      </c>
      <c r="U318" s="2">
        <v>15.0</v>
      </c>
      <c r="V318" s="2">
        <v>15.0</v>
      </c>
      <c r="W318" s="2">
        <v>19.5</v>
      </c>
      <c r="X318" s="2">
        <v>28.0</v>
      </c>
      <c r="Y318" s="2">
        <v>29.0</v>
      </c>
      <c r="Z318" s="2">
        <v>29.0</v>
      </c>
      <c r="AA318" s="2">
        <v>30.0</v>
      </c>
      <c r="AB318" s="2">
        <v>50.0</v>
      </c>
      <c r="AC318" s="2">
        <v>345.0</v>
      </c>
      <c r="AD318" s="3">
        <f t="shared" si="4"/>
        <v>9.875</v>
      </c>
    </row>
    <row r="319">
      <c r="A319" s="1" t="s">
        <v>781</v>
      </c>
      <c r="B319" s="1" t="s">
        <v>782</v>
      </c>
      <c r="C319" s="2" t="s">
        <v>783</v>
      </c>
      <c r="D319" s="2"/>
      <c r="E319" s="2">
        <v>22.0</v>
      </c>
      <c r="I319" s="2">
        <v>-1.0</v>
      </c>
      <c r="J319" s="3">
        <f t="shared" si="1"/>
        <v>-0.1111111111</v>
      </c>
      <c r="L319" s="2">
        <v>175.0</v>
      </c>
      <c r="N319" s="3">
        <f t="shared" si="2"/>
        <v>175</v>
      </c>
      <c r="P319" s="2">
        <f t="shared" si="3"/>
        <v>4.375</v>
      </c>
      <c r="Q319" s="2">
        <v>7.0</v>
      </c>
      <c r="R319" s="2">
        <v>9.0</v>
      </c>
      <c r="S319" s="2">
        <v>0.0</v>
      </c>
      <c r="T319" s="2">
        <v>12.0</v>
      </c>
      <c r="V319" s="2">
        <v>13.5</v>
      </c>
      <c r="W319" s="2">
        <v>17.0</v>
      </c>
      <c r="X319" s="2">
        <v>27.14</v>
      </c>
      <c r="AD319" s="3">
        <f t="shared" si="4"/>
        <v>0</v>
      </c>
    </row>
    <row r="320">
      <c r="A320" s="1" t="s">
        <v>922</v>
      </c>
      <c r="B320" s="1" t="s">
        <v>923</v>
      </c>
      <c r="C320" s="2" t="s">
        <v>924</v>
      </c>
      <c r="D320" s="2"/>
      <c r="E320" s="2">
        <v>29.0</v>
      </c>
      <c r="F320" s="2"/>
      <c r="G320" s="2">
        <v>14.0</v>
      </c>
      <c r="H320" s="2">
        <v>16.0</v>
      </c>
      <c r="I320" s="2">
        <v>41.0</v>
      </c>
      <c r="J320" s="3">
        <f t="shared" si="1"/>
        <v>12.05555556</v>
      </c>
      <c r="K320" s="2">
        <v>95.0</v>
      </c>
      <c r="L320" s="2">
        <v>178.0</v>
      </c>
      <c r="N320" s="3">
        <f t="shared" si="2"/>
        <v>178</v>
      </c>
      <c r="O320" s="2">
        <v>100.0</v>
      </c>
      <c r="P320" s="2">
        <f t="shared" si="3"/>
        <v>14.2</v>
      </c>
      <c r="Q320" s="2">
        <v>7.0</v>
      </c>
      <c r="R320" s="2">
        <v>8.0</v>
      </c>
      <c r="S320" s="2">
        <v>12.0</v>
      </c>
      <c r="T320" s="2">
        <v>15.0</v>
      </c>
      <c r="U320" s="2">
        <v>13.0</v>
      </c>
      <c r="V320" s="2">
        <v>14.0</v>
      </c>
      <c r="W320" s="2">
        <v>20.0</v>
      </c>
      <c r="X320" s="2">
        <v>30.0</v>
      </c>
      <c r="Y320" s="2">
        <v>30.0</v>
      </c>
      <c r="Z320" s="2">
        <v>30.0</v>
      </c>
      <c r="AA320" s="2">
        <v>30.0</v>
      </c>
      <c r="AB320" s="2">
        <v>50.0</v>
      </c>
      <c r="AC320" s="2">
        <v>348.0</v>
      </c>
      <c r="AD320" s="3">
        <f t="shared" si="4"/>
        <v>9.95</v>
      </c>
    </row>
    <row r="321">
      <c r="A321" s="1" t="s">
        <v>752</v>
      </c>
      <c r="B321" s="1" t="s">
        <v>753</v>
      </c>
      <c r="C321" s="2" t="s">
        <v>754</v>
      </c>
      <c r="D321" s="2"/>
      <c r="E321" s="2">
        <v>30.0</v>
      </c>
      <c r="F321" s="2"/>
      <c r="G321" s="2">
        <v>8.0</v>
      </c>
      <c r="H321" s="2">
        <v>11.5</v>
      </c>
      <c r="I321" s="2">
        <v>33.0</v>
      </c>
      <c r="J321" s="3">
        <f t="shared" si="1"/>
        <v>8.541666667</v>
      </c>
      <c r="K321" s="2">
        <v>100.0</v>
      </c>
      <c r="L321" s="2">
        <v>180.0</v>
      </c>
      <c r="N321" s="3">
        <f t="shared" si="2"/>
        <v>180</v>
      </c>
      <c r="O321" s="2">
        <v>94.0</v>
      </c>
      <c r="P321" s="2">
        <f t="shared" si="3"/>
        <v>14.2</v>
      </c>
      <c r="Q321" s="2">
        <v>6.0</v>
      </c>
      <c r="R321" s="2">
        <v>5.0</v>
      </c>
      <c r="S321" s="2">
        <v>12.0</v>
      </c>
      <c r="T321" s="2">
        <v>15.0</v>
      </c>
      <c r="U321" s="2">
        <v>13.0</v>
      </c>
      <c r="V321" s="2">
        <v>14.0</v>
      </c>
      <c r="W321" s="2">
        <v>20.0</v>
      </c>
      <c r="X321" s="2">
        <v>29.69</v>
      </c>
      <c r="Y321" s="2">
        <v>27.89</v>
      </c>
      <c r="Z321" s="2">
        <v>29.0</v>
      </c>
      <c r="AA321" s="2">
        <v>30.0</v>
      </c>
      <c r="AB321" s="2">
        <v>43.0</v>
      </c>
      <c r="AC321" s="2">
        <v>330.0</v>
      </c>
      <c r="AD321" s="3">
        <f t="shared" si="4"/>
        <v>9.325</v>
      </c>
    </row>
    <row r="322">
      <c r="A322" s="1" t="s">
        <v>210</v>
      </c>
      <c r="B322" s="1" t="s">
        <v>211</v>
      </c>
      <c r="C322" s="2" t="s">
        <v>212</v>
      </c>
      <c r="D322" s="2"/>
      <c r="E322" s="2">
        <v>32.0</v>
      </c>
      <c r="F322" s="2"/>
      <c r="G322" s="2">
        <v>14.0</v>
      </c>
      <c r="H322" s="2">
        <v>16.0</v>
      </c>
      <c r="I322" s="2">
        <v>19.0</v>
      </c>
      <c r="J322" s="3">
        <f t="shared" si="1"/>
        <v>9.611111111</v>
      </c>
      <c r="K322" s="2">
        <v>100.0</v>
      </c>
      <c r="L322" s="2">
        <v>180.0</v>
      </c>
      <c r="N322" s="3">
        <f t="shared" si="2"/>
        <v>180</v>
      </c>
      <c r="O322" s="2">
        <v>180.0</v>
      </c>
      <c r="P322" s="2">
        <f t="shared" si="3"/>
        <v>18.5</v>
      </c>
      <c r="Q322" s="2">
        <v>0.0</v>
      </c>
      <c r="R322" s="2">
        <v>6.0</v>
      </c>
      <c r="S322" s="2">
        <v>11.0</v>
      </c>
      <c r="T322" s="2">
        <v>4.0</v>
      </c>
      <c r="U322" s="2">
        <v>14.0</v>
      </c>
      <c r="V322" s="2">
        <v>15.0</v>
      </c>
      <c r="W322" s="2">
        <v>14.0</v>
      </c>
      <c r="X322" s="2">
        <v>28.0</v>
      </c>
      <c r="Y322" s="2">
        <v>26.0</v>
      </c>
      <c r="Z322" s="2">
        <v>28.0</v>
      </c>
      <c r="AA322" s="2">
        <v>27.0</v>
      </c>
      <c r="AB322" s="2">
        <v>35.0</v>
      </c>
      <c r="AC322" s="2">
        <v>300.0</v>
      </c>
      <c r="AD322" s="3">
        <f t="shared" si="4"/>
        <v>8.375</v>
      </c>
    </row>
    <row r="323">
      <c r="A323" s="1" t="s">
        <v>444</v>
      </c>
      <c r="B323" s="1" t="s">
        <v>445</v>
      </c>
      <c r="C323" s="2" t="s">
        <v>446</v>
      </c>
      <c r="D323" s="2"/>
      <c r="E323" s="2">
        <v>33.0</v>
      </c>
      <c r="F323" s="2"/>
      <c r="G323" s="2">
        <v>14.0</v>
      </c>
      <c r="H323" s="2">
        <v>20.0</v>
      </c>
      <c r="I323" s="2">
        <v>40.0</v>
      </c>
      <c r="J323" s="3">
        <f t="shared" si="1"/>
        <v>12.94444444</v>
      </c>
      <c r="K323" s="2">
        <v>90.0</v>
      </c>
      <c r="L323" s="2">
        <v>200.0</v>
      </c>
      <c r="N323" s="3">
        <f t="shared" si="2"/>
        <v>200</v>
      </c>
      <c r="O323" s="2">
        <v>96.0</v>
      </c>
      <c r="P323" s="2">
        <f t="shared" si="3"/>
        <v>14.3</v>
      </c>
      <c r="Q323" s="2">
        <v>6.0</v>
      </c>
      <c r="R323" s="2">
        <v>7.0</v>
      </c>
      <c r="S323" s="2">
        <v>12.0</v>
      </c>
      <c r="U323" s="2">
        <v>0.0</v>
      </c>
      <c r="V323" s="2">
        <v>14.0</v>
      </c>
      <c r="W323" s="2">
        <v>20.0</v>
      </c>
      <c r="X323" s="2">
        <v>30.0</v>
      </c>
      <c r="Y323" s="2">
        <v>27.0</v>
      </c>
      <c r="Z323" s="2">
        <v>30.0</v>
      </c>
      <c r="AA323" s="2">
        <v>30.0</v>
      </c>
      <c r="AB323" s="2">
        <v>45.0</v>
      </c>
      <c r="AC323" s="2">
        <v>343.0</v>
      </c>
      <c r="AD323" s="3">
        <f t="shared" si="4"/>
        <v>9.7</v>
      </c>
    </row>
    <row r="324">
      <c r="A324" s="1" t="s">
        <v>125</v>
      </c>
      <c r="B324" s="1" t="s">
        <v>126</v>
      </c>
      <c r="C324" s="2" t="s">
        <v>127</v>
      </c>
      <c r="D324" s="2"/>
      <c r="E324" s="2">
        <v>32.0</v>
      </c>
      <c r="F324" s="2"/>
      <c r="G324" s="2">
        <v>14.0</v>
      </c>
      <c r="H324" s="2">
        <v>20.0</v>
      </c>
      <c r="I324" s="2">
        <v>43.0</v>
      </c>
      <c r="J324" s="3">
        <f t="shared" si="1"/>
        <v>13.27777778</v>
      </c>
      <c r="K324" s="2">
        <v>100.0</v>
      </c>
      <c r="L324" s="2">
        <v>195.0</v>
      </c>
      <c r="N324" s="3">
        <f t="shared" si="2"/>
        <v>195</v>
      </c>
      <c r="O324" s="2">
        <v>90.0</v>
      </c>
      <c r="P324" s="2">
        <f t="shared" si="3"/>
        <v>14.375</v>
      </c>
      <c r="Q324" s="2">
        <v>7.0</v>
      </c>
      <c r="R324" s="2">
        <v>7.0</v>
      </c>
      <c r="S324" s="2">
        <v>13.0</v>
      </c>
      <c r="T324" s="2">
        <v>10.0</v>
      </c>
      <c r="U324" s="2">
        <v>14.0</v>
      </c>
      <c r="V324" s="2">
        <v>11.0</v>
      </c>
      <c r="W324" s="2">
        <v>20.0</v>
      </c>
      <c r="X324" s="2">
        <v>25.0</v>
      </c>
      <c r="Y324" s="2">
        <v>27.0</v>
      </c>
      <c r="Z324" s="2">
        <v>29.0</v>
      </c>
      <c r="AA324" s="2">
        <v>28.0</v>
      </c>
      <c r="AB324" s="2">
        <v>0.0</v>
      </c>
      <c r="AC324" s="2">
        <v>330.0</v>
      </c>
      <c r="AD324" s="3">
        <f t="shared" si="4"/>
        <v>8.25</v>
      </c>
    </row>
    <row r="325">
      <c r="A325" s="1" t="s">
        <v>719</v>
      </c>
      <c r="B325" s="1" t="s">
        <v>720</v>
      </c>
      <c r="C325" s="2" t="s">
        <v>721</v>
      </c>
      <c r="D325" s="2"/>
      <c r="E325" s="2">
        <v>19.0</v>
      </c>
      <c r="F325" s="2"/>
      <c r="G325" s="2">
        <v>8.5</v>
      </c>
      <c r="H325" s="2">
        <v>15.5</v>
      </c>
      <c r="I325" s="2">
        <v>31.0</v>
      </c>
      <c r="J325" s="3">
        <f t="shared" si="1"/>
        <v>9.444444444</v>
      </c>
      <c r="K325" s="2">
        <v>100.0</v>
      </c>
      <c r="L325" s="2">
        <v>150.0</v>
      </c>
      <c r="N325" s="3">
        <f t="shared" si="2"/>
        <v>150</v>
      </c>
      <c r="O325" s="2">
        <v>100.0</v>
      </c>
      <c r="P325" s="2">
        <f t="shared" si="3"/>
        <v>13.75</v>
      </c>
      <c r="Q325" s="2">
        <v>7.0</v>
      </c>
      <c r="R325" s="2">
        <v>5.0</v>
      </c>
      <c r="S325" s="2">
        <v>12.0</v>
      </c>
      <c r="T325" s="2">
        <v>15.0</v>
      </c>
      <c r="U325" s="2">
        <v>15.0</v>
      </c>
      <c r="V325" s="2">
        <v>15.0</v>
      </c>
      <c r="W325" s="2">
        <v>20.0</v>
      </c>
      <c r="X325" s="2">
        <v>30.0</v>
      </c>
      <c r="Y325" s="2">
        <v>30.0</v>
      </c>
      <c r="Z325" s="2">
        <v>29.0</v>
      </c>
      <c r="AA325" s="2">
        <v>29.0</v>
      </c>
      <c r="AB325" s="2">
        <v>30.0</v>
      </c>
      <c r="AC325" s="2">
        <v>340.0</v>
      </c>
      <c r="AD325" s="3">
        <f t="shared" si="4"/>
        <v>9.25</v>
      </c>
    </row>
    <row r="326">
      <c r="A326" s="1" t="s">
        <v>315</v>
      </c>
      <c r="B326" s="1" t="s">
        <v>316</v>
      </c>
      <c r="C326" s="2" t="s">
        <v>317</v>
      </c>
      <c r="D326" s="2"/>
      <c r="E326" s="2">
        <v>26.0</v>
      </c>
      <c r="F326" s="2"/>
      <c r="G326" s="2">
        <v>10.0</v>
      </c>
      <c r="H326" s="2">
        <v>17.0</v>
      </c>
      <c r="I326" s="2">
        <v>23.0</v>
      </c>
      <c r="J326" s="3">
        <f t="shared" si="1"/>
        <v>9.305555556</v>
      </c>
      <c r="K326" s="2">
        <v>80.0</v>
      </c>
      <c r="L326" s="2">
        <v>180.0</v>
      </c>
      <c r="N326" s="3">
        <f t="shared" si="2"/>
        <v>180</v>
      </c>
      <c r="O326" s="2">
        <v>88.0</v>
      </c>
      <c r="P326" s="2">
        <f t="shared" si="3"/>
        <v>12.9</v>
      </c>
      <c r="Q326" s="2">
        <v>6.0</v>
      </c>
      <c r="R326" s="2">
        <v>7.0</v>
      </c>
      <c r="S326" s="2">
        <v>8.0</v>
      </c>
      <c r="T326" s="2">
        <v>11.0</v>
      </c>
      <c r="U326" s="2">
        <v>12.0</v>
      </c>
      <c r="V326" s="2">
        <v>13.0</v>
      </c>
      <c r="W326" s="2">
        <v>20.0</v>
      </c>
      <c r="X326" s="2">
        <v>28.0</v>
      </c>
      <c r="Y326" s="2">
        <v>23.0</v>
      </c>
      <c r="Z326" s="2">
        <v>28.0</v>
      </c>
      <c r="AA326" s="2">
        <v>28.0</v>
      </c>
      <c r="AB326" s="2">
        <v>40.0</v>
      </c>
      <c r="AC326" s="2">
        <v>330.0</v>
      </c>
      <c r="AD326" s="3">
        <f t="shared" si="4"/>
        <v>9.25</v>
      </c>
    </row>
    <row r="327">
      <c r="A327" s="1" t="s">
        <v>0</v>
      </c>
      <c r="B327" s="1" t="s">
        <v>1</v>
      </c>
      <c r="C327" s="2" t="s">
        <v>3</v>
      </c>
      <c r="D327" s="2"/>
      <c r="E327" s="2">
        <v>29.0</v>
      </c>
      <c r="F327" s="2"/>
      <c r="G327" s="2">
        <v>15.0</v>
      </c>
      <c r="H327" s="2">
        <v>18.0</v>
      </c>
      <c r="I327" s="2">
        <v>18.0</v>
      </c>
      <c r="J327" s="3">
        <f t="shared" si="1"/>
        <v>10.25</v>
      </c>
      <c r="K327" s="2">
        <v>80.0</v>
      </c>
      <c r="L327" s="2">
        <v>198.0</v>
      </c>
      <c r="M327" s="2">
        <v>190.0</v>
      </c>
      <c r="N327" s="3">
        <f t="shared" si="2"/>
        <v>198</v>
      </c>
      <c r="O327" s="2">
        <v>95.0</v>
      </c>
      <c r="P327" s="2">
        <f t="shared" si="3"/>
        <v>13.7</v>
      </c>
      <c r="Q327" s="2">
        <v>7.0</v>
      </c>
      <c r="R327" s="2">
        <v>9.0</v>
      </c>
      <c r="S327" s="2">
        <v>7.0</v>
      </c>
      <c r="T327" s="2">
        <v>12.0</v>
      </c>
      <c r="U327" s="2">
        <v>15.0</v>
      </c>
      <c r="V327" s="2">
        <v>14.0</v>
      </c>
      <c r="W327" s="2">
        <v>20.0</v>
      </c>
      <c r="X327" s="2">
        <v>29.0</v>
      </c>
      <c r="Y327" s="2">
        <v>29.0</v>
      </c>
      <c r="Z327" s="2">
        <v>30.0</v>
      </c>
      <c r="AA327" s="2">
        <v>30.0</v>
      </c>
      <c r="AB327" s="2">
        <v>50.0</v>
      </c>
      <c r="AC327" s="2">
        <v>330.0</v>
      </c>
      <c r="AD327" s="3">
        <f t="shared" si="4"/>
        <v>9.5</v>
      </c>
    </row>
    <row r="328">
      <c r="A328" s="1" t="s">
        <v>623</v>
      </c>
      <c r="B328" s="1" t="s">
        <v>624</v>
      </c>
      <c r="C328" s="2" t="s">
        <v>625</v>
      </c>
      <c r="D328" s="2"/>
      <c r="E328" s="2">
        <v>27.0</v>
      </c>
      <c r="F328" s="2"/>
      <c r="G328" s="2">
        <v>10.0</v>
      </c>
      <c r="H328" s="2">
        <v>10.0</v>
      </c>
      <c r="I328" s="2">
        <v>25.0</v>
      </c>
      <c r="J328" s="3">
        <f t="shared" si="1"/>
        <v>7.777777778</v>
      </c>
      <c r="K328" s="2">
        <v>85.0</v>
      </c>
      <c r="L328" s="2">
        <v>100.0</v>
      </c>
      <c r="N328" s="3">
        <f t="shared" si="2"/>
        <v>100</v>
      </c>
      <c r="O328" s="2">
        <v>89.0</v>
      </c>
      <c r="P328" s="2">
        <f t="shared" si="3"/>
        <v>11.2</v>
      </c>
      <c r="Q328" s="2">
        <v>7.0</v>
      </c>
      <c r="R328" s="2">
        <v>7.0</v>
      </c>
      <c r="S328" s="2">
        <v>12.0</v>
      </c>
      <c r="T328" s="2">
        <v>10.0</v>
      </c>
      <c r="U328" s="2">
        <v>14.0</v>
      </c>
      <c r="V328" s="2">
        <v>15.0</v>
      </c>
      <c r="W328" s="2">
        <v>18.0</v>
      </c>
      <c r="X328" s="2">
        <v>29.0</v>
      </c>
      <c r="Y328" s="2">
        <v>30.0</v>
      </c>
      <c r="Z328" s="2">
        <v>29.0</v>
      </c>
      <c r="AA328" s="2">
        <v>28.0</v>
      </c>
      <c r="AB328" s="2">
        <v>20.0</v>
      </c>
      <c r="AC328" s="2">
        <v>330.0</v>
      </c>
      <c r="AD328" s="3">
        <f t="shared" si="4"/>
        <v>8.75</v>
      </c>
    </row>
    <row r="329">
      <c r="A329" s="1" t="s">
        <v>1466</v>
      </c>
      <c r="B329" s="101"/>
      <c r="C329" s="2" t="s">
        <v>299</v>
      </c>
      <c r="D329" s="2"/>
      <c r="E329" s="2">
        <v>18.0</v>
      </c>
      <c r="F329" s="2"/>
      <c r="G329" s="2">
        <v>7.0</v>
      </c>
      <c r="H329" s="2">
        <v>0.0</v>
      </c>
      <c r="I329" s="2">
        <v>5.5</v>
      </c>
      <c r="J329" s="3">
        <f t="shared" si="1"/>
        <v>2.361111111</v>
      </c>
      <c r="K329" s="2">
        <v>30.0</v>
      </c>
      <c r="L329" s="2">
        <v>165.0</v>
      </c>
      <c r="N329" s="3">
        <f t="shared" si="2"/>
        <v>165</v>
      </c>
      <c r="O329" s="2">
        <v>0.0</v>
      </c>
      <c r="P329" s="2">
        <f t="shared" si="3"/>
        <v>5.625</v>
      </c>
      <c r="R329" s="2">
        <v>4.0</v>
      </c>
      <c r="S329" s="2">
        <v>8.0</v>
      </c>
      <c r="T329" s="2">
        <v>4.0</v>
      </c>
      <c r="U329" s="2">
        <v>15.0</v>
      </c>
      <c r="V329" s="2">
        <v>15.0</v>
      </c>
      <c r="W329" s="2">
        <v>15.0</v>
      </c>
      <c r="X329" s="2">
        <v>0.0</v>
      </c>
      <c r="Y329" s="2">
        <v>0.0</v>
      </c>
      <c r="Z329" s="2">
        <v>30.0</v>
      </c>
      <c r="AA329" s="2">
        <v>26.0</v>
      </c>
      <c r="AB329" s="2">
        <v>10.0</v>
      </c>
      <c r="AC329" s="2">
        <v>310.0</v>
      </c>
      <c r="AD329" s="3">
        <f t="shared" si="4"/>
        <v>8</v>
      </c>
    </row>
    <row r="330">
      <c r="A330" s="1" t="s">
        <v>297</v>
      </c>
      <c r="B330" s="1" t="s">
        <v>298</v>
      </c>
      <c r="C330" s="2" t="s">
        <v>249</v>
      </c>
      <c r="D330" s="2"/>
      <c r="E330" s="2">
        <v>24.0</v>
      </c>
      <c r="F330" s="2"/>
      <c r="G330" s="2">
        <v>8.0</v>
      </c>
      <c r="H330" s="2">
        <v>8.5</v>
      </c>
      <c r="I330" s="2">
        <v>23.0</v>
      </c>
      <c r="J330" s="3">
        <f t="shared" si="1"/>
        <v>6.680555556</v>
      </c>
      <c r="K330" s="2">
        <v>85.0</v>
      </c>
      <c r="L330" s="2">
        <v>145.0</v>
      </c>
      <c r="N330" s="3">
        <f t="shared" si="2"/>
        <v>145</v>
      </c>
      <c r="O330" s="2">
        <v>85.0</v>
      </c>
      <c r="P330" s="2">
        <f t="shared" si="3"/>
        <v>12.125</v>
      </c>
      <c r="Q330" s="2">
        <v>5.0</v>
      </c>
      <c r="R330" s="2">
        <v>4.0</v>
      </c>
      <c r="S330" s="2">
        <v>10.0</v>
      </c>
      <c r="T330" s="2">
        <v>6.0</v>
      </c>
      <c r="U330" s="2">
        <v>15.0</v>
      </c>
      <c r="V330" s="2">
        <v>13.0</v>
      </c>
      <c r="W330" s="2">
        <v>15.0</v>
      </c>
      <c r="X330" s="2">
        <v>24.0</v>
      </c>
      <c r="Y330" s="2">
        <v>24.0</v>
      </c>
      <c r="Z330" s="2">
        <v>29.0</v>
      </c>
      <c r="AA330" s="2">
        <v>27.0</v>
      </c>
      <c r="AB330" s="2">
        <v>30.0</v>
      </c>
      <c r="AC330" s="2">
        <v>280.0</v>
      </c>
      <c r="AD330" s="3">
        <f t="shared" si="4"/>
        <v>7.75</v>
      </c>
    </row>
    <row r="331">
      <c r="A331" s="1" t="s">
        <v>247</v>
      </c>
      <c r="B331" s="1" t="s">
        <v>248</v>
      </c>
      <c r="C331" s="2" t="s">
        <v>870</v>
      </c>
      <c r="D331" s="2"/>
      <c r="E331" s="2">
        <v>19.0</v>
      </c>
      <c r="F331" s="2"/>
      <c r="G331" s="2">
        <v>9.0</v>
      </c>
      <c r="H331" s="2">
        <v>13.0</v>
      </c>
      <c r="I331" s="2">
        <v>40.0</v>
      </c>
      <c r="J331" s="3">
        <f t="shared" si="1"/>
        <v>9.944444444</v>
      </c>
      <c r="K331" s="2">
        <v>93.0</v>
      </c>
      <c r="L331" s="2">
        <v>190.0</v>
      </c>
      <c r="N331" s="3">
        <f t="shared" si="2"/>
        <v>190</v>
      </c>
      <c r="O331" s="2">
        <v>100.0</v>
      </c>
      <c r="P331" s="2">
        <f t="shared" si="3"/>
        <v>14.4</v>
      </c>
      <c r="Q331" s="2">
        <v>7.0</v>
      </c>
      <c r="R331" s="2">
        <v>3.0</v>
      </c>
      <c r="S331" s="2">
        <v>9.0</v>
      </c>
      <c r="T331" s="2">
        <v>14.0</v>
      </c>
      <c r="U331" s="2">
        <v>15.0</v>
      </c>
      <c r="W331" s="2">
        <v>18.5</v>
      </c>
      <c r="X331" s="2">
        <v>26.0</v>
      </c>
      <c r="Y331" s="2">
        <v>28.0</v>
      </c>
      <c r="Z331" s="2">
        <v>30.0</v>
      </c>
      <c r="AA331" s="2">
        <v>30.0</v>
      </c>
      <c r="AB331" s="2">
        <v>49.0</v>
      </c>
      <c r="AC331" s="2">
        <v>350.0</v>
      </c>
      <c r="AD331" s="3">
        <f t="shared" si="4"/>
        <v>9.975</v>
      </c>
    </row>
    <row r="332">
      <c r="A332" s="1" t="s">
        <v>868</v>
      </c>
      <c r="B332" s="1" t="s">
        <v>869</v>
      </c>
      <c r="C332" s="2" t="s">
        <v>622</v>
      </c>
      <c r="D332" s="2"/>
      <c r="E332" s="2">
        <v>28.0</v>
      </c>
      <c r="F332" s="2"/>
      <c r="G332" s="2">
        <v>6.0</v>
      </c>
      <c r="H332" s="2">
        <v>14.0</v>
      </c>
      <c r="I332" s="2">
        <v>31.0</v>
      </c>
      <c r="J332" s="3">
        <f t="shared" si="1"/>
        <v>8.444444444</v>
      </c>
      <c r="K332" s="2">
        <v>85.0</v>
      </c>
      <c r="L332" s="2">
        <v>165.0</v>
      </c>
      <c r="M332" s="2">
        <v>200.0</v>
      </c>
      <c r="N332" s="3">
        <f t="shared" si="2"/>
        <v>200</v>
      </c>
      <c r="O332" s="2">
        <v>80.0</v>
      </c>
      <c r="P332" s="2">
        <f t="shared" si="3"/>
        <v>13.25</v>
      </c>
      <c r="Q332" s="2">
        <v>7.0</v>
      </c>
      <c r="R332" s="2">
        <v>6.0</v>
      </c>
      <c r="S332" s="2">
        <v>6.0</v>
      </c>
      <c r="T332" s="2">
        <v>5.0</v>
      </c>
      <c r="U332" s="2">
        <v>15.0</v>
      </c>
      <c r="V332" s="2">
        <v>9.0</v>
      </c>
      <c r="W332" s="2">
        <v>18.0</v>
      </c>
      <c r="X332" s="2">
        <v>30.0</v>
      </c>
      <c r="Y332" s="2">
        <v>27.0</v>
      </c>
      <c r="Z332" s="2">
        <v>29.0</v>
      </c>
      <c r="AA332" s="2">
        <v>28.0</v>
      </c>
      <c r="AB332" s="2">
        <v>40.0</v>
      </c>
      <c r="AC332" s="2">
        <v>350.0</v>
      </c>
      <c r="AD332" s="3">
        <f t="shared" si="4"/>
        <v>9.75</v>
      </c>
    </row>
    <row r="333">
      <c r="A333" s="1" t="s">
        <v>620</v>
      </c>
      <c r="B333" s="1" t="s">
        <v>621</v>
      </c>
    </row>
  </sheetData>
  <drawing r:id="rId1"/>
</worksheet>
</file>